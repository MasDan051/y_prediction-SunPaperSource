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K-0120-P-PRD-DI\Documents Network Produksi - PM\2026\3. MARET\"/>
    </mc:Choice>
  </mc:AlternateContent>
  <bookViews>
    <workbookView xWindow="-105" yWindow="-105" windowWidth="20730" windowHeight="11760" tabRatio="931" firstSheet="5" activeTab="8"/>
  </bookViews>
  <sheets>
    <sheet name="eff all value" sheetId="55" state="hidden" r:id="rId1"/>
    <sheet name="eff all value (2)" sheetId="56" state="hidden" r:id="rId2"/>
    <sheet name="Report1" sheetId="39" r:id="rId3"/>
    <sheet name="GRAFIK" sheetId="49" r:id="rId4"/>
    <sheet name="Listrik" sheetId="45" r:id="rId5"/>
    <sheet name="Trim Rwd" sheetId="47" r:id="rId6"/>
    <sheet name="Efficiency1" sheetId="46" r:id="rId7"/>
    <sheet name="Efficiency2" sheetId="54" r:id="rId8"/>
    <sheet name="Chem" sheetId="1" r:id="rId9"/>
    <sheet name="BB" sheetId="2" r:id="rId10"/>
    <sheet name="RBP" sheetId="50" r:id="rId11"/>
    <sheet name="Sheet1" sheetId="53" r:id="rId12"/>
    <sheet name="summary" sheetId="52" r:id="rId13"/>
    <sheet name="31" sheetId="43" r:id="rId14"/>
    <sheet name="30" sheetId="4" r:id="rId15"/>
    <sheet name="29" sheetId="37" r:id="rId16"/>
    <sheet name="28" sheetId="6" r:id="rId17"/>
    <sheet name="27" sheetId="7" r:id="rId18"/>
    <sheet name="26" sheetId="8" r:id="rId19"/>
    <sheet name="25" sheetId="9" r:id="rId20"/>
    <sheet name="24" sheetId="10" r:id="rId21"/>
    <sheet name="23" sheetId="11" r:id="rId22"/>
    <sheet name="22" sheetId="12" r:id="rId23"/>
    <sheet name="21" sheetId="13" r:id="rId24"/>
    <sheet name="20" sheetId="14" r:id="rId25"/>
    <sheet name="19" sheetId="15" r:id="rId26"/>
    <sheet name="18" sheetId="16" r:id="rId27"/>
    <sheet name="17" sheetId="17" r:id="rId28"/>
    <sheet name="16" sheetId="18" r:id="rId29"/>
    <sheet name="15" sheetId="19" r:id="rId30"/>
    <sheet name="14" sheetId="20" r:id="rId31"/>
    <sheet name="13" sheetId="22" r:id="rId32"/>
    <sheet name="12" sheetId="21" r:id="rId33"/>
    <sheet name="11" sheetId="23" r:id="rId34"/>
    <sheet name="10" sheetId="24" r:id="rId35"/>
    <sheet name="9" sheetId="25" r:id="rId36"/>
    <sheet name="8" sheetId="26" r:id="rId37"/>
    <sheet name="7" sheetId="28" r:id="rId38"/>
    <sheet name="6" sheetId="27" r:id="rId39"/>
    <sheet name="5" sheetId="29" r:id="rId40"/>
    <sheet name="4" sheetId="30" r:id="rId41"/>
    <sheet name="3" sheetId="31" r:id="rId42"/>
    <sheet name="2" sheetId="32" r:id="rId43"/>
    <sheet name="1" sheetId="33" r:id="rId44"/>
  </sheets>
  <externalReferences>
    <externalReference r:id="rId45"/>
    <externalReference r:id="rId46"/>
    <externalReference r:id="rId47"/>
    <externalReference r:id="rId48"/>
  </externalReferences>
  <definedNames>
    <definedName name="_xlnm._FilterDatabase" localSheetId="11" hidden="1">Sheet1!$B$1:$F$106</definedName>
    <definedName name="_xlnm.Print_Area" localSheetId="43">'1'!$A$2:$M$61</definedName>
    <definedName name="_xlnm.Print_Area" localSheetId="34">'10'!$A$2:$M$61</definedName>
    <definedName name="_xlnm.Print_Area" localSheetId="33">'11'!$A$2:$M$61</definedName>
    <definedName name="_xlnm.Print_Area" localSheetId="32">'12'!$A$2:$M$61</definedName>
    <definedName name="_xlnm.Print_Area" localSheetId="31">'13'!$A$1:$M$62</definedName>
    <definedName name="_xlnm.Print_Area" localSheetId="30">'14'!$A$1:$M$61</definedName>
    <definedName name="_xlnm.Print_Area" localSheetId="29">'15'!$A$1:$M$61</definedName>
    <definedName name="_xlnm.Print_Area" localSheetId="28">'16'!$A$1:$M$61</definedName>
    <definedName name="_xlnm.Print_Area" localSheetId="27">'17'!$A$1:$M$61</definedName>
    <definedName name="_xlnm.Print_Area" localSheetId="26">'18'!$A$1:$M$61</definedName>
    <definedName name="_xlnm.Print_Area" localSheetId="25">'19'!$A$1:$M$61</definedName>
    <definedName name="_xlnm.Print_Area" localSheetId="42">'2'!$A$2:$M$61</definedName>
    <definedName name="_xlnm.Print_Area" localSheetId="24">'20'!$A$1:$M$62</definedName>
    <definedName name="_xlnm.Print_Area" localSheetId="23">'21'!$A$1:$M$61</definedName>
    <definedName name="_xlnm.Print_Area" localSheetId="22">'22'!$A$1:$M$61</definedName>
    <definedName name="_xlnm.Print_Area" localSheetId="21">'23'!$A$1:$M$61</definedName>
    <definedName name="_xlnm.Print_Area" localSheetId="20">'24'!$A$1:$M$61</definedName>
    <definedName name="_xlnm.Print_Area" localSheetId="19">'25'!$A$1:$M$61</definedName>
    <definedName name="_xlnm.Print_Area" localSheetId="18">'26'!$A$1:$M$61</definedName>
    <definedName name="_xlnm.Print_Area" localSheetId="17">'27'!$A$1:$M$61</definedName>
    <definedName name="_xlnm.Print_Area" localSheetId="16">'28'!$A$1:$M$61</definedName>
    <definedName name="_xlnm.Print_Area" localSheetId="15">'29'!$A$1:$M$61</definedName>
    <definedName name="_xlnm.Print_Area" localSheetId="41">'3'!$A$1:$M$61</definedName>
    <definedName name="_xlnm.Print_Area" localSheetId="14">'30'!$A$1:$M$61</definedName>
    <definedName name="_xlnm.Print_Area" localSheetId="13">'31'!$A$1:$L$63</definedName>
    <definedName name="_xlnm.Print_Area" localSheetId="40">'4'!$A$1:$M$61</definedName>
    <definedName name="_xlnm.Print_Area" localSheetId="39">'5'!$A$1:$M$61</definedName>
    <definedName name="_xlnm.Print_Area" localSheetId="38">'6'!$A$2:$M$61</definedName>
    <definedName name="_xlnm.Print_Area" localSheetId="37">'7'!$A$2:$M$61</definedName>
    <definedName name="_xlnm.Print_Area" localSheetId="36">'8'!$A$2:$M$61</definedName>
    <definedName name="_xlnm.Print_Area" localSheetId="35">'9'!$A$1:$M$62</definedName>
    <definedName name="_xlnm.Print_Area" localSheetId="8">Chem!$CY$6:$DK$15</definedName>
    <definedName name="_xlnm.Print_Area" localSheetId="6">Efficiency1!$A$3:$X$94</definedName>
    <definedName name="_xlnm.Print_Area" localSheetId="7">Efficiency2!$A$3:$X$94</definedName>
    <definedName name="_xlnm.Print_Area" localSheetId="4">Listrik!$A$2:$AE$40</definedName>
    <definedName name="_xlnm.Print_Area" localSheetId="2">Report1!$A$2:$BE$41</definedName>
  </definedNames>
  <calcPr calcId="15251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V41" i="1" l="1"/>
  <c r="KV10" i="1"/>
  <c r="KV11" i="1"/>
  <c r="KV12" i="1"/>
  <c r="KV13" i="1"/>
  <c r="KV14" i="1"/>
  <c r="KV15" i="1"/>
  <c r="KV16" i="1"/>
  <c r="KV17" i="1"/>
  <c r="KV18" i="1"/>
  <c r="KV19" i="1"/>
  <c r="KV20" i="1"/>
  <c r="KV21" i="1"/>
  <c r="KV22" i="1"/>
  <c r="KV23" i="1"/>
  <c r="KV24" i="1"/>
  <c r="KV25" i="1"/>
  <c r="KV26" i="1"/>
  <c r="KV27" i="1"/>
  <c r="KV28" i="1"/>
  <c r="KV29" i="1"/>
  <c r="KV30" i="1"/>
  <c r="KV31" i="1"/>
  <c r="KV32" i="1"/>
  <c r="KV33" i="1"/>
  <c r="KV34" i="1"/>
  <c r="KV35" i="1"/>
  <c r="KV36" i="1"/>
  <c r="KV37" i="1"/>
  <c r="KV38" i="1"/>
  <c r="KV39" i="1"/>
  <c r="KV9" i="1"/>
  <c r="AC96" i="54" l="1"/>
  <c r="AC91" i="54"/>
  <c r="AC86" i="54"/>
  <c r="AC81" i="54"/>
  <c r="AC66" i="54"/>
  <c r="AC13" i="54"/>
  <c r="J4" i="6" l="1"/>
  <c r="M4" i="50" l="1"/>
  <c r="M3" i="50"/>
  <c r="L4" i="50"/>
  <c r="L3" i="50"/>
  <c r="Y4" i="50"/>
  <c r="Y3" i="50"/>
  <c r="Z4" i="50"/>
  <c r="Z3" i="50"/>
  <c r="AA4" i="50"/>
  <c r="AA3" i="50"/>
  <c r="AB4" i="50"/>
  <c r="AB3" i="50"/>
  <c r="AC4" i="50"/>
  <c r="AC3" i="50"/>
  <c r="AD4" i="50"/>
  <c r="AD3" i="50"/>
  <c r="AE4" i="50"/>
  <c r="AE3" i="50"/>
  <c r="M37" i="52" l="1"/>
  <c r="D37" i="52"/>
  <c r="D24" i="52"/>
  <c r="AF4" i="50"/>
  <c r="AG4" i="50" s="1"/>
  <c r="AF3" i="50"/>
  <c r="AG3" i="50" s="1"/>
  <c r="Y166" i="54" s="1"/>
  <c r="Y166" i="46" l="1"/>
  <c r="W102" i="54"/>
  <c r="W101" i="54"/>
  <c r="Z85" i="54"/>
  <c r="W71" i="54"/>
  <c r="W57" i="54"/>
  <c r="Z56" i="54"/>
  <c r="W45" i="54"/>
  <c r="W40" i="54"/>
  <c r="W39" i="54"/>
  <c r="Z6" i="54"/>
  <c r="AR171" i="54" l="1"/>
  <c r="BA171" i="54" s="1"/>
  <c r="AM171" i="54"/>
  <c r="AR170" i="54"/>
  <c r="BA170" i="54" s="1"/>
  <c r="AK170" i="54"/>
  <c r="AM170" i="54" s="1"/>
  <c r="AR169" i="54"/>
  <c r="BA169" i="54" s="1"/>
  <c r="AM169" i="54"/>
  <c r="AR168" i="54"/>
  <c r="BA168" i="54" s="1"/>
  <c r="AM168" i="54"/>
  <c r="AR167" i="54"/>
  <c r="BA167" i="54" s="1"/>
  <c r="AM167" i="54"/>
  <c r="Q167" i="54"/>
  <c r="N167" i="54"/>
  <c r="H167" i="54" s="1"/>
  <c r="AR166" i="54"/>
  <c r="BA166" i="54" s="1"/>
  <c r="AM166" i="54"/>
  <c r="N166" i="54"/>
  <c r="H166" i="54" s="1"/>
  <c r="J166" i="54" s="1"/>
  <c r="AD170" i="54" l="1"/>
  <c r="AD166" i="54"/>
  <c r="AD171" i="54"/>
  <c r="AD168" i="54"/>
  <c r="AD169" i="54"/>
  <c r="AD167" i="54"/>
  <c r="J167" i="54"/>
  <c r="N160" i="54" l="1"/>
  <c r="H160" i="54" s="1"/>
  <c r="N155" i="54"/>
  <c r="H155" i="54"/>
  <c r="J155" i="54" s="1"/>
  <c r="N151" i="54"/>
  <c r="H151" i="54" s="1"/>
  <c r="N150" i="54"/>
  <c r="H150" i="54" s="1"/>
  <c r="G150" i="54"/>
  <c r="N146" i="54"/>
  <c r="H146" i="54" s="1"/>
  <c r="N145" i="54"/>
  <c r="H145" i="54" s="1"/>
  <c r="N140" i="54"/>
  <c r="H140" i="54" s="1"/>
  <c r="G140" i="54"/>
  <c r="N135" i="54"/>
  <c r="H135" i="54" s="1"/>
  <c r="G135" i="54"/>
  <c r="N131" i="54"/>
  <c r="H131" i="54"/>
  <c r="G131" i="54"/>
  <c r="N130" i="54"/>
  <c r="H130" i="54" s="1"/>
  <c r="G130" i="54"/>
  <c r="N126" i="54"/>
  <c r="H126" i="54" s="1"/>
  <c r="G126" i="54"/>
  <c r="N125" i="54"/>
  <c r="H125" i="54" s="1"/>
  <c r="G125" i="54"/>
  <c r="N121" i="54"/>
  <c r="H121" i="54" s="1"/>
  <c r="G121" i="54"/>
  <c r="N120" i="54"/>
  <c r="H120" i="54" s="1"/>
  <c r="G120" i="54"/>
  <c r="N115" i="54"/>
  <c r="H115" i="54" s="1"/>
  <c r="G115" i="54"/>
  <c r="N110" i="54"/>
  <c r="H110" i="54"/>
  <c r="G110" i="54"/>
  <c r="N105" i="54"/>
  <c r="H105" i="54" s="1"/>
  <c r="G105" i="54"/>
  <c r="M102" i="54"/>
  <c r="N102" i="54" s="1"/>
  <c r="H102" i="54" s="1"/>
  <c r="G102" i="54"/>
  <c r="N101" i="54"/>
  <c r="H101" i="54" s="1"/>
  <c r="N100" i="54"/>
  <c r="H100" i="54" s="1"/>
  <c r="N95" i="54"/>
  <c r="H95" i="54" s="1"/>
  <c r="N90" i="54"/>
  <c r="H90" i="54" s="1"/>
  <c r="N85" i="54"/>
  <c r="H85" i="54" s="1"/>
  <c r="N80" i="54"/>
  <c r="H80" i="54" s="1"/>
  <c r="N76" i="54"/>
  <c r="H76" i="54" s="1"/>
  <c r="N75" i="54"/>
  <c r="H75" i="54" s="1"/>
  <c r="N71" i="54"/>
  <c r="H71" i="54" s="1"/>
  <c r="N70" i="54"/>
  <c r="H70" i="54" s="1"/>
  <c r="N65" i="54"/>
  <c r="H65" i="54" s="1"/>
  <c r="N61" i="54"/>
  <c r="H61" i="54" s="1"/>
  <c r="N60" i="54"/>
  <c r="H60" i="54" s="1"/>
  <c r="N56" i="54"/>
  <c r="H56" i="54" s="1"/>
  <c r="N55" i="54"/>
  <c r="H55" i="54" s="1"/>
  <c r="J55" i="54" s="1"/>
  <c r="N51" i="54"/>
  <c r="H51" i="54" s="1"/>
  <c r="N50" i="54"/>
  <c r="H50" i="54" s="1"/>
  <c r="N45" i="54"/>
  <c r="H45" i="54" s="1"/>
  <c r="N44" i="54"/>
  <c r="H44" i="54" s="1"/>
  <c r="N40" i="54"/>
  <c r="H40" i="54" s="1"/>
  <c r="N39" i="54"/>
  <c r="H39" i="54" s="1"/>
  <c r="N38" i="54"/>
  <c r="H38" i="54" s="1"/>
  <c r="N33" i="54"/>
  <c r="J33" i="54"/>
  <c r="N32" i="54"/>
  <c r="J32" i="54"/>
  <c r="N26" i="54"/>
  <c r="J26" i="54"/>
  <c r="N25" i="54"/>
  <c r="J25" i="54"/>
  <c r="N20" i="54"/>
  <c r="H20" i="54" s="1"/>
  <c r="N19" i="54"/>
  <c r="J19" i="54"/>
  <c r="N12" i="54"/>
  <c r="J12" i="54"/>
  <c r="N7" i="54"/>
  <c r="J7" i="54"/>
  <c r="N6" i="54"/>
  <c r="J6" i="54"/>
  <c r="A6" i="54"/>
  <c r="AK170" i="46"/>
  <c r="V45" i="43"/>
  <c r="S43" i="43"/>
  <c r="V43" i="43" s="1"/>
  <c r="K8" i="43"/>
  <c r="K12" i="43"/>
  <c r="W167" i="54" s="1"/>
  <c r="F93" i="47"/>
  <c r="F94" i="47"/>
  <c r="E94" i="47"/>
  <c r="E93" i="47"/>
  <c r="W167" i="46" l="1"/>
  <c r="W166" i="46"/>
  <c r="W166" i="54"/>
  <c r="J126" i="54"/>
  <c r="J160" i="54"/>
  <c r="J60" i="54"/>
  <c r="J146" i="54"/>
  <c r="J85" i="54"/>
  <c r="J50" i="54"/>
  <c r="J71" i="54"/>
  <c r="J125" i="54"/>
  <c r="J38" i="54"/>
  <c r="J56" i="54"/>
  <c r="J80" i="54"/>
  <c r="J39" i="54"/>
  <c r="J45" i="54"/>
  <c r="J70" i="54"/>
  <c r="J100" i="54"/>
  <c r="J20" i="54"/>
  <c r="J101" i="54"/>
  <c r="J95" i="54"/>
  <c r="J115" i="54"/>
  <c r="J140" i="54"/>
  <c r="J121" i="54"/>
  <c r="J145" i="54"/>
  <c r="J76" i="54"/>
  <c r="J40" i="54"/>
  <c r="J51" i="54"/>
  <c r="J61" i="54"/>
  <c r="J75" i="54"/>
  <c r="J90" i="54"/>
  <c r="J110" i="54"/>
  <c r="J135" i="54"/>
  <c r="J151" i="54"/>
  <c r="J44" i="54"/>
  <c r="J120" i="54"/>
  <c r="J102" i="54"/>
  <c r="J105" i="54"/>
  <c r="J131" i="54"/>
  <c r="J130" i="54"/>
  <c r="J150" i="54"/>
  <c r="J65" i="54"/>
  <c r="G93" i="47"/>
  <c r="H93" i="47" s="1"/>
  <c r="G94" i="47"/>
  <c r="H94" i="47" s="1"/>
  <c r="AM170" i="46"/>
  <c r="AR170" i="46"/>
  <c r="BA170" i="46"/>
  <c r="AM171" i="46"/>
  <c r="AR171" i="46"/>
  <c r="BA171" i="46" s="1"/>
  <c r="Q167" i="46"/>
  <c r="G42" i="43"/>
  <c r="I37" i="43" s="1"/>
  <c r="F42" i="43"/>
  <c r="T40" i="43"/>
  <c r="X24" i="43"/>
  <c r="X25" i="43" s="1"/>
  <c r="Z20" i="43"/>
  <c r="Y20" i="43"/>
  <c r="Z19" i="43"/>
  <c r="Y19" i="43"/>
  <c r="Z18" i="43"/>
  <c r="Y18" i="43"/>
  <c r="Z17" i="43"/>
  <c r="Y17" i="43"/>
  <c r="X13" i="43"/>
  <c r="X14" i="43" s="1"/>
  <c r="Y9" i="43"/>
  <c r="Z9" i="43"/>
  <c r="Z8" i="43"/>
  <c r="Y8" i="43"/>
  <c r="Z7" i="43"/>
  <c r="Y7" i="43"/>
  <c r="Y6" i="43"/>
  <c r="Z6" i="43"/>
  <c r="O166" i="54" l="1"/>
  <c r="O166" i="46"/>
  <c r="Z24" i="43"/>
  <c r="Z25" i="43" s="1"/>
  <c r="Y13" i="43"/>
  <c r="Y14" i="43" s="1"/>
  <c r="O167" i="54"/>
  <c r="O167" i="46"/>
  <c r="AD170" i="46"/>
  <c r="AD171" i="46"/>
  <c r="Y24" i="43"/>
  <c r="Y25" i="43" s="1"/>
  <c r="Z13" i="43"/>
  <c r="Z14" i="43" s="1"/>
  <c r="O40" i="43"/>
  <c r="Q28" i="43"/>
  <c r="Q27" i="43"/>
  <c r="U167" i="54" l="1"/>
  <c r="P167" i="54"/>
  <c r="K167" i="54"/>
  <c r="C167" i="54"/>
  <c r="V167" i="54"/>
  <c r="T167" i="54"/>
  <c r="T166" i="54"/>
  <c r="V166" i="54"/>
  <c r="K166" i="54"/>
  <c r="U166" i="54"/>
  <c r="P166" i="54"/>
  <c r="C166" i="54"/>
  <c r="I38" i="43"/>
  <c r="I93" i="47" s="1"/>
  <c r="N167" i="46"/>
  <c r="H167" i="46" s="1"/>
  <c r="C167" i="46"/>
  <c r="AR169" i="46"/>
  <c r="BA169" i="46" s="1"/>
  <c r="AM169" i="46"/>
  <c r="AR168" i="46"/>
  <c r="BA168" i="46" s="1"/>
  <c r="AM168" i="46"/>
  <c r="AR167" i="46"/>
  <c r="BA167" i="46" s="1"/>
  <c r="AM167" i="46"/>
  <c r="AR166" i="46"/>
  <c r="BA166" i="46" s="1"/>
  <c r="AM166" i="46"/>
  <c r="T166" i="46"/>
  <c r="P166" i="46"/>
  <c r="N166" i="46"/>
  <c r="H166" i="46" s="1"/>
  <c r="J166" i="46" s="1"/>
  <c r="C166" i="46"/>
  <c r="R28" i="43"/>
  <c r="P28" i="43"/>
  <c r="S28" i="43" s="1"/>
  <c r="P27" i="43"/>
  <c r="P26" i="43"/>
  <c r="P17" i="43"/>
  <c r="R29" i="43"/>
  <c r="P29" i="43"/>
  <c r="S29" i="43" s="1"/>
  <c r="Q16" i="43"/>
  <c r="R16" i="43" s="1"/>
  <c r="P16" i="43"/>
  <c r="S16" i="43" s="1"/>
  <c r="R19" i="43"/>
  <c r="P19" i="43"/>
  <c r="S19" i="43" s="1"/>
  <c r="Q13" i="43"/>
  <c r="Q14" i="43" s="1"/>
  <c r="R9" i="43"/>
  <c r="P9" i="43"/>
  <c r="S9" i="43" s="1"/>
  <c r="R8" i="43"/>
  <c r="P8" i="43"/>
  <c r="S8" i="43" s="1"/>
  <c r="R7" i="43"/>
  <c r="P7" i="43"/>
  <c r="S7" i="43" s="1"/>
  <c r="R6" i="43"/>
  <c r="P6" i="43"/>
  <c r="S6" i="43" s="1"/>
  <c r="AC167" i="54" l="1"/>
  <c r="AA166" i="54"/>
  <c r="AC166" i="54"/>
  <c r="N39" i="39"/>
  <c r="Q17" i="43"/>
  <c r="Q23" i="43" s="1"/>
  <c r="Q24" i="43" s="1"/>
  <c r="AD169" i="46"/>
  <c r="AB166" i="54"/>
  <c r="BL39" i="39"/>
  <c r="X166" i="54"/>
  <c r="AD168" i="46"/>
  <c r="J167" i="46"/>
  <c r="K167" i="46"/>
  <c r="P167" i="46"/>
  <c r="V167" i="46"/>
  <c r="U167" i="46"/>
  <c r="T167" i="46"/>
  <c r="AD166" i="46"/>
  <c r="AD167" i="46"/>
  <c r="K166" i="46"/>
  <c r="U166" i="46"/>
  <c r="V166" i="46"/>
  <c r="S26" i="43"/>
  <c r="R26" i="43"/>
  <c r="R27" i="43"/>
  <c r="S13" i="43"/>
  <c r="S14" i="43" s="1"/>
  <c r="R13" i="43"/>
  <c r="R14" i="43" s="1"/>
  <c r="J4" i="43"/>
  <c r="AC167" i="46" l="1"/>
  <c r="S17" i="43"/>
  <c r="S23" i="43" s="1"/>
  <c r="S24" i="43" s="1"/>
  <c r="R17" i="43"/>
  <c r="R23" i="43" s="1"/>
  <c r="R24" i="43" s="1"/>
  <c r="AC166" i="46"/>
  <c r="L39" i="39"/>
  <c r="AA166" i="46"/>
  <c r="X166" i="46"/>
  <c r="S27" i="43"/>
  <c r="S33" i="43" s="1"/>
  <c r="Q33" i="43"/>
  <c r="Q34" i="43" s="1"/>
  <c r="R33" i="43"/>
  <c r="G150" i="46"/>
  <c r="G140" i="46"/>
  <c r="G135" i="46"/>
  <c r="G131" i="46"/>
  <c r="G130" i="46"/>
  <c r="G126" i="46"/>
  <c r="G125" i="46"/>
  <c r="G121" i="46"/>
  <c r="G120" i="46"/>
  <c r="AB166" i="46" l="1"/>
  <c r="R34" i="43"/>
  <c r="S34" i="43"/>
  <c r="AR123" i="54" l="1"/>
  <c r="BA123" i="54" s="1"/>
  <c r="AM123" i="54"/>
  <c r="AR122" i="54"/>
  <c r="BA122" i="54" s="1"/>
  <c r="AM122" i="54"/>
  <c r="AR121" i="54"/>
  <c r="BA121" i="54" s="1"/>
  <c r="AM121" i="54"/>
  <c r="AR120" i="54"/>
  <c r="BA120" i="54" s="1"/>
  <c r="AM120" i="54"/>
  <c r="AD121" i="54" l="1"/>
  <c r="AD123" i="54"/>
  <c r="AD122" i="54"/>
  <c r="AD120" i="54"/>
  <c r="AR164" i="54"/>
  <c r="AM164" i="54"/>
  <c r="AD164" i="54" s="1"/>
  <c r="AR163" i="54"/>
  <c r="BA163" i="54" s="1"/>
  <c r="AM163" i="54"/>
  <c r="AR162" i="54"/>
  <c r="BA162" i="54" s="1"/>
  <c r="AM162" i="54"/>
  <c r="AR161" i="54"/>
  <c r="BA161" i="54" s="1"/>
  <c r="AM161" i="54"/>
  <c r="AR160" i="54"/>
  <c r="BA160" i="54" s="1"/>
  <c r="AM160" i="54"/>
  <c r="S160" i="54"/>
  <c r="E91" i="47"/>
  <c r="G91" i="47" s="1"/>
  <c r="H91" i="47" s="1"/>
  <c r="O160" i="54" s="1"/>
  <c r="AD163" i="54" l="1"/>
  <c r="AD161" i="54"/>
  <c r="C160" i="54"/>
  <c r="K160" i="54"/>
  <c r="AC160" i="54" s="1"/>
  <c r="O160" i="46"/>
  <c r="AD160" i="54"/>
  <c r="AD162" i="54"/>
  <c r="BL38" i="39"/>
  <c r="U160" i="54"/>
  <c r="V160" i="54"/>
  <c r="T160" i="54"/>
  <c r="P160" i="54"/>
  <c r="AR164" i="46"/>
  <c r="AM164" i="46"/>
  <c r="AD164" i="46" s="1"/>
  <c r="S160" i="46"/>
  <c r="F17" i="4"/>
  <c r="I38" i="4"/>
  <c r="I91" i="47" s="1"/>
  <c r="P7" i="37"/>
  <c r="G42" i="17"/>
  <c r="F42" i="17"/>
  <c r="O8" i="17"/>
  <c r="O7" i="17"/>
  <c r="O6" i="17"/>
  <c r="Q13" i="18"/>
  <c r="Q14" i="18" s="1"/>
  <c r="R8" i="18"/>
  <c r="P8" i="18"/>
  <c r="S8" i="18" s="1"/>
  <c r="R7" i="18"/>
  <c r="P7" i="18"/>
  <c r="S7" i="18" s="1"/>
  <c r="R6" i="18"/>
  <c r="P6" i="18"/>
  <c r="S6" i="18" s="1"/>
  <c r="Q6" i="20"/>
  <c r="R6" i="20" s="1"/>
  <c r="P6" i="20"/>
  <c r="S6" i="20" s="1"/>
  <c r="R8" i="20"/>
  <c r="P8" i="20"/>
  <c r="S8" i="20" s="1"/>
  <c r="P15" i="21"/>
  <c r="P7" i="21"/>
  <c r="P8" i="21"/>
  <c r="P6" i="21"/>
  <c r="R13" i="18" l="1"/>
  <c r="R14" i="18" s="1"/>
  <c r="S13" i="18"/>
  <c r="S14" i="18" s="1"/>
  <c r="Q13" i="20"/>
  <c r="Q14" i="20" s="1"/>
  <c r="S13" i="20"/>
  <c r="S14" i="20" s="1"/>
  <c r="R13" i="20"/>
  <c r="R14" i="20" s="1"/>
  <c r="AR163" i="46"/>
  <c r="BA163" i="46" s="1"/>
  <c r="AM163" i="46"/>
  <c r="AR162" i="46"/>
  <c r="BA162" i="46" s="1"/>
  <c r="AM162" i="46"/>
  <c r="AR161" i="46"/>
  <c r="BA161" i="46" s="1"/>
  <c r="AM161" i="46"/>
  <c r="AR160" i="46"/>
  <c r="BA160" i="46" s="1"/>
  <c r="AM160" i="46"/>
  <c r="U160" i="46"/>
  <c r="T160" i="46"/>
  <c r="P160" i="46"/>
  <c r="N160" i="46"/>
  <c r="V160" i="46" s="1"/>
  <c r="C160" i="46"/>
  <c r="N38" i="39" s="1"/>
  <c r="Q29" i="4"/>
  <c r="R29" i="4" s="1"/>
  <c r="Q28" i="4"/>
  <c r="Q27" i="4"/>
  <c r="R27" i="4" s="1"/>
  <c r="Q26" i="4"/>
  <c r="R26" i="4" s="1"/>
  <c r="P29" i="4"/>
  <c r="P28" i="4"/>
  <c r="P27" i="4"/>
  <c r="P26" i="4"/>
  <c r="Q17" i="4"/>
  <c r="Q16" i="4"/>
  <c r="Q18" i="4"/>
  <c r="R18" i="4"/>
  <c r="P17" i="4"/>
  <c r="P18" i="4"/>
  <c r="P16" i="4"/>
  <c r="Q6" i="4"/>
  <c r="Q7" i="4" s="1"/>
  <c r="R7" i="4" s="1"/>
  <c r="R8" i="4"/>
  <c r="P8" i="4"/>
  <c r="S8" i="4" s="1"/>
  <c r="P7" i="4"/>
  <c r="P6" i="4"/>
  <c r="J4" i="4"/>
  <c r="AD163" i="46" l="1"/>
  <c r="Q33" i="4"/>
  <c r="Q34" i="4" s="1"/>
  <c r="S27" i="4"/>
  <c r="S26" i="4"/>
  <c r="R28" i="4"/>
  <c r="S29" i="4"/>
  <c r="S28" i="4"/>
  <c r="R6" i="4"/>
  <c r="R13" i="4" s="1"/>
  <c r="S6" i="4"/>
  <c r="AD162" i="46"/>
  <c r="AD161" i="46"/>
  <c r="H160" i="46"/>
  <c r="K160" i="46" s="1"/>
  <c r="AC160" i="46" s="1"/>
  <c r="AD160" i="46"/>
  <c r="R33" i="4"/>
  <c r="R34" i="4" s="1"/>
  <c r="S33" i="4"/>
  <c r="S34" i="4" s="1"/>
  <c r="S18" i="4"/>
  <c r="R17" i="4"/>
  <c r="S16" i="4"/>
  <c r="S17" i="4"/>
  <c r="R16" i="4"/>
  <c r="Q23" i="4"/>
  <c r="Q24" i="4" s="1"/>
  <c r="Q13" i="4"/>
  <c r="Q14" i="4" s="1"/>
  <c r="S7" i="4"/>
  <c r="S13" i="4"/>
  <c r="J160" i="46" l="1"/>
  <c r="R23" i="4"/>
  <c r="L38" i="39"/>
  <c r="S23" i="4"/>
  <c r="S24" i="4" s="1"/>
  <c r="R24" i="4"/>
  <c r="S14" i="4"/>
  <c r="R14" i="4"/>
  <c r="M36" i="52"/>
  <c r="M35" i="52"/>
  <c r="M4" i="52"/>
  <c r="M5" i="52"/>
  <c r="M6" i="52"/>
  <c r="M7" i="52"/>
  <c r="M8" i="52"/>
  <c r="M9" i="52"/>
  <c r="M10" i="52"/>
  <c r="M11" i="52"/>
  <c r="M16" i="52"/>
  <c r="M17" i="52"/>
  <c r="M18" i="52"/>
  <c r="M19" i="52"/>
  <c r="M20" i="52"/>
  <c r="M21" i="52"/>
  <c r="M22" i="52"/>
  <c r="M23" i="52"/>
  <c r="M24" i="52"/>
  <c r="M25" i="52"/>
  <c r="M26" i="52"/>
  <c r="M27" i="52"/>
  <c r="M28" i="52"/>
  <c r="M29" i="52"/>
  <c r="M30" i="52"/>
  <c r="M31" i="52"/>
  <c r="M32" i="52"/>
  <c r="M33" i="52"/>
  <c r="M34" i="52"/>
  <c r="M38" i="52"/>
  <c r="M39" i="52"/>
  <c r="M40" i="52"/>
  <c r="M41" i="52"/>
  <c r="D35" i="52"/>
  <c r="AR158" i="54" l="1"/>
  <c r="BA158" i="54" s="1"/>
  <c r="AM158" i="54"/>
  <c r="AR157" i="54"/>
  <c r="BA157" i="54" s="1"/>
  <c r="AM157" i="54"/>
  <c r="AD157" i="54" s="1"/>
  <c r="AR156" i="54"/>
  <c r="BA156" i="54" s="1"/>
  <c r="AM156" i="54"/>
  <c r="AR155" i="54"/>
  <c r="BA155" i="54" s="1"/>
  <c r="AM155" i="54"/>
  <c r="AR153" i="54"/>
  <c r="BA153" i="54" s="1"/>
  <c r="AM153" i="54"/>
  <c r="AR152" i="54"/>
  <c r="BA152" i="54" s="1"/>
  <c r="AM152" i="54"/>
  <c r="AD152" i="54" s="1"/>
  <c r="AR151" i="54"/>
  <c r="BA151" i="54" s="1"/>
  <c r="AM151" i="54"/>
  <c r="AR150" i="54"/>
  <c r="BA150" i="54" s="1"/>
  <c r="AM150" i="54"/>
  <c r="K8" i="6"/>
  <c r="W151" i="54" s="1"/>
  <c r="K9" i="6"/>
  <c r="W150" i="54" s="1"/>
  <c r="E89" i="47"/>
  <c r="G89" i="47" s="1"/>
  <c r="H89" i="47" s="1"/>
  <c r="O155" i="54" s="1"/>
  <c r="F87" i="47"/>
  <c r="F85" i="47"/>
  <c r="E87" i="47"/>
  <c r="E86" i="47"/>
  <c r="G86" i="47" s="1"/>
  <c r="E85" i="47"/>
  <c r="AD156" i="54" l="1"/>
  <c r="AD150" i="54"/>
  <c r="C155" i="54"/>
  <c r="K155" i="54"/>
  <c r="W151" i="46"/>
  <c r="AD151" i="54"/>
  <c r="G87" i="47"/>
  <c r="H87" i="47" s="1"/>
  <c r="O151" i="54" s="1"/>
  <c r="W150" i="46"/>
  <c r="AD155" i="54"/>
  <c r="AD153" i="54"/>
  <c r="AD158" i="54"/>
  <c r="O155" i="46"/>
  <c r="U155" i="54"/>
  <c r="H85" i="47"/>
  <c r="O150" i="54" s="1"/>
  <c r="G85" i="47"/>
  <c r="C151" i="54" l="1"/>
  <c r="K151" i="54"/>
  <c r="C150" i="54"/>
  <c r="K150" i="54"/>
  <c r="BL37" i="39"/>
  <c r="P155" i="54"/>
  <c r="T155" i="54"/>
  <c r="AC155" i="54" s="1"/>
  <c r="V155" i="54"/>
  <c r="O151" i="46"/>
  <c r="O150" i="46"/>
  <c r="X150" i="54" l="1"/>
  <c r="V151" i="54"/>
  <c r="U151" i="54"/>
  <c r="P151" i="54"/>
  <c r="T151" i="54"/>
  <c r="AC151" i="54" s="1"/>
  <c r="P150" i="54"/>
  <c r="T150" i="54"/>
  <c r="AC150" i="54" s="1"/>
  <c r="U150" i="54"/>
  <c r="V150" i="54"/>
  <c r="AA150" i="54" l="1"/>
  <c r="AB150" i="54" s="1"/>
  <c r="BL36" i="39"/>
  <c r="U155" i="46"/>
  <c r="N155" i="46"/>
  <c r="AR158" i="46"/>
  <c r="BA158" i="46" s="1"/>
  <c r="AM158" i="46"/>
  <c r="AR157" i="46"/>
  <c r="BA157" i="46" s="1"/>
  <c r="AM157" i="46"/>
  <c r="AR156" i="46"/>
  <c r="BA156" i="46" s="1"/>
  <c r="AM156" i="46"/>
  <c r="AR155" i="46"/>
  <c r="BA155" i="46" s="1"/>
  <c r="AM155" i="46"/>
  <c r="AR153" i="46"/>
  <c r="BA153" i="46" s="1"/>
  <c r="AM153" i="46"/>
  <c r="AR152" i="46"/>
  <c r="BA152" i="46" s="1"/>
  <c r="AM152" i="46"/>
  <c r="AR151" i="46"/>
  <c r="BA151" i="46" s="1"/>
  <c r="AM151" i="46"/>
  <c r="N151" i="46"/>
  <c r="H151" i="46" s="1"/>
  <c r="K151" i="46" s="1"/>
  <c r="AR150" i="46"/>
  <c r="BA150" i="46" s="1"/>
  <c r="AM150" i="46"/>
  <c r="T150" i="46"/>
  <c r="N150" i="46"/>
  <c r="H150" i="46" s="1"/>
  <c r="F14" i="37"/>
  <c r="F17" i="37"/>
  <c r="F23" i="37" s="1"/>
  <c r="I38" i="37"/>
  <c r="I89" i="47" s="1"/>
  <c r="G42" i="37"/>
  <c r="I37" i="37" s="1"/>
  <c r="F42" i="37"/>
  <c r="P8" i="37"/>
  <c r="S8" i="37" s="1"/>
  <c r="R7" i="37"/>
  <c r="S7" i="37"/>
  <c r="J4" i="37"/>
  <c r="Q13" i="37"/>
  <c r="Q14" i="37" s="1"/>
  <c r="R8" i="37"/>
  <c r="R6" i="37"/>
  <c r="P6" i="37"/>
  <c r="S6" i="37" s="1"/>
  <c r="F14" i="6"/>
  <c r="F23" i="6"/>
  <c r="I38" i="6"/>
  <c r="I85" i="47" s="1"/>
  <c r="R36" i="6"/>
  <c r="R37" i="6" s="1"/>
  <c r="P25" i="6"/>
  <c r="S25" i="6" s="1"/>
  <c r="Q32" i="6"/>
  <c r="Q33" i="6" s="1"/>
  <c r="R27" i="6"/>
  <c r="P27" i="6"/>
  <c r="S27" i="6" s="1"/>
  <c r="R25" i="6"/>
  <c r="Q16" i="6"/>
  <c r="R16" i="6" s="1"/>
  <c r="P17" i="6"/>
  <c r="R18" i="6"/>
  <c r="P18" i="6"/>
  <c r="S18" i="6" s="1"/>
  <c r="P16" i="6"/>
  <c r="Q13" i="6"/>
  <c r="Q14" i="6" s="1"/>
  <c r="R8" i="6"/>
  <c r="P8" i="6"/>
  <c r="S8" i="6" s="1"/>
  <c r="R6" i="6"/>
  <c r="P6" i="6"/>
  <c r="S6" i="6" s="1"/>
  <c r="R13" i="6" l="1"/>
  <c r="R14" i="6" s="1"/>
  <c r="AD150" i="46"/>
  <c r="Q17" i="6"/>
  <c r="Q23" i="6" s="1"/>
  <c r="Q24" i="6" s="1"/>
  <c r="S16" i="6"/>
  <c r="R17" i="6"/>
  <c r="R23" i="6" s="1"/>
  <c r="R24" i="6" s="1"/>
  <c r="AD153" i="46"/>
  <c r="V151" i="46"/>
  <c r="AD155" i="46"/>
  <c r="S13" i="6"/>
  <c r="S14" i="6" s="1"/>
  <c r="S32" i="6"/>
  <c r="S33" i="6" s="1"/>
  <c r="AD157" i="46"/>
  <c r="V155" i="46"/>
  <c r="V150" i="46"/>
  <c r="P150" i="46"/>
  <c r="K150" i="46"/>
  <c r="L36" i="39" s="1"/>
  <c r="U150" i="46"/>
  <c r="AA150" i="46" s="1"/>
  <c r="C150" i="46"/>
  <c r="P155" i="46"/>
  <c r="T155" i="46"/>
  <c r="C155" i="46"/>
  <c r="N37" i="39" s="1"/>
  <c r="H155" i="46"/>
  <c r="AD156" i="46"/>
  <c r="AD158" i="46"/>
  <c r="AD152" i="46"/>
  <c r="AD151" i="46"/>
  <c r="P151" i="46"/>
  <c r="J150" i="46"/>
  <c r="T151" i="46"/>
  <c r="AC151" i="46" s="1"/>
  <c r="C151" i="46"/>
  <c r="U151" i="46"/>
  <c r="J151" i="46"/>
  <c r="S13" i="37"/>
  <c r="S14" i="37" s="1"/>
  <c r="R13" i="37"/>
  <c r="R14" i="37" s="1"/>
  <c r="R32" i="6"/>
  <c r="R33" i="6" s="1"/>
  <c r="CM36" i="2"/>
  <c r="S17" i="6" l="1"/>
  <c r="S23" i="6" s="1"/>
  <c r="S24" i="6" s="1"/>
  <c r="N36" i="39"/>
  <c r="AC150" i="46"/>
  <c r="X150" i="46"/>
  <c r="J155" i="46"/>
  <c r="K155" i="46"/>
  <c r="AB150" i="46"/>
  <c r="AR148" i="54"/>
  <c r="BA148" i="54" s="1"/>
  <c r="AM148" i="54"/>
  <c r="AR147" i="54"/>
  <c r="BA147" i="54" s="1"/>
  <c r="AM147" i="54"/>
  <c r="AR146" i="54"/>
  <c r="BA146" i="54" s="1"/>
  <c r="AM146" i="54"/>
  <c r="AR145" i="54"/>
  <c r="BA145" i="54" s="1"/>
  <c r="AM145" i="54"/>
  <c r="AD145" i="54" s="1"/>
  <c r="K17" i="7"/>
  <c r="W145" i="54" s="1"/>
  <c r="K9" i="7"/>
  <c r="W146" i="54" s="1"/>
  <c r="F83" i="47"/>
  <c r="E82" i="47"/>
  <c r="G82" i="47" s="1"/>
  <c r="H82" i="47" s="1"/>
  <c r="O145" i="54" s="1"/>
  <c r="E83" i="47"/>
  <c r="AD146" i="54" l="1"/>
  <c r="C145" i="54"/>
  <c r="K145" i="54"/>
  <c r="W146" i="46"/>
  <c r="O145" i="46"/>
  <c r="AD147" i="54"/>
  <c r="W145" i="46"/>
  <c r="AD148" i="54"/>
  <c r="U145" i="54"/>
  <c r="G83" i="47"/>
  <c r="H83" i="47" s="1"/>
  <c r="O146" i="54" s="1"/>
  <c r="AC155" i="46"/>
  <c r="L37" i="39"/>
  <c r="P145" i="54"/>
  <c r="T145" i="54"/>
  <c r="AC145" i="54" l="1"/>
  <c r="C146" i="54"/>
  <c r="K146" i="54"/>
  <c r="V145" i="54"/>
  <c r="O146" i="46"/>
  <c r="X145" i="54" l="1"/>
  <c r="BL35" i="39"/>
  <c r="P146" i="54"/>
  <c r="T146" i="54"/>
  <c r="AC146" i="54" s="1"/>
  <c r="U146" i="54"/>
  <c r="AA145" i="54" s="1"/>
  <c r="V146" i="54"/>
  <c r="AB145" i="54" l="1"/>
  <c r="F14" i="7"/>
  <c r="F23" i="7"/>
  <c r="I38" i="7"/>
  <c r="I82" i="47" s="1"/>
  <c r="C146" i="46" l="1"/>
  <c r="N146" i="46"/>
  <c r="H146" i="46" s="1"/>
  <c r="P146" i="46"/>
  <c r="T146" i="46"/>
  <c r="U146" i="46"/>
  <c r="AR148" i="46"/>
  <c r="BA148" i="46" s="1"/>
  <c r="AM148" i="46"/>
  <c r="AR147" i="46"/>
  <c r="BA147" i="46" s="1"/>
  <c r="AM147" i="46"/>
  <c r="AR146" i="46"/>
  <c r="BA146" i="46" s="1"/>
  <c r="AM146" i="46"/>
  <c r="AR145" i="46"/>
  <c r="BA145" i="46" s="1"/>
  <c r="AM145" i="46"/>
  <c r="T145" i="46"/>
  <c r="P145" i="46"/>
  <c r="N145" i="46"/>
  <c r="H145" i="46" s="1"/>
  <c r="J145" i="46" s="1"/>
  <c r="C145" i="46"/>
  <c r="Q38" i="7"/>
  <c r="Q39" i="7" s="1"/>
  <c r="Q33" i="7"/>
  <c r="Q34" i="7" s="1"/>
  <c r="R28" i="7"/>
  <c r="P28" i="7"/>
  <c r="S28" i="7" s="1"/>
  <c r="R26" i="7"/>
  <c r="P26" i="7"/>
  <c r="S26" i="7" s="1"/>
  <c r="P16" i="7"/>
  <c r="S16" i="7" s="1"/>
  <c r="Q23" i="7"/>
  <c r="Q24" i="7" s="1"/>
  <c r="R18" i="7"/>
  <c r="P18" i="7"/>
  <c r="S18" i="7" s="1"/>
  <c r="R16" i="7"/>
  <c r="R23" i="7" s="1"/>
  <c r="Q7" i="7"/>
  <c r="R7" i="7" s="1"/>
  <c r="R8" i="7"/>
  <c r="P8" i="7"/>
  <c r="S8" i="7" s="1"/>
  <c r="P7" i="7"/>
  <c r="R6" i="7"/>
  <c r="P6" i="7"/>
  <c r="S6" i="7" s="1"/>
  <c r="J4" i="7"/>
  <c r="Q13" i="7" l="1"/>
  <c r="Q14" i="7" s="1"/>
  <c r="R33" i="7"/>
  <c r="AD145" i="46"/>
  <c r="S7" i="7"/>
  <c r="S23" i="7"/>
  <c r="S24" i="7" s="1"/>
  <c r="R34" i="7"/>
  <c r="S33" i="7"/>
  <c r="S34" i="7" s="1"/>
  <c r="N35" i="39"/>
  <c r="V145" i="46"/>
  <c r="U145" i="46"/>
  <c r="AA145" i="46" s="1"/>
  <c r="AD148" i="46"/>
  <c r="AD147" i="46"/>
  <c r="AD146" i="46"/>
  <c r="K146" i="46"/>
  <c r="AC146" i="46" s="1"/>
  <c r="J146" i="46"/>
  <c r="V146" i="46"/>
  <c r="K145" i="46"/>
  <c r="R24" i="7"/>
  <c r="R13" i="7"/>
  <c r="R14" i="7" s="1"/>
  <c r="S13" i="7"/>
  <c r="S14" i="7" s="1"/>
  <c r="J4" i="13"/>
  <c r="AC145" i="46" l="1"/>
  <c r="AB145" i="46" s="1"/>
  <c r="L35" i="39"/>
  <c r="X145" i="46"/>
  <c r="AR143" i="54"/>
  <c r="BA143" i="54" s="1"/>
  <c r="AM143" i="54"/>
  <c r="AR142" i="54"/>
  <c r="BA142" i="54" s="1"/>
  <c r="AM142" i="54"/>
  <c r="AR141" i="54"/>
  <c r="BA141" i="54" s="1"/>
  <c r="AM141" i="54"/>
  <c r="AR140" i="54"/>
  <c r="BA140" i="54" s="1"/>
  <c r="AM140" i="54"/>
  <c r="F79" i="47"/>
  <c r="E80" i="47"/>
  <c r="G80" i="47" s="1"/>
  <c r="E79" i="47"/>
  <c r="AD140" i="54" l="1"/>
  <c r="AD141" i="54"/>
  <c r="AD143" i="54"/>
  <c r="AD142" i="54"/>
  <c r="G79" i="47"/>
  <c r="H79" i="47"/>
  <c r="O140" i="54" s="1"/>
  <c r="F14" i="8"/>
  <c r="F23" i="8"/>
  <c r="I38" i="8"/>
  <c r="I79" i="47" s="1"/>
  <c r="C140" i="54" l="1"/>
  <c r="K140" i="54"/>
  <c r="O140" i="46"/>
  <c r="C140" i="46" s="1"/>
  <c r="N34" i="39" s="1"/>
  <c r="AR143" i="46"/>
  <c r="BA143" i="46" s="1"/>
  <c r="AM143" i="46"/>
  <c r="AR142" i="46"/>
  <c r="BA142" i="46" s="1"/>
  <c r="AM142" i="46"/>
  <c r="AD142" i="46" s="1"/>
  <c r="AR141" i="46"/>
  <c r="BA141" i="46" s="1"/>
  <c r="AM141" i="46"/>
  <c r="AR140" i="46"/>
  <c r="BA140" i="46" s="1"/>
  <c r="AM140" i="46"/>
  <c r="N140" i="46"/>
  <c r="H140" i="46" s="1"/>
  <c r="Q13" i="8"/>
  <c r="Q14" i="8" s="1"/>
  <c r="R8" i="8"/>
  <c r="P8" i="8"/>
  <c r="S8" i="8" s="1"/>
  <c r="R7" i="8"/>
  <c r="P7" i="8"/>
  <c r="S7" i="8" s="1"/>
  <c r="R6" i="8"/>
  <c r="P6" i="8"/>
  <c r="S6" i="8" s="1"/>
  <c r="J4" i="8"/>
  <c r="K140" i="46" l="1"/>
  <c r="L34" i="39" s="1"/>
  <c r="T140" i="46"/>
  <c r="P140" i="46"/>
  <c r="U140" i="46"/>
  <c r="V140" i="46"/>
  <c r="S13" i="8"/>
  <c r="S14" i="8" s="1"/>
  <c r="R13" i="8"/>
  <c r="R14" i="8" s="1"/>
  <c r="U140" i="54"/>
  <c r="V140" i="54"/>
  <c r="P140" i="54"/>
  <c r="T140" i="54"/>
  <c r="AC140" i="54" s="1"/>
  <c r="AD143" i="46"/>
  <c r="AD141" i="46"/>
  <c r="AD140" i="46"/>
  <c r="J140" i="46"/>
  <c r="AR138" i="54"/>
  <c r="BA138" i="54" s="1"/>
  <c r="AM138" i="54"/>
  <c r="AR137" i="54"/>
  <c r="BA137" i="54" s="1"/>
  <c r="AM137" i="54"/>
  <c r="AR136" i="54"/>
  <c r="BA136" i="54" s="1"/>
  <c r="AM136" i="54"/>
  <c r="AD136" i="54" s="1"/>
  <c r="AR135" i="54"/>
  <c r="BA135" i="54" s="1"/>
  <c r="AM135" i="54"/>
  <c r="F77" i="47"/>
  <c r="E77" i="47"/>
  <c r="AD135" i="54" l="1"/>
  <c r="AC140" i="46"/>
  <c r="AD137" i="54"/>
  <c r="AD138" i="54"/>
  <c r="BL34" i="39"/>
  <c r="G77" i="47"/>
  <c r="H77" i="47" s="1"/>
  <c r="O135" i="54" s="1"/>
  <c r="N135" i="46"/>
  <c r="H135" i="46" s="1"/>
  <c r="J135" i="46" s="1"/>
  <c r="AR138" i="46"/>
  <c r="BA138" i="46" s="1"/>
  <c r="AM138" i="46"/>
  <c r="AR137" i="46"/>
  <c r="BA137" i="46" s="1"/>
  <c r="AM137" i="46"/>
  <c r="AR136" i="46"/>
  <c r="BA136" i="46" s="1"/>
  <c r="AM136" i="46"/>
  <c r="AR135" i="46"/>
  <c r="BA135" i="46" s="1"/>
  <c r="AM135" i="46"/>
  <c r="F14" i="9"/>
  <c r="F23" i="9"/>
  <c r="F9" i="9"/>
  <c r="I38" i="9"/>
  <c r="I77" i="47" s="1"/>
  <c r="R8" i="9"/>
  <c r="R7" i="9"/>
  <c r="P8" i="9"/>
  <c r="S8" i="9" s="1"/>
  <c r="P7" i="9"/>
  <c r="S7" i="9" s="1"/>
  <c r="Q13" i="9"/>
  <c r="Q14" i="9" s="1"/>
  <c r="R6" i="9"/>
  <c r="P6" i="9"/>
  <c r="S6" i="9" s="1"/>
  <c r="J4" i="9"/>
  <c r="C135" i="54" l="1"/>
  <c r="K135" i="54"/>
  <c r="O135" i="46"/>
  <c r="U135" i="46" s="1"/>
  <c r="AD136" i="46"/>
  <c r="AD137" i="46"/>
  <c r="BL33" i="39"/>
  <c r="AD138" i="46"/>
  <c r="AD135" i="46"/>
  <c r="S13" i="9"/>
  <c r="S14" i="9" s="1"/>
  <c r="R13" i="9"/>
  <c r="R14" i="9" s="1"/>
  <c r="C135" i="46" l="1"/>
  <c r="N33" i="39" s="1"/>
  <c r="P135" i="46"/>
  <c r="T135" i="46"/>
  <c r="K135" i="46"/>
  <c r="L33" i="39" s="1"/>
  <c r="V135" i="46"/>
  <c r="P135" i="54"/>
  <c r="T135" i="54"/>
  <c r="AC135" i="54" s="1"/>
  <c r="U135" i="54"/>
  <c r="V135" i="54"/>
  <c r="AC135" i="46" l="1"/>
  <c r="EA33" i="2"/>
  <c r="S25" i="2" l="1"/>
  <c r="S33" i="2"/>
  <c r="AR133" i="54" l="1"/>
  <c r="BA133" i="54" s="1"/>
  <c r="AM133" i="54"/>
  <c r="AR132" i="54"/>
  <c r="BA132" i="54" s="1"/>
  <c r="AM132" i="54"/>
  <c r="AD132" i="54" s="1"/>
  <c r="AR131" i="54"/>
  <c r="BA131" i="54" s="1"/>
  <c r="AM131" i="54"/>
  <c r="AR130" i="54"/>
  <c r="BA130" i="54" s="1"/>
  <c r="AM130" i="54"/>
  <c r="K17" i="10"/>
  <c r="W131" i="54" s="1"/>
  <c r="C7" i="10"/>
  <c r="K16" i="10" s="1"/>
  <c r="W130" i="54" s="1"/>
  <c r="F73" i="47"/>
  <c r="F75" i="47"/>
  <c r="E75" i="47"/>
  <c r="G75" i="47" s="1"/>
  <c r="H75" i="47" s="1"/>
  <c r="O131" i="54" s="1"/>
  <c r="E74" i="47"/>
  <c r="G74" i="47" s="1"/>
  <c r="E73" i="47"/>
  <c r="AD133" i="54" l="1"/>
  <c r="C131" i="54"/>
  <c r="K131" i="54"/>
  <c r="AD130" i="54"/>
  <c r="AD131" i="54"/>
  <c r="H73" i="47"/>
  <c r="O130" i="54" s="1"/>
  <c r="U130" i="54" s="1"/>
  <c r="W131" i="46"/>
  <c r="G73" i="47"/>
  <c r="W130" i="46"/>
  <c r="P131" i="54"/>
  <c r="U131" i="54"/>
  <c r="T131" i="54"/>
  <c r="V131" i="54"/>
  <c r="O131" i="46"/>
  <c r="V130" i="54"/>
  <c r="F14" i="10"/>
  <c r="F23" i="10"/>
  <c r="N130" i="46"/>
  <c r="H130" i="46" s="1"/>
  <c r="AR133" i="46"/>
  <c r="BA133" i="46" s="1"/>
  <c r="AM133" i="46"/>
  <c r="AR132" i="46"/>
  <c r="BA132" i="46" s="1"/>
  <c r="AM132" i="46"/>
  <c r="AR131" i="46"/>
  <c r="BA131" i="46" s="1"/>
  <c r="AM131" i="46"/>
  <c r="N131" i="46"/>
  <c r="H131" i="46" s="1"/>
  <c r="AR130" i="46"/>
  <c r="BA130" i="46" s="1"/>
  <c r="AM130" i="46"/>
  <c r="I38" i="10"/>
  <c r="I73" i="47" s="1"/>
  <c r="Q37" i="10"/>
  <c r="Q38" i="10" s="1"/>
  <c r="X27" i="10"/>
  <c r="Y27" i="10"/>
  <c r="W33" i="10"/>
  <c r="W34" i="10" s="1"/>
  <c r="Y26" i="10"/>
  <c r="X26" i="10"/>
  <c r="Q33" i="10"/>
  <c r="Q34" i="10" s="1"/>
  <c r="R26" i="10"/>
  <c r="R33" i="10" s="1"/>
  <c r="R34" i="10" s="1"/>
  <c r="P26" i="10"/>
  <c r="S26" i="10" s="1"/>
  <c r="S33" i="10" s="1"/>
  <c r="S34" i="10" s="1"/>
  <c r="P16" i="10"/>
  <c r="S16" i="10" s="1"/>
  <c r="S23" i="10" s="1"/>
  <c r="Q23" i="10"/>
  <c r="Q24" i="10" s="1"/>
  <c r="R16" i="10"/>
  <c r="R23" i="10" s="1"/>
  <c r="R8" i="10"/>
  <c r="P8" i="10"/>
  <c r="S8" i="10" s="1"/>
  <c r="P7" i="10"/>
  <c r="R6" i="10"/>
  <c r="P6" i="10"/>
  <c r="S6" i="10" s="1"/>
  <c r="J4" i="10"/>
  <c r="O130" i="46" l="1"/>
  <c r="U130" i="46" s="1"/>
  <c r="AA130" i="46" s="1"/>
  <c r="C130" i="54"/>
  <c r="K130" i="54"/>
  <c r="AD131" i="46"/>
  <c r="AA130" i="54"/>
  <c r="T130" i="54"/>
  <c r="P130" i="54"/>
  <c r="AD133" i="46"/>
  <c r="BL32" i="39"/>
  <c r="K131" i="46"/>
  <c r="AD132" i="46"/>
  <c r="V131" i="46"/>
  <c r="V130" i="46"/>
  <c r="P130" i="46"/>
  <c r="T130" i="46"/>
  <c r="C130" i="46"/>
  <c r="N32" i="39" s="1"/>
  <c r="J130" i="46"/>
  <c r="AD130" i="46"/>
  <c r="P131" i="46"/>
  <c r="T131" i="46"/>
  <c r="C131" i="46"/>
  <c r="U131" i="46"/>
  <c r="J131" i="46"/>
  <c r="Y33" i="10"/>
  <c r="Y34" i="10" s="1"/>
  <c r="X33" i="10"/>
  <c r="X34" i="10" s="1"/>
  <c r="S24" i="10"/>
  <c r="R24" i="10"/>
  <c r="S7" i="10"/>
  <c r="S13" i="10" s="1"/>
  <c r="R7" i="10"/>
  <c r="R13" i="10" s="1"/>
  <c r="Q13" i="10"/>
  <c r="Q14" i="10" s="1"/>
  <c r="O4" i="50"/>
  <c r="O3" i="50"/>
  <c r="P4" i="50"/>
  <c r="P3" i="50"/>
  <c r="Q4" i="50"/>
  <c r="Q3" i="50"/>
  <c r="R4" i="50"/>
  <c r="R3" i="50"/>
  <c r="S4" i="50"/>
  <c r="S3" i="50"/>
  <c r="T4" i="50"/>
  <c r="T3" i="50"/>
  <c r="U4" i="50"/>
  <c r="U3" i="50"/>
  <c r="V4" i="50"/>
  <c r="W4" i="50"/>
  <c r="X4" i="50"/>
  <c r="X3" i="50"/>
  <c r="K130" i="46" l="1"/>
  <c r="L32" i="39" s="1"/>
  <c r="X130" i="54"/>
  <c r="AC130" i="54"/>
  <c r="AB130" i="54"/>
  <c r="S14" i="10"/>
  <c r="R14" i="10"/>
  <c r="AR128" i="54"/>
  <c r="BA128" i="54" s="1"/>
  <c r="AM128" i="54"/>
  <c r="AR127" i="54"/>
  <c r="BA127" i="54" s="1"/>
  <c r="AM127" i="54"/>
  <c r="AR126" i="54"/>
  <c r="BA126" i="54" s="1"/>
  <c r="AM126" i="54"/>
  <c r="AR125" i="54"/>
  <c r="BA125" i="54" s="1"/>
  <c r="AM125" i="54"/>
  <c r="K16" i="11"/>
  <c r="W126" i="54" s="1"/>
  <c r="K15" i="11"/>
  <c r="W125" i="54" s="1"/>
  <c r="F71" i="47"/>
  <c r="E71" i="47"/>
  <c r="E70" i="47"/>
  <c r="G70" i="47" s="1"/>
  <c r="H70" i="47" s="1"/>
  <c r="O125" i="54" s="1"/>
  <c r="AD126" i="54" l="1"/>
  <c r="AD128" i="54"/>
  <c r="C125" i="54"/>
  <c r="K125" i="54"/>
  <c r="AC125" i="54" s="1"/>
  <c r="W126" i="46"/>
  <c r="AD125" i="54"/>
  <c r="W125" i="46"/>
  <c r="AD127" i="54"/>
  <c r="T125" i="54"/>
  <c r="G71" i="47"/>
  <c r="H71" i="47" s="1"/>
  <c r="O126" i="54" s="1"/>
  <c r="O125" i="46"/>
  <c r="V125" i="54"/>
  <c r="U125" i="54"/>
  <c r="AC130" i="46"/>
  <c r="AB130" i="46" s="1"/>
  <c r="X130" i="46"/>
  <c r="P125" i="54"/>
  <c r="F14" i="11"/>
  <c r="F17" i="11"/>
  <c r="F23" i="11" s="1"/>
  <c r="I38" i="11"/>
  <c r="I70" i="47" s="1"/>
  <c r="C126" i="54" l="1"/>
  <c r="K126" i="54"/>
  <c r="O126" i="46"/>
  <c r="C126" i="46" s="1"/>
  <c r="U125" i="46"/>
  <c r="N125" i="46"/>
  <c r="AR128" i="46"/>
  <c r="BA128" i="46" s="1"/>
  <c r="AM128" i="46"/>
  <c r="AR127" i="46"/>
  <c r="BA127" i="46" s="1"/>
  <c r="AM127" i="46"/>
  <c r="AR126" i="46"/>
  <c r="BA126" i="46" s="1"/>
  <c r="AM126" i="46"/>
  <c r="N126" i="46"/>
  <c r="H126" i="46" s="1"/>
  <c r="AR125" i="46"/>
  <c r="BA125" i="46" s="1"/>
  <c r="AM125" i="46"/>
  <c r="Q38" i="11"/>
  <c r="Y7" i="11"/>
  <c r="Z7" i="11"/>
  <c r="Y8" i="11"/>
  <c r="Z8" i="11"/>
  <c r="Y9" i="11"/>
  <c r="Z9" i="11"/>
  <c r="Y10" i="11"/>
  <c r="Z10" i="11"/>
  <c r="X6" i="11"/>
  <c r="Y6" i="11" s="1"/>
  <c r="W6" i="11"/>
  <c r="Q26" i="11"/>
  <c r="Q27" i="11" s="1"/>
  <c r="P27" i="11"/>
  <c r="P26" i="11"/>
  <c r="P17" i="11"/>
  <c r="Q17" i="11"/>
  <c r="Q23" i="11" s="1"/>
  <c r="Q24" i="11" s="1"/>
  <c r="R16" i="11"/>
  <c r="P16" i="11"/>
  <c r="S16" i="11" s="1"/>
  <c r="Q6" i="11"/>
  <c r="Q7" i="11" s="1"/>
  <c r="P6" i="11"/>
  <c r="S6" i="11" s="1"/>
  <c r="X125" i="54" l="1"/>
  <c r="Z6" i="11"/>
  <c r="AD127" i="46"/>
  <c r="AD126" i="46"/>
  <c r="P126" i="46"/>
  <c r="T126" i="46"/>
  <c r="U126" i="46"/>
  <c r="AA125" i="46" s="1"/>
  <c r="R26" i="11"/>
  <c r="K126" i="46"/>
  <c r="AD128" i="46"/>
  <c r="S26" i="11"/>
  <c r="S27" i="11"/>
  <c r="P126" i="54"/>
  <c r="T126" i="54"/>
  <c r="AC126" i="54" s="1"/>
  <c r="V126" i="54"/>
  <c r="U126" i="54"/>
  <c r="AA125" i="54" s="1"/>
  <c r="BL31" i="39"/>
  <c r="V125" i="46"/>
  <c r="AD125" i="46"/>
  <c r="V126" i="46"/>
  <c r="P125" i="46"/>
  <c r="T125" i="46"/>
  <c r="C125" i="46"/>
  <c r="N31" i="39" s="1"/>
  <c r="H125" i="46"/>
  <c r="J126" i="46"/>
  <c r="Y13" i="11"/>
  <c r="Z13" i="11"/>
  <c r="X13" i="11"/>
  <c r="X14" i="11" s="1"/>
  <c r="S33" i="11"/>
  <c r="Q33" i="11"/>
  <c r="Q34" i="11" s="1"/>
  <c r="R27" i="11"/>
  <c r="R17" i="11"/>
  <c r="R23" i="11" s="1"/>
  <c r="R24" i="11" s="1"/>
  <c r="S17" i="11"/>
  <c r="S23" i="11" s="1"/>
  <c r="S24" i="11" s="1"/>
  <c r="S7" i="11"/>
  <c r="S13" i="11" s="1"/>
  <c r="R7" i="11"/>
  <c r="Q13" i="11"/>
  <c r="Q14" i="11" s="1"/>
  <c r="R6" i="11"/>
  <c r="R13" i="11" s="1"/>
  <c r="R14" i="11" s="1"/>
  <c r="J4" i="11"/>
  <c r="AC126" i="46" l="1"/>
  <c r="R33" i="11"/>
  <c r="AB125" i="54"/>
  <c r="S14" i="11"/>
  <c r="R34" i="11"/>
  <c r="J125" i="46"/>
  <c r="K125" i="46"/>
  <c r="Z14" i="11"/>
  <c r="Y14" i="11"/>
  <c r="S34" i="11"/>
  <c r="AR102" i="54"/>
  <c r="BA102" i="54" s="1"/>
  <c r="AM102" i="54"/>
  <c r="AR101" i="54"/>
  <c r="BA101" i="54" s="1"/>
  <c r="AM101" i="54"/>
  <c r="AR100" i="54"/>
  <c r="BA100" i="54" s="1"/>
  <c r="AM100" i="54"/>
  <c r="AD102" i="54" l="1"/>
  <c r="AD100" i="54"/>
  <c r="AD101" i="54"/>
  <c r="X125" i="46"/>
  <c r="L31" i="39"/>
  <c r="AC125" i="46"/>
  <c r="AB125" i="46" s="1"/>
  <c r="AR118" i="54" l="1"/>
  <c r="BA118" i="54" s="1"/>
  <c r="AM118" i="54"/>
  <c r="AR117" i="54"/>
  <c r="BA117" i="54" s="1"/>
  <c r="AM117" i="54"/>
  <c r="AR116" i="54"/>
  <c r="BA116" i="54" s="1"/>
  <c r="AM116" i="54"/>
  <c r="AR115" i="54"/>
  <c r="BA115" i="54" s="1"/>
  <c r="AM115" i="54"/>
  <c r="AR113" i="54"/>
  <c r="BA113" i="54" s="1"/>
  <c r="AM113" i="54"/>
  <c r="AR112" i="54"/>
  <c r="BA112" i="54" s="1"/>
  <c r="AM112" i="54"/>
  <c r="AR111" i="54"/>
  <c r="BA111" i="54" s="1"/>
  <c r="AM111" i="54"/>
  <c r="AD111" i="54" s="1"/>
  <c r="AR110" i="54"/>
  <c r="BA110" i="54" s="1"/>
  <c r="AM110" i="54"/>
  <c r="F68" i="47"/>
  <c r="E68" i="47"/>
  <c r="F67" i="47"/>
  <c r="E67" i="47"/>
  <c r="G67" i="47" s="1"/>
  <c r="H67" i="47" s="1"/>
  <c r="O120" i="54" s="1"/>
  <c r="K15" i="12"/>
  <c r="W121" i="54" s="1"/>
  <c r="K7" i="12"/>
  <c r="W120" i="54" s="1"/>
  <c r="F64" i="47"/>
  <c r="E65" i="47"/>
  <c r="G65" i="47" s="1"/>
  <c r="E64" i="47"/>
  <c r="E62" i="47"/>
  <c r="G62" i="47" s="1"/>
  <c r="H62" i="47" s="1"/>
  <c r="O110" i="54" s="1"/>
  <c r="AD113" i="54" l="1"/>
  <c r="AD118" i="54"/>
  <c r="C120" i="54"/>
  <c r="K120" i="54"/>
  <c r="C110" i="54"/>
  <c r="K110" i="54"/>
  <c r="AD110" i="54"/>
  <c r="AD116" i="54"/>
  <c r="AD112" i="54"/>
  <c r="AD117" i="54"/>
  <c r="U120" i="54"/>
  <c r="V120" i="54"/>
  <c r="P120" i="54"/>
  <c r="T120" i="54"/>
  <c r="O110" i="46"/>
  <c r="AD115" i="54"/>
  <c r="W121" i="46"/>
  <c r="H64" i="47"/>
  <c r="O115" i="54" s="1"/>
  <c r="P115" i="54" s="1"/>
  <c r="U110" i="54"/>
  <c r="G64" i="47"/>
  <c r="V110" i="54"/>
  <c r="O120" i="46"/>
  <c r="G68" i="47"/>
  <c r="H68" i="47" s="1"/>
  <c r="O121" i="54" s="1"/>
  <c r="W120" i="46"/>
  <c r="AC120" i="54" l="1"/>
  <c r="C115" i="54"/>
  <c r="K115" i="54"/>
  <c r="C121" i="54"/>
  <c r="K121" i="54"/>
  <c r="U121" i="54"/>
  <c r="AA120" i="54" s="1"/>
  <c r="T121" i="54"/>
  <c r="P121" i="54"/>
  <c r="V121" i="54"/>
  <c r="O115" i="46"/>
  <c r="T110" i="54"/>
  <c r="AC110" i="54" s="1"/>
  <c r="P110" i="54"/>
  <c r="U115" i="54"/>
  <c r="T115" i="54"/>
  <c r="V115" i="54"/>
  <c r="O121" i="46"/>
  <c r="BL28" i="39"/>
  <c r="X120" i="54" l="1"/>
  <c r="AC121" i="54"/>
  <c r="AC115" i="54"/>
  <c r="BL29" i="39"/>
  <c r="AB120" i="54"/>
  <c r="F9" i="12"/>
  <c r="I38" i="12"/>
  <c r="I67" i="47" s="1"/>
  <c r="I38" i="13"/>
  <c r="I64" i="47" s="1"/>
  <c r="I38" i="14"/>
  <c r="I62" i="47" s="1"/>
  <c r="BL30" i="39" l="1"/>
  <c r="N121" i="46"/>
  <c r="H121" i="46" s="1"/>
  <c r="C121" i="46"/>
  <c r="T121" i="46"/>
  <c r="U121" i="46"/>
  <c r="AR123" i="46"/>
  <c r="BA123" i="46" s="1"/>
  <c r="AM123" i="46"/>
  <c r="AR122" i="46"/>
  <c r="BA122" i="46" s="1"/>
  <c r="AM122" i="46"/>
  <c r="AR121" i="46"/>
  <c r="BA121" i="46" s="1"/>
  <c r="AM121" i="46"/>
  <c r="AR120" i="46"/>
  <c r="BA120" i="46" s="1"/>
  <c r="AM120" i="46"/>
  <c r="U120" i="46"/>
  <c r="AA120" i="46" s="1"/>
  <c r="N120" i="46"/>
  <c r="AR118" i="46"/>
  <c r="BA118" i="46" s="1"/>
  <c r="AM118" i="46"/>
  <c r="AR117" i="46"/>
  <c r="BA117" i="46" s="1"/>
  <c r="AM117" i="46"/>
  <c r="AR116" i="46"/>
  <c r="BA116" i="46" s="1"/>
  <c r="AM116" i="46"/>
  <c r="AR115" i="46"/>
  <c r="BA115" i="46" s="1"/>
  <c r="AM115" i="46"/>
  <c r="U115" i="46"/>
  <c r="P115" i="46"/>
  <c r="N115" i="46"/>
  <c r="T115" i="46"/>
  <c r="G115" i="46"/>
  <c r="AR113" i="46"/>
  <c r="BA113" i="46" s="1"/>
  <c r="AM113" i="46"/>
  <c r="AR112" i="46"/>
  <c r="BA112" i="46" s="1"/>
  <c r="AM112" i="46"/>
  <c r="AR111" i="46"/>
  <c r="BA111" i="46" s="1"/>
  <c r="AM111" i="46"/>
  <c r="AR110" i="46"/>
  <c r="BA110" i="46" s="1"/>
  <c r="AM110" i="46"/>
  <c r="P110" i="46"/>
  <c r="G110" i="46"/>
  <c r="Q37" i="12"/>
  <c r="Q36" i="12"/>
  <c r="Q26" i="12"/>
  <c r="Q27" i="12" s="1"/>
  <c r="Q33" i="12" s="1"/>
  <c r="Q34" i="12" s="1"/>
  <c r="P26" i="12"/>
  <c r="Q16" i="12"/>
  <c r="P17" i="12"/>
  <c r="P16" i="12"/>
  <c r="J4" i="12"/>
  <c r="Q13" i="12"/>
  <c r="Q14" i="12" s="1"/>
  <c r="R6" i="12"/>
  <c r="R13" i="12" s="1"/>
  <c r="P6" i="12"/>
  <c r="S6" i="12" s="1"/>
  <c r="S13" i="12" s="1"/>
  <c r="G42" i="13"/>
  <c r="I37" i="13" s="1"/>
  <c r="F42" i="13"/>
  <c r="R7" i="13"/>
  <c r="R8" i="13"/>
  <c r="P7" i="13"/>
  <c r="S7" i="13" s="1"/>
  <c r="P8" i="13"/>
  <c r="S8" i="13" s="1"/>
  <c r="Q13" i="13"/>
  <c r="Q14" i="13" s="1"/>
  <c r="R6" i="13"/>
  <c r="P6" i="13"/>
  <c r="S6" i="13" s="1"/>
  <c r="Q33" i="14"/>
  <c r="Q34" i="14" s="1"/>
  <c r="R28" i="14"/>
  <c r="P28" i="14"/>
  <c r="S28" i="14" s="1"/>
  <c r="R26" i="14"/>
  <c r="P26" i="14"/>
  <c r="S26" i="14" s="1"/>
  <c r="P16" i="14"/>
  <c r="R18" i="14"/>
  <c r="P18" i="14"/>
  <c r="S18" i="14" s="1"/>
  <c r="Q6" i="14"/>
  <c r="P7" i="14"/>
  <c r="P6" i="14"/>
  <c r="R8" i="14"/>
  <c r="P8" i="14"/>
  <c r="S8" i="14" s="1"/>
  <c r="J4" i="14"/>
  <c r="AD116" i="46" l="1"/>
  <c r="AD118" i="46"/>
  <c r="AD117" i="46"/>
  <c r="AD110" i="46"/>
  <c r="Q38" i="12"/>
  <c r="S26" i="12"/>
  <c r="AD121" i="46"/>
  <c r="AD112" i="46"/>
  <c r="AD123" i="46"/>
  <c r="Q17" i="12"/>
  <c r="R17" i="12" s="1"/>
  <c r="S16" i="12"/>
  <c r="R16" i="12"/>
  <c r="AD120" i="46"/>
  <c r="S6" i="14"/>
  <c r="V115" i="46"/>
  <c r="R6" i="14"/>
  <c r="AD111" i="46"/>
  <c r="Q7" i="14"/>
  <c r="R7" i="14" s="1"/>
  <c r="S14" i="12"/>
  <c r="S33" i="14"/>
  <c r="S34" i="14" s="1"/>
  <c r="R33" i="14"/>
  <c r="R34" i="14" s="1"/>
  <c r="R14" i="12"/>
  <c r="AD115" i="46"/>
  <c r="C110" i="46"/>
  <c r="N28" i="39" s="1"/>
  <c r="U110" i="46"/>
  <c r="AD122" i="46"/>
  <c r="AD113" i="46"/>
  <c r="V120" i="46"/>
  <c r="J121" i="46"/>
  <c r="P121" i="46"/>
  <c r="K121" i="46"/>
  <c r="AC121" i="46" s="1"/>
  <c r="V121" i="46"/>
  <c r="C120" i="46"/>
  <c r="N30" i="39" s="1"/>
  <c r="P120" i="46"/>
  <c r="T120" i="46"/>
  <c r="H120" i="46"/>
  <c r="J120" i="46" s="1"/>
  <c r="C115" i="46"/>
  <c r="N29" i="39" s="1"/>
  <c r="H115" i="46"/>
  <c r="T110" i="46"/>
  <c r="N110" i="46"/>
  <c r="H110" i="46" s="1"/>
  <c r="K110" i="46" s="1"/>
  <c r="L28" i="39" s="1"/>
  <c r="S27" i="12"/>
  <c r="R26" i="12"/>
  <c r="R27" i="12"/>
  <c r="S13" i="13"/>
  <c r="S14" i="13" s="1"/>
  <c r="R13" i="13"/>
  <c r="R14" i="13" s="1"/>
  <c r="Q23" i="14"/>
  <c r="Q24" i="14" s="1"/>
  <c r="R16" i="14"/>
  <c r="S16" i="14"/>
  <c r="S23" i="14" s="1"/>
  <c r="F32" i="12"/>
  <c r="E32" i="12"/>
  <c r="D32" i="12"/>
  <c r="C32" i="12"/>
  <c r="F23" i="12"/>
  <c r="E23" i="12"/>
  <c r="D23" i="12"/>
  <c r="C23" i="12"/>
  <c r="F14" i="12"/>
  <c r="E14" i="12"/>
  <c r="D14" i="12"/>
  <c r="C14" i="12"/>
  <c r="F23" i="13"/>
  <c r="F14" i="13"/>
  <c r="F23" i="14"/>
  <c r="F14" i="14"/>
  <c r="S33" i="12" l="1"/>
  <c r="S34" i="12" s="1"/>
  <c r="K120" i="46"/>
  <c r="R13" i="14"/>
  <c r="R23" i="12"/>
  <c r="Q23" i="12"/>
  <c r="Q24" i="12" s="1"/>
  <c r="Q13" i="14"/>
  <c r="Q14" i="14" s="1"/>
  <c r="C24" i="12"/>
  <c r="S17" i="12"/>
  <c r="S23" i="12" s="1"/>
  <c r="S7" i="14"/>
  <c r="S13" i="14" s="1"/>
  <c r="AC120" i="46"/>
  <c r="AB120" i="46" s="1"/>
  <c r="L30" i="39"/>
  <c r="D24" i="12"/>
  <c r="C15" i="12"/>
  <c r="X120" i="46"/>
  <c r="K115" i="46"/>
  <c r="L29" i="39" s="1"/>
  <c r="J115" i="46"/>
  <c r="AC110" i="46"/>
  <c r="J110" i="46"/>
  <c r="V110" i="46"/>
  <c r="R33" i="12"/>
  <c r="R34" i="12" s="1"/>
  <c r="S24" i="14"/>
  <c r="R23" i="14"/>
  <c r="R24" i="14" s="1"/>
  <c r="E15" i="12"/>
  <c r="E24" i="12"/>
  <c r="D15" i="12"/>
  <c r="KW26" i="1"/>
  <c r="S24" i="12" l="1"/>
  <c r="R14" i="14"/>
  <c r="R24" i="12"/>
  <c r="S14" i="14"/>
  <c r="AC115" i="46"/>
  <c r="M102" i="46"/>
  <c r="N102" i="46" s="1"/>
  <c r="H102" i="46" s="1"/>
  <c r="P20" i="16"/>
  <c r="W101" i="46"/>
  <c r="W102" i="46"/>
  <c r="K7" i="16"/>
  <c r="G105" i="46"/>
  <c r="G102" i="46"/>
  <c r="J102" i="46" l="1"/>
  <c r="G60" i="47" l="1"/>
  <c r="H60" i="47" s="1"/>
  <c r="O105" i="54" s="1"/>
  <c r="N38" i="16"/>
  <c r="I57" i="47"/>
  <c r="G58" i="47"/>
  <c r="H58" i="47" s="1"/>
  <c r="O102" i="54" s="1"/>
  <c r="F57" i="47"/>
  <c r="E57" i="47"/>
  <c r="G57" i="47" s="1"/>
  <c r="H57" i="47" s="1"/>
  <c r="O101" i="54" s="1"/>
  <c r="E56" i="47"/>
  <c r="G56" i="47" s="1"/>
  <c r="H56" i="47" s="1"/>
  <c r="O100" i="54" s="1"/>
  <c r="C101" i="54" l="1"/>
  <c r="K101" i="54"/>
  <c r="C100" i="54"/>
  <c r="K100" i="54"/>
  <c r="K102" i="54"/>
  <c r="AC102" i="54" s="1"/>
  <c r="C102" i="54"/>
  <c r="C105" i="54"/>
  <c r="K105" i="54"/>
  <c r="AC105" i="54" s="1"/>
  <c r="P102" i="54"/>
  <c r="U102" i="54"/>
  <c r="V102" i="54"/>
  <c r="T102" i="54"/>
  <c r="U100" i="54"/>
  <c r="P100" i="54"/>
  <c r="T100" i="54"/>
  <c r="V100" i="54"/>
  <c r="U101" i="54"/>
  <c r="P101" i="54"/>
  <c r="T101" i="54"/>
  <c r="V101" i="54"/>
  <c r="O101" i="46"/>
  <c r="O105" i="46"/>
  <c r="O102" i="46"/>
  <c r="P105" i="54"/>
  <c r="T105" i="54"/>
  <c r="U105" i="54"/>
  <c r="V105" i="54"/>
  <c r="O100" i="46"/>
  <c r="FA28" i="2"/>
  <c r="FA27" i="2"/>
  <c r="S27" i="2"/>
  <c r="AC100" i="54" l="1"/>
  <c r="AC101" i="54"/>
  <c r="U102" i="46"/>
  <c r="V102" i="46"/>
  <c r="P102" i="46"/>
  <c r="T102" i="46"/>
  <c r="C102" i="46"/>
  <c r="K102" i="46"/>
  <c r="AC102" i="46" s="1"/>
  <c r="BL26" i="39"/>
  <c r="AR108" i="54"/>
  <c r="BA108" i="54" s="1"/>
  <c r="AM108" i="54"/>
  <c r="AR107" i="54"/>
  <c r="BA107" i="54" s="1"/>
  <c r="AM107" i="54"/>
  <c r="AR106" i="54"/>
  <c r="BA106" i="54" s="1"/>
  <c r="AM106" i="54"/>
  <c r="AR105" i="54"/>
  <c r="BA105" i="54" s="1"/>
  <c r="AM105" i="54"/>
  <c r="AR103" i="54"/>
  <c r="BA103" i="54" s="1"/>
  <c r="AM103" i="54"/>
  <c r="U105" i="46"/>
  <c r="U100" i="46"/>
  <c r="U101" i="46"/>
  <c r="N101" i="46"/>
  <c r="AR108" i="46"/>
  <c r="BA108" i="46" s="1"/>
  <c r="AM108" i="46"/>
  <c r="AR107" i="46"/>
  <c r="BA107" i="46" s="1"/>
  <c r="AM107" i="46"/>
  <c r="AR106" i="46"/>
  <c r="BA106" i="46" s="1"/>
  <c r="AM106" i="46"/>
  <c r="AR105" i="46"/>
  <c r="BA105" i="46" s="1"/>
  <c r="AM105" i="46"/>
  <c r="AR103" i="46"/>
  <c r="BA103" i="46" s="1"/>
  <c r="AM103" i="46"/>
  <c r="AR102" i="46"/>
  <c r="BA102" i="46" s="1"/>
  <c r="AM102" i="46"/>
  <c r="AR101" i="46"/>
  <c r="BA101" i="46" s="1"/>
  <c r="AM101" i="46"/>
  <c r="AR100" i="46"/>
  <c r="BA100" i="46" s="1"/>
  <c r="AM100" i="46"/>
  <c r="P100" i="46"/>
  <c r="N100" i="46"/>
  <c r="V100" i="46" s="1"/>
  <c r="F14" i="15"/>
  <c r="F23" i="15"/>
  <c r="I38" i="15"/>
  <c r="I60" i="47" s="1"/>
  <c r="G40" i="15"/>
  <c r="G39" i="15"/>
  <c r="G38" i="15"/>
  <c r="O8" i="15"/>
  <c r="N6" i="15"/>
  <c r="K14" i="16"/>
  <c r="W100" i="54" s="1"/>
  <c r="X100" i="54" s="1"/>
  <c r="F14" i="16"/>
  <c r="F23" i="16"/>
  <c r="I38" i="16"/>
  <c r="N37" i="16" s="1"/>
  <c r="I56" i="47" s="1"/>
  <c r="G42" i="16"/>
  <c r="I37" i="16" s="1"/>
  <c r="F42" i="16"/>
  <c r="Q18" i="16"/>
  <c r="Q20" i="16"/>
  <c r="P19" i="16"/>
  <c r="Q19" i="16" s="1"/>
  <c r="O18" i="16"/>
  <c r="R18" i="16" s="1"/>
  <c r="O19" i="16"/>
  <c r="O20" i="16"/>
  <c r="R20" i="16" s="1"/>
  <c r="Q17" i="16"/>
  <c r="O17" i="16"/>
  <c r="R17" i="16" s="1"/>
  <c r="P9" i="16"/>
  <c r="Q9" i="16" s="1"/>
  <c r="P8" i="16"/>
  <c r="Q8" i="16" s="1"/>
  <c r="O9" i="16"/>
  <c r="O8" i="16"/>
  <c r="N6" i="16"/>
  <c r="AD107" i="54" l="1"/>
  <c r="AD105" i="54"/>
  <c r="R19" i="16"/>
  <c r="R21" i="16" s="1"/>
  <c r="AD103" i="54"/>
  <c r="AD108" i="54"/>
  <c r="AD106" i="54"/>
  <c r="AA100" i="54"/>
  <c r="AB100" i="54" s="1"/>
  <c r="C100" i="46"/>
  <c r="P10" i="16"/>
  <c r="AD101" i="46"/>
  <c r="R8" i="16"/>
  <c r="T100" i="46"/>
  <c r="R9" i="16"/>
  <c r="AD103" i="46"/>
  <c r="P21" i="16"/>
  <c r="AD106" i="46"/>
  <c r="N105" i="46"/>
  <c r="V105" i="46" s="1"/>
  <c r="AD108" i="46"/>
  <c r="V101" i="46"/>
  <c r="H101" i="46"/>
  <c r="W100" i="46"/>
  <c r="AA100" i="46" s="1"/>
  <c r="AD105" i="46"/>
  <c r="AD100" i="46"/>
  <c r="P105" i="46"/>
  <c r="C105" i="46"/>
  <c r="N27" i="39" s="1"/>
  <c r="T105" i="46"/>
  <c r="P101" i="46"/>
  <c r="C101" i="46"/>
  <c r="T101" i="46"/>
  <c r="AD107" i="46"/>
  <c r="AD102" i="46"/>
  <c r="H100" i="46"/>
  <c r="Q21" i="16"/>
  <c r="Q10" i="16"/>
  <c r="S26" i="2"/>
  <c r="AR98" i="54"/>
  <c r="BA98" i="54" s="1"/>
  <c r="AM98" i="54"/>
  <c r="AR97" i="54"/>
  <c r="BA97" i="54" s="1"/>
  <c r="AM97" i="54"/>
  <c r="AR96" i="54"/>
  <c r="BA96" i="54" s="1"/>
  <c r="AM96" i="54"/>
  <c r="AR95" i="54"/>
  <c r="BA95" i="54" s="1"/>
  <c r="AM95" i="54"/>
  <c r="AD95" i="54" s="1"/>
  <c r="AD97" i="54" l="1"/>
  <c r="R22" i="16"/>
  <c r="N26" i="39"/>
  <c r="AD98" i="54"/>
  <c r="Q11" i="16"/>
  <c r="AD96" i="54"/>
  <c r="Q22" i="16"/>
  <c r="R10" i="16"/>
  <c r="R11" i="16" s="1"/>
  <c r="H105" i="46"/>
  <c r="J105" i="46" s="1"/>
  <c r="K101" i="46"/>
  <c r="AC101" i="46" s="1"/>
  <c r="J101" i="46"/>
  <c r="K100" i="46"/>
  <c r="L26" i="39" s="1"/>
  <c r="J100" i="46"/>
  <c r="K105" i="46" l="1"/>
  <c r="BL27" i="39"/>
  <c r="L27" i="39"/>
  <c r="AC105" i="46"/>
  <c r="AC100" i="46"/>
  <c r="X100" i="46"/>
  <c r="AB100" i="46"/>
  <c r="E54" i="47"/>
  <c r="G54" i="47" s="1"/>
  <c r="H54" i="47" s="1"/>
  <c r="O95" i="54" s="1"/>
  <c r="C95" i="54" l="1"/>
  <c r="K95" i="54"/>
  <c r="BL25" i="39" s="1"/>
  <c r="U95" i="54"/>
  <c r="V95" i="54"/>
  <c r="P95" i="54"/>
  <c r="T95" i="54"/>
  <c r="O95" i="46"/>
  <c r="AC95" i="54" l="1"/>
  <c r="AR98" i="46"/>
  <c r="BA98" i="46" s="1"/>
  <c r="AM98" i="46"/>
  <c r="AR97" i="46"/>
  <c r="BA97" i="46" s="1"/>
  <c r="AM97" i="46"/>
  <c r="AR96" i="46"/>
  <c r="BA96" i="46" s="1"/>
  <c r="AM96" i="46"/>
  <c r="AC96" i="46"/>
  <c r="AR95" i="46"/>
  <c r="BA95" i="46" s="1"/>
  <c r="AM95" i="46"/>
  <c r="T95" i="46"/>
  <c r="N95" i="46"/>
  <c r="V95" i="46" s="1"/>
  <c r="F14" i="17"/>
  <c r="F23" i="17"/>
  <c r="I38" i="17"/>
  <c r="I54" i="47" s="1"/>
  <c r="I37" i="17"/>
  <c r="AD96" i="46" l="1"/>
  <c r="AD95" i="46"/>
  <c r="AD98" i="46"/>
  <c r="AD97" i="46"/>
  <c r="P95" i="46"/>
  <c r="C95" i="46"/>
  <c r="N25" i="39" s="1"/>
  <c r="U95" i="46"/>
  <c r="H95" i="46"/>
  <c r="J95" i="46" l="1"/>
  <c r="K95" i="46"/>
  <c r="L25" i="39" s="1"/>
  <c r="AR93" i="54"/>
  <c r="BA93" i="54" s="1"/>
  <c r="AM93" i="54"/>
  <c r="AD93" i="54" s="1"/>
  <c r="AR92" i="54"/>
  <c r="BA92" i="54" s="1"/>
  <c r="AM92" i="54"/>
  <c r="AR91" i="54"/>
  <c r="BA91" i="54" s="1"/>
  <c r="AM91" i="54"/>
  <c r="AR90" i="54"/>
  <c r="BA90" i="54" s="1"/>
  <c r="AM90" i="54"/>
  <c r="AD90" i="54" s="1"/>
  <c r="E52" i="47"/>
  <c r="G52" i="47" s="1"/>
  <c r="H52" i="47" s="1"/>
  <c r="O90" i="54" s="1"/>
  <c r="DC25" i="2"/>
  <c r="AD91" i="54" l="1"/>
  <c r="AD92" i="54"/>
  <c r="C90" i="54"/>
  <c r="K90" i="54"/>
  <c r="O90" i="46"/>
  <c r="U90" i="54"/>
  <c r="AC95" i="46"/>
  <c r="V90" i="54"/>
  <c r="T90" i="54"/>
  <c r="G25" i="2"/>
  <c r="AC90" i="54" l="1"/>
  <c r="P90" i="54"/>
  <c r="AR93" i="46"/>
  <c r="BA93" i="46" s="1"/>
  <c r="AM93" i="46"/>
  <c r="AR92" i="46"/>
  <c r="BA92" i="46" s="1"/>
  <c r="AM92" i="46"/>
  <c r="AR91" i="46"/>
  <c r="BA91" i="46" s="1"/>
  <c r="AM91" i="46"/>
  <c r="AC91" i="46"/>
  <c r="AR90" i="46"/>
  <c r="BA90" i="46" s="1"/>
  <c r="AM90" i="46"/>
  <c r="P90" i="46"/>
  <c r="N90" i="46"/>
  <c r="V90" i="46" s="1"/>
  <c r="F14" i="18"/>
  <c r="F23" i="18"/>
  <c r="G42" i="18"/>
  <c r="I37" i="18" s="1"/>
  <c r="F42" i="18"/>
  <c r="I38" i="18"/>
  <c r="I52" i="47" s="1"/>
  <c r="AD93" i="46" l="1"/>
  <c r="BL24" i="39"/>
  <c r="AD92" i="46"/>
  <c r="AD91" i="46"/>
  <c r="AD90" i="46"/>
  <c r="T90" i="46"/>
  <c r="C90" i="46"/>
  <c r="N24" i="39" s="1"/>
  <c r="U90" i="46"/>
  <c r="H90" i="46"/>
  <c r="AR88" i="54"/>
  <c r="BA88" i="54" s="1"/>
  <c r="AM88" i="54"/>
  <c r="AR87" i="54"/>
  <c r="BA87" i="54" s="1"/>
  <c r="AM87" i="54"/>
  <c r="AR86" i="54"/>
  <c r="BA86" i="54" s="1"/>
  <c r="AM86" i="54"/>
  <c r="AR85" i="54"/>
  <c r="BA85" i="54" s="1"/>
  <c r="AM85" i="54"/>
  <c r="AR83" i="54"/>
  <c r="BA83" i="54" s="1"/>
  <c r="AM83" i="54"/>
  <c r="AD83" i="54" s="1"/>
  <c r="AR82" i="54"/>
  <c r="BA82" i="54" s="1"/>
  <c r="AM82" i="54"/>
  <c r="AR81" i="54"/>
  <c r="BA81" i="54" s="1"/>
  <c r="AM81" i="54"/>
  <c r="AR80" i="54"/>
  <c r="BA80" i="54" s="1"/>
  <c r="AM80" i="54"/>
  <c r="AD87" i="54" l="1"/>
  <c r="AD88" i="54"/>
  <c r="AD81" i="54"/>
  <c r="AD86" i="54"/>
  <c r="AD82" i="54"/>
  <c r="AD80" i="54"/>
  <c r="AD85" i="54"/>
  <c r="J90" i="46"/>
  <c r="K90" i="46"/>
  <c r="L24" i="39" s="1"/>
  <c r="AC90" i="46" l="1"/>
  <c r="Z85" i="46" l="1"/>
  <c r="F50" i="47"/>
  <c r="E50" i="47"/>
  <c r="F49" i="47"/>
  <c r="E49" i="47"/>
  <c r="E47" i="47"/>
  <c r="G47" i="47" s="1"/>
  <c r="H47" i="47" s="1"/>
  <c r="O80" i="54" s="1"/>
  <c r="C80" i="54" l="1"/>
  <c r="K80" i="54"/>
  <c r="U80" i="54"/>
  <c r="P80" i="54"/>
  <c r="V80" i="54"/>
  <c r="T80" i="54"/>
  <c r="O80" i="46"/>
  <c r="G50" i="47"/>
  <c r="H49" i="47"/>
  <c r="O85" i="54" s="1"/>
  <c r="G49" i="47"/>
  <c r="AC80" i="54" l="1"/>
  <c r="C85" i="54"/>
  <c r="K85" i="54"/>
  <c r="BL22" i="39"/>
  <c r="O85" i="46"/>
  <c r="G24" i="2"/>
  <c r="U85" i="54" l="1"/>
  <c r="V85" i="54"/>
  <c r="P85" i="54"/>
  <c r="T85" i="54"/>
  <c r="AC85" i="54" s="1"/>
  <c r="AR88" i="46"/>
  <c r="BA88" i="46" s="1"/>
  <c r="AM88" i="46"/>
  <c r="AR87" i="46"/>
  <c r="BA87" i="46" s="1"/>
  <c r="AM87" i="46"/>
  <c r="AR86" i="46"/>
  <c r="BA86" i="46" s="1"/>
  <c r="AM86" i="46"/>
  <c r="AD86" i="46" s="1"/>
  <c r="AC86" i="46"/>
  <c r="AR85" i="46"/>
  <c r="BA85" i="46" s="1"/>
  <c r="AM85" i="46"/>
  <c r="U85" i="46"/>
  <c r="N85" i="46"/>
  <c r="V85" i="46" s="1"/>
  <c r="U80" i="46"/>
  <c r="N80" i="46"/>
  <c r="AR83" i="46"/>
  <c r="BA83" i="46" s="1"/>
  <c r="AM83" i="46"/>
  <c r="AR82" i="46"/>
  <c r="BA82" i="46" s="1"/>
  <c r="AM82" i="46"/>
  <c r="AR81" i="46"/>
  <c r="BA81" i="46" s="1"/>
  <c r="AM81" i="46"/>
  <c r="AR80" i="46"/>
  <c r="BA80" i="46" s="1"/>
  <c r="AM80" i="46"/>
  <c r="F14" i="19"/>
  <c r="F26" i="19"/>
  <c r="F17" i="19"/>
  <c r="F23" i="19" s="1"/>
  <c r="I38" i="19"/>
  <c r="I49" i="47" s="1"/>
  <c r="G42" i="19"/>
  <c r="I37" i="19" s="1"/>
  <c r="F42" i="19"/>
  <c r="R7" i="19"/>
  <c r="R8" i="19"/>
  <c r="P7" i="19"/>
  <c r="S7" i="19" s="1"/>
  <c r="P8" i="19"/>
  <c r="S8" i="19" s="1"/>
  <c r="Q13" i="19"/>
  <c r="Q14" i="19" s="1"/>
  <c r="R6" i="19"/>
  <c r="P6" i="19"/>
  <c r="S6" i="19" s="1"/>
  <c r="F14" i="20"/>
  <c r="F23" i="20"/>
  <c r="I38" i="20"/>
  <c r="I47" i="47" s="1"/>
  <c r="Q32" i="20"/>
  <c r="Q33" i="20" s="1"/>
  <c r="R27" i="20"/>
  <c r="P27" i="20"/>
  <c r="S27" i="20" s="1"/>
  <c r="R25" i="20"/>
  <c r="P25" i="20"/>
  <c r="S25" i="20" s="1"/>
  <c r="R17" i="20"/>
  <c r="P17" i="20"/>
  <c r="S17" i="20" s="1"/>
  <c r="Q23" i="20"/>
  <c r="Q24" i="20" s="1"/>
  <c r="R18" i="20"/>
  <c r="P18" i="20"/>
  <c r="S18" i="20" s="1"/>
  <c r="R16" i="20"/>
  <c r="P16" i="20"/>
  <c r="S16" i="20" s="1"/>
  <c r="AD81" i="46" l="1"/>
  <c r="R13" i="19"/>
  <c r="AD80" i="46"/>
  <c r="S23" i="20"/>
  <c r="S24" i="20" s="1"/>
  <c r="BL23" i="39"/>
  <c r="S32" i="20"/>
  <c r="S33" i="20" s="1"/>
  <c r="V80" i="46"/>
  <c r="AD87" i="46"/>
  <c r="AD83" i="46"/>
  <c r="AD82" i="46"/>
  <c r="AD85" i="46"/>
  <c r="AD88" i="46"/>
  <c r="P85" i="46"/>
  <c r="T85" i="46"/>
  <c r="C85" i="46"/>
  <c r="N23" i="39" s="1"/>
  <c r="H85" i="46"/>
  <c r="P80" i="46"/>
  <c r="T80" i="46"/>
  <c r="C80" i="46"/>
  <c r="N22" i="39" s="1"/>
  <c r="H80" i="46"/>
  <c r="AC81" i="46"/>
  <c r="R14" i="19"/>
  <c r="S13" i="19"/>
  <c r="S14" i="19" s="1"/>
  <c r="R32" i="20"/>
  <c r="R33" i="20" s="1"/>
  <c r="R23" i="20"/>
  <c r="R24" i="20" s="1"/>
  <c r="N4" i="50"/>
  <c r="N3" i="50"/>
  <c r="K4" i="50"/>
  <c r="K3" i="50"/>
  <c r="J4" i="50"/>
  <c r="J3" i="50"/>
  <c r="I4" i="50"/>
  <c r="H4" i="50"/>
  <c r="K85" i="46" l="1"/>
  <c r="L23" i="39" s="1"/>
  <c r="J85" i="46"/>
  <c r="J80" i="46"/>
  <c r="K80" i="46"/>
  <c r="L22" i="39" s="1"/>
  <c r="G22" i="2"/>
  <c r="AC85" i="46" l="1"/>
  <c r="AC80" i="46"/>
  <c r="AR78" i="54"/>
  <c r="BA78" i="54" s="1"/>
  <c r="AM78" i="54"/>
  <c r="AD78" i="54" s="1"/>
  <c r="AR77" i="54"/>
  <c r="BA77" i="54" s="1"/>
  <c r="AM77" i="54"/>
  <c r="AR76" i="54"/>
  <c r="BA76" i="54" s="1"/>
  <c r="AM76" i="54"/>
  <c r="AR75" i="54"/>
  <c r="BA75" i="54" s="1"/>
  <c r="AM75" i="54"/>
  <c r="AD75" i="54" s="1"/>
  <c r="AR73" i="54"/>
  <c r="BA73" i="54" s="1"/>
  <c r="AM73" i="54"/>
  <c r="AR72" i="54"/>
  <c r="BA72" i="54" s="1"/>
  <c r="AM72" i="54"/>
  <c r="AR71" i="54"/>
  <c r="BA71" i="54" s="1"/>
  <c r="AM71" i="54"/>
  <c r="AR70" i="54"/>
  <c r="BA70" i="54" s="1"/>
  <c r="AM70" i="54"/>
  <c r="AD70" i="54" s="1"/>
  <c r="AD77" i="54" l="1"/>
  <c r="AD76" i="54"/>
  <c r="AD71" i="54"/>
  <c r="AD73" i="54"/>
  <c r="AD72" i="54"/>
  <c r="K14" i="22"/>
  <c r="W76" i="54" s="1"/>
  <c r="C25" i="22"/>
  <c r="K13" i="22" s="1"/>
  <c r="W75" i="54" s="1"/>
  <c r="F45" i="47"/>
  <c r="F43" i="47"/>
  <c r="F44" i="47"/>
  <c r="E45" i="47"/>
  <c r="E43" i="47"/>
  <c r="E44" i="47"/>
  <c r="G45" i="47" l="1"/>
  <c r="H44" i="47"/>
  <c r="O75" i="54" s="1"/>
  <c r="G44" i="47"/>
  <c r="G43" i="47"/>
  <c r="H43" i="47" s="1"/>
  <c r="O76" i="54" s="1"/>
  <c r="W75" i="46"/>
  <c r="O75" i="46"/>
  <c r="P75" i="46" s="1"/>
  <c r="W76" i="46"/>
  <c r="N76" i="46"/>
  <c r="N75" i="46"/>
  <c r="AR78" i="46"/>
  <c r="BA78" i="46" s="1"/>
  <c r="AM78" i="46"/>
  <c r="AR77" i="46"/>
  <c r="BA77" i="46" s="1"/>
  <c r="AM77" i="46"/>
  <c r="AR76" i="46"/>
  <c r="BA76" i="46" s="1"/>
  <c r="AM76" i="46"/>
  <c r="AR75" i="46"/>
  <c r="BA75" i="46" s="1"/>
  <c r="AM75" i="46"/>
  <c r="F14" i="22"/>
  <c r="F23" i="22"/>
  <c r="I38" i="22"/>
  <c r="I43" i="47" s="1"/>
  <c r="Q38" i="22"/>
  <c r="Z9" i="22"/>
  <c r="Y9" i="22"/>
  <c r="Z8" i="22"/>
  <c r="Y8" i="22"/>
  <c r="W7" i="22"/>
  <c r="X6" i="22"/>
  <c r="W6" i="22"/>
  <c r="G42" i="22"/>
  <c r="I37" i="22" s="1"/>
  <c r="F42" i="22"/>
  <c r="R28" i="22"/>
  <c r="P28" i="22"/>
  <c r="S28" i="22" s="1"/>
  <c r="Q27" i="22"/>
  <c r="R27" i="22" s="1"/>
  <c r="P27" i="22"/>
  <c r="R26" i="22"/>
  <c r="P26" i="22"/>
  <c r="S26" i="22" s="1"/>
  <c r="R18" i="22"/>
  <c r="P18" i="22"/>
  <c r="S18" i="22" s="1"/>
  <c r="P17" i="22"/>
  <c r="Q17" i="22"/>
  <c r="P16" i="22"/>
  <c r="S16" i="22" s="1"/>
  <c r="Q6" i="22"/>
  <c r="Q7" i="22" s="1"/>
  <c r="C76" i="54" l="1"/>
  <c r="K76" i="54"/>
  <c r="C75" i="54"/>
  <c r="K75" i="54"/>
  <c r="U75" i="54"/>
  <c r="O76" i="46"/>
  <c r="U76" i="46" s="1"/>
  <c r="Z6" i="22"/>
  <c r="AD78" i="46"/>
  <c r="AD76" i="46"/>
  <c r="R33" i="22"/>
  <c r="S27" i="22"/>
  <c r="S33" i="22" s="1"/>
  <c r="S34" i="22" s="1"/>
  <c r="V75" i="46"/>
  <c r="AD77" i="46"/>
  <c r="AD75" i="46"/>
  <c r="H76" i="46"/>
  <c r="T75" i="46"/>
  <c r="C75" i="46"/>
  <c r="U75" i="46"/>
  <c r="H75" i="46"/>
  <c r="Y6" i="22"/>
  <c r="X7" i="22"/>
  <c r="Y7" i="22" s="1"/>
  <c r="Q33" i="22"/>
  <c r="Q34" i="22" s="1"/>
  <c r="R17" i="22"/>
  <c r="Q23" i="22"/>
  <c r="Q24" i="22" s="1"/>
  <c r="S17" i="22"/>
  <c r="S23" i="22" s="1"/>
  <c r="R16" i="22"/>
  <c r="Q13" i="22"/>
  <c r="Q14" i="22" s="1"/>
  <c r="R8" i="22"/>
  <c r="P8" i="22"/>
  <c r="S8" i="22" s="1"/>
  <c r="R7" i="22"/>
  <c r="P7" i="22"/>
  <c r="S7" i="22" s="1"/>
  <c r="R6" i="22"/>
  <c r="P6" i="22"/>
  <c r="S6" i="22" s="1"/>
  <c r="AA75" i="46" l="1"/>
  <c r="X75" i="54"/>
  <c r="P75" i="54"/>
  <c r="T75" i="54"/>
  <c r="AC75" i="54" s="1"/>
  <c r="V75" i="54"/>
  <c r="V76" i="46"/>
  <c r="P76" i="46"/>
  <c r="V76" i="54"/>
  <c r="P76" i="54"/>
  <c r="U76" i="54"/>
  <c r="AA75" i="54" s="1"/>
  <c r="T76" i="54"/>
  <c r="AC76" i="54" s="1"/>
  <c r="C76" i="46"/>
  <c r="N21" i="39" s="1"/>
  <c r="T76" i="46"/>
  <c r="R23" i="22"/>
  <c r="R24" i="22" s="1"/>
  <c r="R13" i="22"/>
  <c r="R14" i="22" s="1"/>
  <c r="J76" i="46"/>
  <c r="K76" i="46"/>
  <c r="J75" i="46"/>
  <c r="K75" i="46"/>
  <c r="X13" i="22"/>
  <c r="X14" i="22" s="1"/>
  <c r="Y13" i="22"/>
  <c r="Z7" i="22"/>
  <c r="Z13" i="22" s="1"/>
  <c r="R34" i="22"/>
  <c r="S24" i="22"/>
  <c r="S13" i="22"/>
  <c r="S14" i="22" s="1"/>
  <c r="AB75" i="54" l="1"/>
  <c r="BL21" i="39"/>
  <c r="AC76" i="46"/>
  <c r="Z14" i="22"/>
  <c r="Y14" i="22"/>
  <c r="L21" i="39"/>
  <c r="AC75" i="46"/>
  <c r="X75" i="46"/>
  <c r="E41" i="47" l="1"/>
  <c r="H41" i="47" s="1"/>
  <c r="O71" i="54" s="1"/>
  <c r="F40" i="47"/>
  <c r="C71" i="54" l="1"/>
  <c r="K71" i="54"/>
  <c r="O71" i="46"/>
  <c r="E40" i="47"/>
  <c r="G40" i="47" s="1"/>
  <c r="H40" i="47" s="1"/>
  <c r="O70" i="54" s="1"/>
  <c r="C70" i="54" l="1"/>
  <c r="K70" i="54"/>
  <c r="O70" i="46"/>
  <c r="V71" i="54"/>
  <c r="P71" i="54"/>
  <c r="T71" i="54"/>
  <c r="AC71" i="54" s="1"/>
  <c r="U71" i="54"/>
  <c r="G21" i="2"/>
  <c r="U70" i="54" l="1"/>
  <c r="P70" i="54"/>
  <c r="T70" i="54"/>
  <c r="AC70" i="54" s="1"/>
  <c r="V70" i="54"/>
  <c r="N71" i="46"/>
  <c r="H71" i="46" s="1"/>
  <c r="C71" i="46"/>
  <c r="W71" i="46"/>
  <c r="AR73" i="46"/>
  <c r="BA73" i="46" s="1"/>
  <c r="AM73" i="46"/>
  <c r="AR72" i="46"/>
  <c r="BA72" i="46" s="1"/>
  <c r="AM72" i="46"/>
  <c r="AR71" i="46"/>
  <c r="BA71" i="46" s="1"/>
  <c r="AM71" i="46"/>
  <c r="AR70" i="46"/>
  <c r="BA70" i="46" s="1"/>
  <c r="AM70" i="46"/>
  <c r="U70" i="46"/>
  <c r="N70" i="46"/>
  <c r="V70" i="46" s="1"/>
  <c r="F14" i="21"/>
  <c r="F23" i="21"/>
  <c r="I38" i="21"/>
  <c r="Q26" i="21"/>
  <c r="Q28" i="21" s="1"/>
  <c r="G42" i="21"/>
  <c r="I37" i="21" s="1"/>
  <c r="F42" i="21"/>
  <c r="Q15" i="21"/>
  <c r="R15" i="21" s="1"/>
  <c r="P16" i="21"/>
  <c r="Q8" i="21"/>
  <c r="R8" i="21" s="1"/>
  <c r="R7" i="21"/>
  <c r="S7" i="21"/>
  <c r="R6" i="21"/>
  <c r="S6" i="21"/>
  <c r="S15" i="21" l="1"/>
  <c r="AD73" i="46"/>
  <c r="Q13" i="21"/>
  <c r="Q14" i="21" s="1"/>
  <c r="AD70" i="46"/>
  <c r="BL20" i="39"/>
  <c r="AD71" i="46"/>
  <c r="AD72" i="46"/>
  <c r="K71" i="46"/>
  <c r="J71" i="46"/>
  <c r="T71" i="46"/>
  <c r="P71" i="46"/>
  <c r="V71" i="46"/>
  <c r="U71" i="46"/>
  <c r="P70" i="46"/>
  <c r="T70" i="46"/>
  <c r="C70" i="46"/>
  <c r="N20" i="39" s="1"/>
  <c r="H70" i="46"/>
  <c r="Q16" i="21"/>
  <c r="R16" i="21" s="1"/>
  <c r="S8" i="21"/>
  <c r="S13" i="21" s="1"/>
  <c r="S14" i="21" s="1"/>
  <c r="S16" i="21"/>
  <c r="S22" i="21" s="1"/>
  <c r="R22" i="21"/>
  <c r="Q22" i="21"/>
  <c r="Q23" i="21" s="1"/>
  <c r="R13" i="21"/>
  <c r="R14" i="21" l="1"/>
  <c r="AC71" i="46"/>
  <c r="K70" i="46"/>
  <c r="L20" i="39" s="1"/>
  <c r="J70" i="46"/>
  <c r="R23" i="21"/>
  <c r="S23" i="21"/>
  <c r="AC70" i="46" l="1"/>
  <c r="AR68" i="54" l="1"/>
  <c r="BA68" i="54" s="1"/>
  <c r="AM68" i="54"/>
  <c r="AD68" i="54" s="1"/>
  <c r="AR67" i="54"/>
  <c r="BA67" i="54" s="1"/>
  <c r="AM67" i="54"/>
  <c r="AR66" i="54"/>
  <c r="BA66" i="54" s="1"/>
  <c r="AM66" i="54"/>
  <c r="AR65" i="54"/>
  <c r="BA65" i="54" s="1"/>
  <c r="AM65" i="54"/>
  <c r="E38" i="47"/>
  <c r="G38" i="47" s="1"/>
  <c r="H38" i="47" s="1"/>
  <c r="O65" i="54" s="1"/>
  <c r="C65" i="54" l="1"/>
  <c r="K65" i="54"/>
  <c r="AC65" i="54" s="1"/>
  <c r="AD66" i="54"/>
  <c r="AD67" i="54"/>
  <c r="AD65" i="54"/>
  <c r="U65" i="54"/>
  <c r="O65" i="46"/>
  <c r="P65" i="54"/>
  <c r="T65" i="54"/>
  <c r="V65" i="54" l="1"/>
  <c r="BL19" i="39"/>
  <c r="P65" i="46"/>
  <c r="N65" i="46"/>
  <c r="H65" i="46" s="1"/>
  <c r="AR68" i="46"/>
  <c r="BA68" i="46" s="1"/>
  <c r="AM68" i="46"/>
  <c r="AR67" i="46"/>
  <c r="BA67" i="46" s="1"/>
  <c r="AM67" i="46"/>
  <c r="AR66" i="46"/>
  <c r="BA66" i="46" s="1"/>
  <c r="AM66" i="46"/>
  <c r="AR65" i="46"/>
  <c r="BA65" i="46" s="1"/>
  <c r="AM65" i="46"/>
  <c r="F14" i="23"/>
  <c r="F23" i="23"/>
  <c r="I38" i="23"/>
  <c r="I38" i="47" s="1"/>
  <c r="G42" i="23"/>
  <c r="I37" i="23" s="1"/>
  <c r="F42" i="23"/>
  <c r="AD68" i="46" l="1"/>
  <c r="AD65" i="46"/>
  <c r="C65" i="46"/>
  <c r="N19" i="39" s="1"/>
  <c r="AD67" i="46"/>
  <c r="AD66" i="46"/>
  <c r="K65" i="46"/>
  <c r="J65" i="46"/>
  <c r="U65" i="46"/>
  <c r="V65" i="46"/>
  <c r="T65" i="46"/>
  <c r="AC66" i="46"/>
  <c r="AR63" i="54"/>
  <c r="BA63" i="54" s="1"/>
  <c r="AM63" i="54"/>
  <c r="AR62" i="54"/>
  <c r="BA62" i="54" s="1"/>
  <c r="AM62" i="54"/>
  <c r="AR61" i="54"/>
  <c r="BA61" i="54" s="1"/>
  <c r="AM61" i="54"/>
  <c r="AR60" i="54"/>
  <c r="BA60" i="54" s="1"/>
  <c r="AM60" i="54"/>
  <c r="AD60" i="54" s="1"/>
  <c r="K14" i="24"/>
  <c r="W61" i="54" s="1"/>
  <c r="K13" i="24"/>
  <c r="W60" i="54" s="1"/>
  <c r="F36" i="47"/>
  <c r="E36" i="47"/>
  <c r="E35" i="47"/>
  <c r="G35" i="47" s="1"/>
  <c r="H35" i="47" s="1"/>
  <c r="O60" i="54" s="1"/>
  <c r="AD63" i="54" l="1"/>
  <c r="C60" i="54"/>
  <c r="K60" i="54"/>
  <c r="AD62" i="54"/>
  <c r="AD61" i="54"/>
  <c r="G36" i="47"/>
  <c r="H36" i="47" s="1"/>
  <c r="O61" i="54" s="1"/>
  <c r="W60" i="46"/>
  <c r="L19" i="39"/>
  <c r="AC65" i="46"/>
  <c r="P60" i="54"/>
  <c r="O60" i="46"/>
  <c r="W61" i="46"/>
  <c r="C61" i="54" l="1"/>
  <c r="K61" i="54"/>
  <c r="O61" i="46"/>
  <c r="V60" i="54"/>
  <c r="T60" i="54"/>
  <c r="AC60" i="54" s="1"/>
  <c r="U60" i="54"/>
  <c r="F14" i="24"/>
  <c r="F23" i="24"/>
  <c r="I38" i="24"/>
  <c r="I35" i="47" s="1"/>
  <c r="X60" i="54" l="1"/>
  <c r="T61" i="54"/>
  <c r="AC61" i="54" s="1"/>
  <c r="P61" i="54"/>
  <c r="V61" i="54"/>
  <c r="U61" i="54"/>
  <c r="AA60" i="54" s="1"/>
  <c r="U60" i="46"/>
  <c r="AA60" i="46" s="1"/>
  <c r="N60" i="46"/>
  <c r="V60" i="46" s="1"/>
  <c r="AR63" i="46"/>
  <c r="BA63" i="46" s="1"/>
  <c r="AM63" i="46"/>
  <c r="AR62" i="46"/>
  <c r="BA62" i="46" s="1"/>
  <c r="AM62" i="46"/>
  <c r="AR61" i="46"/>
  <c r="BA61" i="46" s="1"/>
  <c r="AM61" i="46"/>
  <c r="U61" i="46"/>
  <c r="T61" i="46"/>
  <c r="P61" i="46"/>
  <c r="N61" i="46"/>
  <c r="V61" i="46" s="1"/>
  <c r="C61" i="46"/>
  <c r="AR60" i="46"/>
  <c r="BA60" i="46" s="1"/>
  <c r="AM60" i="46"/>
  <c r="Q37" i="24"/>
  <c r="Q38" i="24" s="1"/>
  <c r="G42" i="24"/>
  <c r="I37" i="24" s="1"/>
  <c r="F42" i="24"/>
  <c r="Q33" i="24"/>
  <c r="Q34" i="24" s="1"/>
  <c r="R26" i="24"/>
  <c r="R33" i="24" s="1"/>
  <c r="P26" i="24"/>
  <c r="S26" i="24" s="1"/>
  <c r="S33" i="24" s="1"/>
  <c r="P16" i="24"/>
  <c r="S16" i="24" s="1"/>
  <c r="Q6" i="24"/>
  <c r="R6" i="24" s="1"/>
  <c r="P7" i="24"/>
  <c r="P6" i="24"/>
  <c r="AB60" i="54" l="1"/>
  <c r="AD62" i="46"/>
  <c r="S6" i="24"/>
  <c r="BL18" i="39"/>
  <c r="H60" i="46"/>
  <c r="J60" i="46" s="1"/>
  <c r="S34" i="24"/>
  <c r="R34" i="24"/>
  <c r="AD63" i="46"/>
  <c r="Q7" i="24"/>
  <c r="S7" i="24" s="1"/>
  <c r="AD60" i="46"/>
  <c r="P60" i="46"/>
  <c r="T60" i="46"/>
  <c r="C60" i="46"/>
  <c r="N18" i="39" s="1"/>
  <c r="AD61" i="46"/>
  <c r="H61" i="46"/>
  <c r="S23" i="24"/>
  <c r="Q23" i="24"/>
  <c r="Q24" i="24" s="1"/>
  <c r="R16" i="24"/>
  <c r="R23" i="24" s="1"/>
  <c r="AR58" i="54"/>
  <c r="BA58" i="54" s="1"/>
  <c r="AM58" i="54"/>
  <c r="AR57" i="54"/>
  <c r="BA57" i="54" s="1"/>
  <c r="AM57" i="54"/>
  <c r="AR56" i="54"/>
  <c r="BA56" i="54" s="1"/>
  <c r="AM56" i="54"/>
  <c r="AR55" i="54"/>
  <c r="BA55" i="54" s="1"/>
  <c r="AM55" i="54"/>
  <c r="AD55" i="54" s="1"/>
  <c r="Z56" i="46"/>
  <c r="K13" i="25"/>
  <c r="W56" i="54" s="1"/>
  <c r="K12" i="25"/>
  <c r="W55" i="54" s="1"/>
  <c r="AD56" i="54" l="1"/>
  <c r="S13" i="24"/>
  <c r="AD58" i="54"/>
  <c r="K60" i="46"/>
  <c r="AD57" i="54"/>
  <c r="Q13" i="24"/>
  <c r="Q14" i="24" s="1"/>
  <c r="R7" i="24"/>
  <c r="R13" i="24" s="1"/>
  <c r="R14" i="24" s="1"/>
  <c r="J61" i="46"/>
  <c r="K61" i="46"/>
  <c r="R24" i="24"/>
  <c r="S24" i="24"/>
  <c r="W55" i="46"/>
  <c r="W56" i="46"/>
  <c r="G18" i="2"/>
  <c r="S14" i="24" l="1"/>
  <c r="AC61" i="46"/>
  <c r="L18" i="39"/>
  <c r="AC60" i="46"/>
  <c r="X60" i="46"/>
  <c r="F33" i="47"/>
  <c r="F32" i="47"/>
  <c r="E33" i="47"/>
  <c r="E32" i="47"/>
  <c r="G33" i="47" l="1"/>
  <c r="H33" i="47" s="1"/>
  <c r="O56" i="54" s="1"/>
  <c r="AB60" i="46"/>
  <c r="O56" i="46"/>
  <c r="G32" i="47"/>
  <c r="H32" i="47" s="1"/>
  <c r="O55" i="54" s="1"/>
  <c r="I38" i="25"/>
  <c r="C55" i="54" l="1"/>
  <c r="K55" i="54"/>
  <c r="C56" i="54"/>
  <c r="K56" i="54"/>
  <c r="O55" i="46"/>
  <c r="C55" i="46" s="1"/>
  <c r="T56" i="54"/>
  <c r="U56" i="54"/>
  <c r="P56" i="54"/>
  <c r="V56" i="54"/>
  <c r="P56" i="46"/>
  <c r="N56" i="46"/>
  <c r="N55" i="46"/>
  <c r="H55" i="46" s="1"/>
  <c r="AR58" i="46"/>
  <c r="BA58" i="46" s="1"/>
  <c r="AM58" i="46"/>
  <c r="AR57" i="46"/>
  <c r="BA57" i="46" s="1"/>
  <c r="AM57" i="46"/>
  <c r="W57" i="46"/>
  <c r="AR56" i="46"/>
  <c r="BA56" i="46" s="1"/>
  <c r="AM56" i="46"/>
  <c r="AR55" i="46"/>
  <c r="BA55" i="46" s="1"/>
  <c r="AM55" i="46"/>
  <c r="F14" i="25"/>
  <c r="F23" i="25"/>
  <c r="Q37" i="25"/>
  <c r="X26" i="25"/>
  <c r="Y26" i="25"/>
  <c r="X27" i="25"/>
  <c r="Y27" i="25"/>
  <c r="X28" i="25"/>
  <c r="Y28" i="25"/>
  <c r="X29" i="25"/>
  <c r="Y29" i="25"/>
  <c r="Y25" i="25"/>
  <c r="Q27" i="25"/>
  <c r="R27" i="25" s="1"/>
  <c r="Q26" i="25"/>
  <c r="R26" i="25" s="1"/>
  <c r="Q25" i="25"/>
  <c r="Q32" i="25" s="1"/>
  <c r="Q33" i="25" s="1"/>
  <c r="P26" i="25"/>
  <c r="S26" i="25" s="1"/>
  <c r="P27" i="25"/>
  <c r="S27" i="25" s="1"/>
  <c r="P25" i="25"/>
  <c r="P15" i="25"/>
  <c r="S15" i="25" s="1"/>
  <c r="Q6" i="25"/>
  <c r="Q7" i="25" s="1"/>
  <c r="R7" i="25" s="1"/>
  <c r="P7" i="25"/>
  <c r="P6" i="25"/>
  <c r="AC56" i="54" l="1"/>
  <c r="X55" i="54"/>
  <c r="K55" i="46"/>
  <c r="S6" i="25"/>
  <c r="S13" i="25" s="1"/>
  <c r="R6" i="25"/>
  <c r="R13" i="25" s="1"/>
  <c r="AD58" i="46"/>
  <c r="AD56" i="46"/>
  <c r="R25" i="25"/>
  <c r="R32" i="25" s="1"/>
  <c r="R33" i="25" s="1"/>
  <c r="S25" i="25"/>
  <c r="S32" i="25" s="1"/>
  <c r="S33" i="25" s="1"/>
  <c r="P55" i="54"/>
  <c r="U55" i="54"/>
  <c r="AA55" i="54" s="1"/>
  <c r="T55" i="54"/>
  <c r="AC55" i="54" s="1"/>
  <c r="V55" i="54"/>
  <c r="V56" i="46"/>
  <c r="AD57" i="46"/>
  <c r="T56" i="46"/>
  <c r="P55" i="46"/>
  <c r="T55" i="46"/>
  <c r="U55" i="46"/>
  <c r="AA55" i="46" s="1"/>
  <c r="V55" i="46"/>
  <c r="J55" i="46"/>
  <c r="C56" i="46"/>
  <c r="N17" i="39" s="1"/>
  <c r="U56" i="46"/>
  <c r="H56" i="46"/>
  <c r="AD55" i="46"/>
  <c r="Y32" i="25"/>
  <c r="W32" i="25"/>
  <c r="W33" i="25" s="1"/>
  <c r="X25" i="25"/>
  <c r="X32" i="25" s="1"/>
  <c r="S22" i="25"/>
  <c r="Q22" i="25"/>
  <c r="Q23" i="25" s="1"/>
  <c r="R15" i="25"/>
  <c r="R22" i="25" s="1"/>
  <c r="Q13" i="25"/>
  <c r="Q14" i="25" s="1"/>
  <c r="S7" i="25"/>
  <c r="Q44" i="54"/>
  <c r="R44" i="54"/>
  <c r="AW48" i="54"/>
  <c r="AR53" i="54"/>
  <c r="BA53" i="54" s="1"/>
  <c r="AM53" i="54"/>
  <c r="AR52" i="54"/>
  <c r="BA52" i="54" s="1"/>
  <c r="AM52" i="54"/>
  <c r="AR51" i="54"/>
  <c r="BA51" i="54" s="1"/>
  <c r="AM51" i="54"/>
  <c r="AD51" i="54" s="1"/>
  <c r="AR50" i="54"/>
  <c r="BA50" i="54" s="1"/>
  <c r="AM50" i="54"/>
  <c r="AD50" i="54" s="1"/>
  <c r="AR48" i="54"/>
  <c r="AM48" i="54"/>
  <c r="AR47" i="54"/>
  <c r="BA47" i="54" s="1"/>
  <c r="AM47" i="54"/>
  <c r="AR46" i="54"/>
  <c r="BA46" i="54" s="1"/>
  <c r="AM46" i="54"/>
  <c r="AR45" i="54"/>
  <c r="BA45" i="54" s="1"/>
  <c r="AM45" i="54"/>
  <c r="AD45" i="54" s="1"/>
  <c r="AR44" i="54"/>
  <c r="BA44" i="54" s="1"/>
  <c r="AM44" i="54"/>
  <c r="K11" i="26"/>
  <c r="W50" i="54" s="1"/>
  <c r="K10" i="26"/>
  <c r="W52" i="54" s="1"/>
  <c r="C16" i="26"/>
  <c r="K12" i="26" s="1"/>
  <c r="W51" i="54" s="1"/>
  <c r="AD46" i="54" l="1"/>
  <c r="AD53" i="54"/>
  <c r="AD47" i="54"/>
  <c r="AD52" i="54"/>
  <c r="AD44" i="54"/>
  <c r="AB55" i="54"/>
  <c r="W51" i="46"/>
  <c r="Y33" i="25"/>
  <c r="BA48" i="54"/>
  <c r="AD48" i="54" s="1"/>
  <c r="X33" i="25"/>
  <c r="W52" i="46"/>
  <c r="BL17" i="39"/>
  <c r="W50" i="46"/>
  <c r="S14" i="25"/>
  <c r="J56" i="46"/>
  <c r="K56" i="46"/>
  <c r="R23" i="25"/>
  <c r="S23" i="25"/>
  <c r="R14" i="25"/>
  <c r="AC56" i="46" l="1"/>
  <c r="L17" i="39"/>
  <c r="AC55" i="46"/>
  <c r="X55" i="46"/>
  <c r="AB55" i="46" l="1"/>
  <c r="F29" i="47" l="1"/>
  <c r="F28" i="47"/>
  <c r="F27" i="47"/>
  <c r="E30" i="47"/>
  <c r="G30" i="47" s="1"/>
  <c r="E29" i="47"/>
  <c r="E28" i="47"/>
  <c r="G28" i="47" s="1"/>
  <c r="H28" i="47" s="1"/>
  <c r="O50" i="54" s="1"/>
  <c r="E27" i="47"/>
  <c r="E25" i="47"/>
  <c r="H25" i="47" s="1"/>
  <c r="O45" i="54" s="1"/>
  <c r="F24" i="47"/>
  <c r="E24" i="47"/>
  <c r="C45" i="54" l="1"/>
  <c r="K45" i="54"/>
  <c r="C50" i="54"/>
  <c r="K50" i="54"/>
  <c r="G24" i="47"/>
  <c r="H24" i="47" s="1"/>
  <c r="O44" i="54" s="1"/>
  <c r="H29" i="47"/>
  <c r="O51" i="54" s="1"/>
  <c r="O50" i="46"/>
  <c r="T50" i="46" s="1"/>
  <c r="O44" i="46"/>
  <c r="O45" i="46"/>
  <c r="G29" i="47"/>
  <c r="G27" i="47"/>
  <c r="H27" i="47" s="1"/>
  <c r="G25" i="47"/>
  <c r="N50" i="46"/>
  <c r="AR53" i="46"/>
  <c r="BA53" i="46" s="1"/>
  <c r="AM53" i="46"/>
  <c r="AR52" i="46"/>
  <c r="BA52" i="46" s="1"/>
  <c r="AM52" i="46"/>
  <c r="AR51" i="46"/>
  <c r="BA51" i="46" s="1"/>
  <c r="AM51" i="46"/>
  <c r="N51" i="46"/>
  <c r="H51" i="46" s="1"/>
  <c r="AR50" i="46"/>
  <c r="BA50" i="46" s="1"/>
  <c r="AM50" i="46"/>
  <c r="Q44" i="46"/>
  <c r="N44" i="46"/>
  <c r="AR48" i="46"/>
  <c r="BA48" i="46" s="1"/>
  <c r="AM48" i="46"/>
  <c r="AR47" i="46"/>
  <c r="BA47" i="46" s="1"/>
  <c r="AM47" i="46"/>
  <c r="AR46" i="46"/>
  <c r="BA46" i="46" s="1"/>
  <c r="AM46" i="46"/>
  <c r="AR45" i="46"/>
  <c r="BA45" i="46" s="1"/>
  <c r="AM45" i="46"/>
  <c r="W45" i="46"/>
  <c r="N45" i="46"/>
  <c r="H45" i="46" s="1"/>
  <c r="J45" i="46" s="1"/>
  <c r="AR44" i="46"/>
  <c r="BA44" i="46" s="1"/>
  <c r="AM44" i="46"/>
  <c r="F14" i="26"/>
  <c r="F23" i="26"/>
  <c r="I38" i="26"/>
  <c r="I27" i="47" s="1"/>
  <c r="Q37" i="26"/>
  <c r="X23" i="26"/>
  <c r="X24" i="26" s="1"/>
  <c r="Z18" i="26"/>
  <c r="Y18" i="26"/>
  <c r="Y17" i="26"/>
  <c r="Z17" i="26"/>
  <c r="Y16" i="26"/>
  <c r="Z16" i="26"/>
  <c r="Y8" i="26"/>
  <c r="Z8" i="26"/>
  <c r="X7" i="26"/>
  <c r="Y7" i="26" s="1"/>
  <c r="W7" i="26"/>
  <c r="Y6" i="26"/>
  <c r="W6" i="26"/>
  <c r="Z6" i="26" s="1"/>
  <c r="G34" i="28"/>
  <c r="F14" i="28"/>
  <c r="F23" i="28"/>
  <c r="I38" i="28"/>
  <c r="I24" i="47" s="1"/>
  <c r="S36" i="28"/>
  <c r="S38" i="28" s="1"/>
  <c r="G42" i="28"/>
  <c r="I37" i="28" s="1"/>
  <c r="F42" i="28"/>
  <c r="O39" i="28"/>
  <c r="C51" i="54" l="1"/>
  <c r="K51" i="54"/>
  <c r="C44" i="54"/>
  <c r="K44" i="54"/>
  <c r="AC44" i="54" s="1"/>
  <c r="X50" i="54"/>
  <c r="C50" i="46"/>
  <c r="V50" i="46"/>
  <c r="O51" i="46"/>
  <c r="V51" i="46" s="1"/>
  <c r="U51" i="54"/>
  <c r="AD45" i="46"/>
  <c r="V44" i="46"/>
  <c r="X13" i="26"/>
  <c r="X14" i="26" s="1"/>
  <c r="Y23" i="26"/>
  <c r="Y24" i="26" s="1"/>
  <c r="U44" i="46"/>
  <c r="Z7" i="26"/>
  <c r="Z13" i="26" s="1"/>
  <c r="AD46" i="46"/>
  <c r="Y13" i="26"/>
  <c r="AD50" i="46"/>
  <c r="AD53" i="46"/>
  <c r="U45" i="54"/>
  <c r="V45" i="54"/>
  <c r="T45" i="54"/>
  <c r="AC45" i="54" s="1"/>
  <c r="P45" i="54"/>
  <c r="U44" i="54"/>
  <c r="P44" i="54"/>
  <c r="V44" i="54"/>
  <c r="T44" i="54"/>
  <c r="V51" i="54"/>
  <c r="P51" i="54"/>
  <c r="T51" i="54"/>
  <c r="V50" i="54"/>
  <c r="P50" i="54"/>
  <c r="T50" i="54"/>
  <c r="AC50" i="54" s="1"/>
  <c r="U50" i="54"/>
  <c r="AA50" i="54" s="1"/>
  <c r="AD47" i="46"/>
  <c r="Z23" i="26"/>
  <c r="Z24" i="26" s="1"/>
  <c r="AD51" i="46"/>
  <c r="H50" i="46"/>
  <c r="K50" i="46" s="1"/>
  <c r="AC50" i="46" s="1"/>
  <c r="AD52" i="46"/>
  <c r="J51" i="46"/>
  <c r="P50" i="46"/>
  <c r="U50" i="46"/>
  <c r="AD48" i="46"/>
  <c r="K45" i="46"/>
  <c r="P44" i="46"/>
  <c r="T44" i="46"/>
  <c r="C44" i="46"/>
  <c r="H44" i="46"/>
  <c r="AD44" i="46"/>
  <c r="U45" i="46"/>
  <c r="V45" i="46"/>
  <c r="P45" i="46"/>
  <c r="T45" i="46"/>
  <c r="C45" i="46"/>
  <c r="R24" i="26"/>
  <c r="P24" i="26"/>
  <c r="S24" i="26" s="1"/>
  <c r="Q25" i="26"/>
  <c r="S25" i="26" s="1"/>
  <c r="Q17" i="26"/>
  <c r="P17" i="26"/>
  <c r="Q16" i="26"/>
  <c r="Q15" i="26"/>
  <c r="R15" i="26" s="1"/>
  <c r="P16" i="26"/>
  <c r="P15" i="26"/>
  <c r="R6" i="26"/>
  <c r="P6" i="26"/>
  <c r="S6" i="26" s="1"/>
  <c r="Q7" i="26"/>
  <c r="Q13" i="26" s="1"/>
  <c r="Q14" i="26" s="1"/>
  <c r="P7" i="26"/>
  <c r="Q25" i="28"/>
  <c r="P26" i="28"/>
  <c r="P25" i="28"/>
  <c r="Q23" i="28"/>
  <c r="Q24" i="28" s="1"/>
  <c r="R16" i="28"/>
  <c r="R23" i="28" s="1"/>
  <c r="P16" i="28"/>
  <c r="S16" i="28" s="1"/>
  <c r="S23" i="28" s="1"/>
  <c r="Q6" i="28"/>
  <c r="Q13" i="28" s="1"/>
  <c r="Q14" i="28" s="1"/>
  <c r="P6" i="28"/>
  <c r="AC51" i="54" l="1"/>
  <c r="P51" i="46"/>
  <c r="U51" i="46"/>
  <c r="AA50" i="46" s="1"/>
  <c r="C51" i="46"/>
  <c r="N16" i="39" s="1"/>
  <c r="AB50" i="54"/>
  <c r="K51" i="46"/>
  <c r="X50" i="46" s="1"/>
  <c r="T51" i="46"/>
  <c r="Z14" i="26"/>
  <c r="S24" i="28"/>
  <c r="R24" i="28"/>
  <c r="Y14" i="26"/>
  <c r="S15" i="26"/>
  <c r="BL16" i="39"/>
  <c r="BL15" i="39"/>
  <c r="Q26" i="28"/>
  <c r="S16" i="26"/>
  <c r="J50" i="46"/>
  <c r="S17" i="26"/>
  <c r="AC45" i="46"/>
  <c r="N15" i="39"/>
  <c r="K44" i="46"/>
  <c r="L15" i="39" s="1"/>
  <c r="J44" i="46"/>
  <c r="S31" i="26"/>
  <c r="Q31" i="26"/>
  <c r="Q32" i="26" s="1"/>
  <c r="R25" i="26"/>
  <c r="R31" i="26" s="1"/>
  <c r="R17" i="26"/>
  <c r="R16" i="26"/>
  <c r="Q22" i="26"/>
  <c r="Q23" i="26" s="1"/>
  <c r="S7" i="26"/>
  <c r="S13" i="26" s="1"/>
  <c r="S14" i="26" s="1"/>
  <c r="R7" i="26"/>
  <c r="R13" i="26" s="1"/>
  <c r="R14" i="26" s="1"/>
  <c r="R25" i="28"/>
  <c r="S25" i="28"/>
  <c r="S6" i="28"/>
  <c r="S13" i="28" s="1"/>
  <c r="S14" i="28" s="1"/>
  <c r="R6" i="28"/>
  <c r="R13" i="28" s="1"/>
  <c r="R14" i="28" s="1"/>
  <c r="F4" i="50"/>
  <c r="F3" i="50"/>
  <c r="E4" i="50"/>
  <c r="E3" i="50"/>
  <c r="D4" i="50"/>
  <c r="D3" i="50"/>
  <c r="C4" i="50"/>
  <c r="C3" i="50"/>
  <c r="B3" i="50"/>
  <c r="B4" i="50"/>
  <c r="AC51" i="46" l="1"/>
  <c r="AB50" i="46"/>
  <c r="L16" i="39"/>
  <c r="S22" i="26"/>
  <c r="S23" i="26" s="1"/>
  <c r="R32" i="26"/>
  <c r="S26" i="28"/>
  <c r="S32" i="28" s="1"/>
  <c r="R26" i="28"/>
  <c r="R32" i="28" s="1"/>
  <c r="R22" i="26"/>
  <c r="R23" i="26" s="1"/>
  <c r="Q32" i="28"/>
  <c r="Q33" i="28" s="1"/>
  <c r="AC44" i="46"/>
  <c r="S32" i="26"/>
  <c r="R33" i="28" l="1"/>
  <c r="S33" i="28"/>
  <c r="Q40" i="54" l="1"/>
  <c r="R40" i="54"/>
  <c r="AW42" i="54"/>
  <c r="AR42" i="54"/>
  <c r="AM42" i="54"/>
  <c r="AR41" i="54"/>
  <c r="BA41" i="54" s="1"/>
  <c r="AM41" i="54"/>
  <c r="AR40" i="54"/>
  <c r="BA40" i="54" s="1"/>
  <c r="AM40" i="54"/>
  <c r="AR39" i="54"/>
  <c r="BA39" i="54" s="1"/>
  <c r="AM39" i="54"/>
  <c r="AR38" i="54"/>
  <c r="BA38" i="54" s="1"/>
  <c r="AM38" i="54"/>
  <c r="AD38" i="54" l="1"/>
  <c r="AD39" i="54"/>
  <c r="AD41" i="54"/>
  <c r="AD40" i="54"/>
  <c r="BA42" i="54"/>
  <c r="AD42" i="54" s="1"/>
  <c r="E22" i="47" l="1"/>
  <c r="G22" i="47" s="1"/>
  <c r="Q40" i="46"/>
  <c r="N40" i="46"/>
  <c r="W40" i="46"/>
  <c r="Q38" i="27"/>
  <c r="Q17" i="27"/>
  <c r="R17" i="27" s="1"/>
  <c r="Q16" i="27"/>
  <c r="P17" i="27"/>
  <c r="J9" i="27"/>
  <c r="H22" i="47" l="1"/>
  <c r="O40" i="54" s="1"/>
  <c r="H40" i="46"/>
  <c r="J40" i="46" s="1"/>
  <c r="S17" i="27"/>
  <c r="E21" i="47"/>
  <c r="H21" i="47" s="1"/>
  <c r="O39" i="54" s="1"/>
  <c r="C39" i="54" l="1"/>
  <c r="K39" i="54"/>
  <c r="C40" i="54"/>
  <c r="K40" i="54"/>
  <c r="P40" i="54"/>
  <c r="V40" i="54"/>
  <c r="T40" i="54"/>
  <c r="O40" i="46"/>
  <c r="C40" i="46" s="1"/>
  <c r="U40" i="54"/>
  <c r="G21" i="47"/>
  <c r="O39" i="46"/>
  <c r="E20" i="47"/>
  <c r="G20" i="47" s="1"/>
  <c r="E19" i="47"/>
  <c r="AC40" i="54" l="1"/>
  <c r="T40" i="46"/>
  <c r="P40" i="46"/>
  <c r="V40" i="46"/>
  <c r="U40" i="46"/>
  <c r="K40" i="46"/>
  <c r="AC40" i="46" s="1"/>
  <c r="P39" i="54"/>
  <c r="T39" i="54"/>
  <c r="AC39" i="54" s="1"/>
  <c r="U39" i="54"/>
  <c r="V39" i="54"/>
  <c r="H19" i="47"/>
  <c r="O38" i="54" s="1"/>
  <c r="G19" i="47"/>
  <c r="C38" i="54" l="1"/>
  <c r="K38" i="54"/>
  <c r="O38" i="46"/>
  <c r="G15" i="2"/>
  <c r="P38" i="54" l="1"/>
  <c r="U38" i="54"/>
  <c r="V38" i="54"/>
  <c r="T38" i="54"/>
  <c r="AC38" i="54" s="1"/>
  <c r="BL14" i="39" l="1"/>
  <c r="I38" i="27"/>
  <c r="I19" i="47" s="1"/>
  <c r="U38" i="46" l="1"/>
  <c r="N38" i="46"/>
  <c r="V38" i="46" s="1"/>
  <c r="AR42" i="46"/>
  <c r="BA42" i="46" s="1"/>
  <c r="AM42" i="46"/>
  <c r="AR41" i="46"/>
  <c r="BA41" i="46" s="1"/>
  <c r="AM41" i="46"/>
  <c r="AR40" i="46"/>
  <c r="BA40" i="46" s="1"/>
  <c r="AM40" i="46"/>
  <c r="AR39" i="46"/>
  <c r="BA39" i="46" s="1"/>
  <c r="AM39" i="46"/>
  <c r="W39" i="46"/>
  <c r="T39" i="46"/>
  <c r="N39" i="46"/>
  <c r="AR38" i="46"/>
  <c r="BA38" i="46" s="1"/>
  <c r="AM38" i="46"/>
  <c r="G42" i="27"/>
  <c r="I37" i="27" s="1"/>
  <c r="F42" i="27"/>
  <c r="N40" i="27"/>
  <c r="Q33" i="27"/>
  <c r="Q34" i="27" s="1"/>
  <c r="S28" i="27"/>
  <c r="R28" i="27"/>
  <c r="R27" i="27"/>
  <c r="S27" i="27"/>
  <c r="S26" i="27"/>
  <c r="R26" i="27"/>
  <c r="Q23" i="27"/>
  <c r="Q24" i="27" s="1"/>
  <c r="R16" i="27"/>
  <c r="P16" i="27"/>
  <c r="S16" i="27" s="1"/>
  <c r="S23" i="27" s="1"/>
  <c r="S24" i="27" s="1"/>
  <c r="Q8" i="27"/>
  <c r="R8" i="27" s="1"/>
  <c r="Q7" i="27"/>
  <c r="Q6" i="27"/>
  <c r="S6" i="27" s="1"/>
  <c r="P7" i="27"/>
  <c r="P8" i="27"/>
  <c r="P6" i="27"/>
  <c r="AD42" i="46" l="1"/>
  <c r="AD39" i="46"/>
  <c r="AD38" i="46"/>
  <c r="AD40" i="46"/>
  <c r="AD41" i="46"/>
  <c r="S33" i="27"/>
  <c r="S34" i="27" s="1"/>
  <c r="V39" i="46"/>
  <c r="P38" i="46"/>
  <c r="T38" i="46"/>
  <c r="C38" i="46"/>
  <c r="H38" i="46"/>
  <c r="P39" i="46"/>
  <c r="C39" i="46"/>
  <c r="U39" i="46"/>
  <c r="H39" i="46"/>
  <c r="R33" i="27"/>
  <c r="R34" i="27" s="1"/>
  <c r="R23" i="27"/>
  <c r="R24" i="27" s="1"/>
  <c r="S8" i="27"/>
  <c r="R7" i="27"/>
  <c r="S7" i="27"/>
  <c r="R6" i="27"/>
  <c r="R13" i="27" s="1"/>
  <c r="Q13" i="27"/>
  <c r="Q14" i="27" s="1"/>
  <c r="AR36" i="54"/>
  <c r="BA36" i="54" s="1"/>
  <c r="AM36" i="54"/>
  <c r="AR35" i="54"/>
  <c r="BA35" i="54" s="1"/>
  <c r="AM35" i="54"/>
  <c r="AR34" i="54"/>
  <c r="BA34" i="54" s="1"/>
  <c r="AM34" i="54"/>
  <c r="AR33" i="54"/>
  <c r="BA33" i="54" s="1"/>
  <c r="AM33" i="54"/>
  <c r="AD33" i="54" s="1"/>
  <c r="AR32" i="54"/>
  <c r="BA32" i="54" s="1"/>
  <c r="AM32" i="54"/>
  <c r="K9" i="29"/>
  <c r="W33" i="54" s="1"/>
  <c r="K8" i="29"/>
  <c r="W32" i="54" s="1"/>
  <c r="F16" i="47"/>
  <c r="E16" i="47"/>
  <c r="A16" i="47"/>
  <c r="E17" i="47"/>
  <c r="G17" i="47" s="1"/>
  <c r="H17" i="47" s="1"/>
  <c r="O33" i="54" s="1"/>
  <c r="AD35" i="54" l="1"/>
  <c r="AD36" i="54"/>
  <c r="C33" i="54"/>
  <c r="K33" i="54"/>
  <c r="AD32" i="54"/>
  <c r="AD34" i="54"/>
  <c r="O33" i="46"/>
  <c r="S13" i="27"/>
  <c r="S14" i="27" s="1"/>
  <c r="W32" i="46"/>
  <c r="W33" i="46"/>
  <c r="N14" i="39"/>
  <c r="V33" i="54"/>
  <c r="G16" i="47"/>
  <c r="H16" i="47" s="1"/>
  <c r="O32" i="54" s="1"/>
  <c r="J38" i="46"/>
  <c r="K38" i="46"/>
  <c r="J39" i="46"/>
  <c r="K39" i="46"/>
  <c r="AC39" i="46" s="1"/>
  <c r="R14" i="27"/>
  <c r="C32" i="54" l="1"/>
  <c r="K32" i="54"/>
  <c r="L14" i="39"/>
  <c r="T33" i="54"/>
  <c r="AC33" i="54" s="1"/>
  <c r="P33" i="54"/>
  <c r="U33" i="54"/>
  <c r="O32" i="46"/>
  <c r="AC38" i="46"/>
  <c r="X32" i="54" l="1"/>
  <c r="T32" i="54"/>
  <c r="AC32" i="54" s="1"/>
  <c r="V32" i="54"/>
  <c r="P32" i="54"/>
  <c r="U32" i="54"/>
  <c r="AA32" i="54" s="1"/>
  <c r="AB32" i="54" l="1"/>
  <c r="BL13" i="39"/>
  <c r="AM36" i="46"/>
  <c r="AR36" i="46"/>
  <c r="BA36" i="46" s="1"/>
  <c r="I38" i="29"/>
  <c r="I16" i="47" s="1"/>
  <c r="AD36" i="46" l="1"/>
  <c r="C32" i="46"/>
  <c r="N32" i="46"/>
  <c r="V32" i="46" s="1"/>
  <c r="AR35" i="46"/>
  <c r="BA35" i="46" s="1"/>
  <c r="AM35" i="46"/>
  <c r="AR34" i="46"/>
  <c r="BA34" i="46" s="1"/>
  <c r="AM34" i="46"/>
  <c r="AR33" i="46"/>
  <c r="BA33" i="46" s="1"/>
  <c r="AM33" i="46"/>
  <c r="C33" i="46"/>
  <c r="N33" i="46"/>
  <c r="K33" i="46" s="1"/>
  <c r="AR32" i="46"/>
  <c r="BA32" i="46" s="1"/>
  <c r="AM32" i="46"/>
  <c r="Q35" i="29"/>
  <c r="Q37" i="29" s="1"/>
  <c r="G42" i="29"/>
  <c r="I37" i="29" s="1"/>
  <c r="F42" i="29"/>
  <c r="Q24" i="29"/>
  <c r="R24" i="29" s="1"/>
  <c r="P25" i="29"/>
  <c r="P24" i="29"/>
  <c r="Q22" i="29"/>
  <c r="Q23" i="29" s="1"/>
  <c r="S16" i="29"/>
  <c r="R16" i="29"/>
  <c r="S15" i="29"/>
  <c r="S22" i="29" s="1"/>
  <c r="S23" i="29" s="1"/>
  <c r="R15" i="29"/>
  <c r="P15" i="29"/>
  <c r="Q13" i="29"/>
  <c r="Q14" i="29" s="1"/>
  <c r="S7" i="29"/>
  <c r="R7" i="29"/>
  <c r="R6" i="29"/>
  <c r="P6" i="29"/>
  <c r="S6" i="29" s="1"/>
  <c r="S13" i="29" s="1"/>
  <c r="S14" i="29" s="1"/>
  <c r="R22" i="29" l="1"/>
  <c r="R23" i="29" s="1"/>
  <c r="K32" i="46"/>
  <c r="L13" i="39" s="1"/>
  <c r="AD34" i="46"/>
  <c r="R13" i="29"/>
  <c r="R14" i="29" s="1"/>
  <c r="AD35" i="46"/>
  <c r="AD32" i="46"/>
  <c r="Q25" i="29"/>
  <c r="R25" i="29" s="1"/>
  <c r="R31" i="29" s="1"/>
  <c r="S24" i="29"/>
  <c r="N13" i="39"/>
  <c r="P33" i="46"/>
  <c r="P32" i="46"/>
  <c r="T32" i="46"/>
  <c r="J32" i="46"/>
  <c r="U32" i="46"/>
  <c r="AA32" i="46" s="1"/>
  <c r="V33" i="46"/>
  <c r="AD33" i="46"/>
  <c r="T33" i="46"/>
  <c r="AC33" i="46" s="1"/>
  <c r="J33" i="46"/>
  <c r="U33" i="46"/>
  <c r="AR30" i="54"/>
  <c r="BA30" i="54" s="1"/>
  <c r="AM30" i="54"/>
  <c r="AR29" i="54"/>
  <c r="BA29" i="54" s="1"/>
  <c r="AM29" i="54"/>
  <c r="AR28" i="54"/>
  <c r="BA28" i="54" s="1"/>
  <c r="AM28" i="54"/>
  <c r="AR27" i="54"/>
  <c r="BA27" i="54" s="1"/>
  <c r="AM27" i="54"/>
  <c r="AR26" i="54"/>
  <c r="BA26" i="54" s="1"/>
  <c r="AM26" i="54"/>
  <c r="S26" i="54"/>
  <c r="Q26" i="54"/>
  <c r="AR25" i="54"/>
  <c r="BA25" i="54" s="1"/>
  <c r="AM25" i="54"/>
  <c r="AD29" i="54" l="1"/>
  <c r="AD26" i="54"/>
  <c r="AD30" i="54"/>
  <c r="AD27" i="54"/>
  <c r="AD25" i="54"/>
  <c r="AD28" i="54"/>
  <c r="S25" i="29"/>
  <c r="S31" i="29"/>
  <c r="Q31" i="29"/>
  <c r="Q32" i="29" s="1"/>
  <c r="R32" i="29" l="1"/>
  <c r="S32" i="29"/>
  <c r="X32" i="46"/>
  <c r="AC32" i="46"/>
  <c r="K8" i="30"/>
  <c r="W26" i="54" s="1"/>
  <c r="K7" i="30"/>
  <c r="W25" i="54" s="1"/>
  <c r="W25" i="46" l="1"/>
  <c r="W26" i="46"/>
  <c r="G13" i="2"/>
  <c r="F14" i="47" l="1"/>
  <c r="F13" i="47"/>
  <c r="E14" i="47"/>
  <c r="E13" i="47"/>
  <c r="G14" i="47" l="1"/>
  <c r="H14" i="47" s="1"/>
  <c r="O26" i="54" s="1"/>
  <c r="O26" i="46"/>
  <c r="G13" i="47"/>
  <c r="H13" i="47" s="1"/>
  <c r="O25" i="54" s="1"/>
  <c r="I38" i="30"/>
  <c r="I13" i="47" s="1"/>
  <c r="C25" i="54" l="1"/>
  <c r="K25" i="54"/>
  <c r="K26" i="54"/>
  <c r="C26" i="54"/>
  <c r="O25" i="46"/>
  <c r="T26" i="54"/>
  <c r="U26" i="54"/>
  <c r="V26" i="54"/>
  <c r="P26" i="54"/>
  <c r="S26" i="46"/>
  <c r="G34" i="30"/>
  <c r="X25" i="54" l="1"/>
  <c r="AC26" i="54"/>
  <c r="P25" i="54"/>
  <c r="T25" i="54"/>
  <c r="AC25" i="54" s="1"/>
  <c r="U25" i="54"/>
  <c r="AA25" i="54" s="1"/>
  <c r="V25" i="54"/>
  <c r="Q26" i="46"/>
  <c r="T26" i="46" s="1"/>
  <c r="AR30" i="46"/>
  <c r="BA30" i="46" s="1"/>
  <c r="AM30" i="46"/>
  <c r="AR29" i="46"/>
  <c r="BA29" i="46" s="1"/>
  <c r="AM29" i="46"/>
  <c r="AD29" i="46" s="1"/>
  <c r="AR28" i="46"/>
  <c r="BA28" i="46" s="1"/>
  <c r="AM28" i="46"/>
  <c r="AR27" i="46"/>
  <c r="BA27" i="46" s="1"/>
  <c r="AM27" i="46"/>
  <c r="AR26" i="46"/>
  <c r="BA26" i="46" s="1"/>
  <c r="AM26" i="46"/>
  <c r="N26" i="46"/>
  <c r="AR25" i="46"/>
  <c r="BA25" i="46" s="1"/>
  <c r="AM25" i="46"/>
  <c r="P25" i="46"/>
  <c r="N25" i="46"/>
  <c r="V25" i="46" s="1"/>
  <c r="Q35" i="30"/>
  <c r="X13" i="30"/>
  <c r="X14" i="30" s="1"/>
  <c r="Y7" i="30"/>
  <c r="Z7" i="30"/>
  <c r="Y8" i="30"/>
  <c r="Z8" i="30"/>
  <c r="Y9" i="30"/>
  <c r="Z9" i="30"/>
  <c r="Y10" i="30"/>
  <c r="Z10" i="30"/>
  <c r="G42" i="30"/>
  <c r="I37" i="30" s="1"/>
  <c r="F42" i="30"/>
  <c r="O40" i="30"/>
  <c r="P24" i="30"/>
  <c r="S24" i="30" s="1"/>
  <c r="Q31" i="30"/>
  <c r="Q32" i="30" s="1"/>
  <c r="S25" i="30"/>
  <c r="R25" i="30"/>
  <c r="R24" i="30"/>
  <c r="F20" i="30"/>
  <c r="F19" i="30"/>
  <c r="Q16" i="30"/>
  <c r="R16" i="30" s="1"/>
  <c r="P16" i="30"/>
  <c r="P15" i="30"/>
  <c r="Q7" i="30"/>
  <c r="P6" i="30"/>
  <c r="P7" i="30"/>
  <c r="Q6" i="30"/>
  <c r="R6" i="30" s="1"/>
  <c r="Q15" i="30"/>
  <c r="R15" i="30"/>
  <c r="AB25" i="54" l="1"/>
  <c r="AD30" i="46"/>
  <c r="AD28" i="46"/>
  <c r="C26" i="46"/>
  <c r="S6" i="30"/>
  <c r="S15" i="30"/>
  <c r="U26" i="46"/>
  <c r="S7" i="30"/>
  <c r="S13" i="30" s="1"/>
  <c r="R7" i="30"/>
  <c r="R13" i="30" s="1"/>
  <c r="BL12" i="39"/>
  <c r="Q13" i="30"/>
  <c r="Q14" i="30" s="1"/>
  <c r="AD26" i="46"/>
  <c r="Z13" i="30"/>
  <c r="Z14" i="30" s="1"/>
  <c r="AD25" i="46"/>
  <c r="R31" i="30"/>
  <c r="R32" i="30" s="1"/>
  <c r="Y13" i="30"/>
  <c r="Y14" i="30" s="1"/>
  <c r="AD27" i="46"/>
  <c r="J26" i="46"/>
  <c r="K26" i="46"/>
  <c r="AC26" i="46" s="1"/>
  <c r="V26" i="46"/>
  <c r="T25" i="46"/>
  <c r="C25" i="46"/>
  <c r="N12" i="39" s="1"/>
  <c r="U25" i="46"/>
  <c r="AA25" i="46" s="1"/>
  <c r="P26" i="46"/>
  <c r="S31" i="30"/>
  <c r="S32" i="30" s="1"/>
  <c r="S16" i="30"/>
  <c r="Q22" i="30"/>
  <c r="Q23" i="30" s="1"/>
  <c r="R22" i="30"/>
  <c r="R23" i="30" s="1"/>
  <c r="G12" i="2"/>
  <c r="S22" i="30" l="1"/>
  <c r="S23" i="30" s="1"/>
  <c r="S14" i="30"/>
  <c r="R14" i="30"/>
  <c r="J25" i="46"/>
  <c r="K25" i="46"/>
  <c r="L12" i="39" s="1"/>
  <c r="AR23" i="54"/>
  <c r="BA23" i="54" s="1"/>
  <c r="AM23" i="54"/>
  <c r="AD23" i="54" s="1"/>
  <c r="AR22" i="54"/>
  <c r="BA22" i="54" s="1"/>
  <c r="AM22" i="54"/>
  <c r="AR21" i="54"/>
  <c r="BA21" i="54" s="1"/>
  <c r="AM21" i="54"/>
  <c r="AD21" i="54" s="1"/>
  <c r="AR20" i="54"/>
  <c r="BA20" i="54" s="1"/>
  <c r="AM20" i="54"/>
  <c r="AD20" i="54" s="1"/>
  <c r="AR19" i="54"/>
  <c r="BA19" i="54" s="1"/>
  <c r="AM19" i="54"/>
  <c r="AD19" i="54" s="1"/>
  <c r="AR17" i="54"/>
  <c r="BA17" i="54" s="1"/>
  <c r="AM17" i="54"/>
  <c r="AR16" i="54"/>
  <c r="BA16" i="54" s="1"/>
  <c r="AM16" i="54"/>
  <c r="AD16" i="54" s="1"/>
  <c r="AR15" i="54"/>
  <c r="BA15" i="54" s="1"/>
  <c r="AM15" i="54"/>
  <c r="AD15" i="54" s="1"/>
  <c r="AR14" i="54"/>
  <c r="BA14" i="54" s="1"/>
  <c r="AM14" i="54"/>
  <c r="AD14" i="54" s="1"/>
  <c r="AR13" i="54"/>
  <c r="BA13" i="54" s="1"/>
  <c r="AM13" i="54"/>
  <c r="AR12" i="54"/>
  <c r="BA12" i="54" s="1"/>
  <c r="AM12" i="54"/>
  <c r="R12" i="54"/>
  <c r="AR10" i="54"/>
  <c r="BA10" i="54" s="1"/>
  <c r="AM10" i="54"/>
  <c r="AR9" i="54"/>
  <c r="BA9" i="54" s="1"/>
  <c r="AM9" i="54"/>
  <c r="AR8" i="54"/>
  <c r="BA8" i="54" s="1"/>
  <c r="AM8" i="54"/>
  <c r="AR7" i="54"/>
  <c r="BA7" i="54" s="1"/>
  <c r="AM7" i="54"/>
  <c r="AR6" i="54"/>
  <c r="BA6" i="54" s="1"/>
  <c r="AM6" i="54"/>
  <c r="Q6" i="54"/>
  <c r="K7" i="31"/>
  <c r="W20" i="54" s="1"/>
  <c r="K8" i="31"/>
  <c r="W19" i="54" s="1"/>
  <c r="F11" i="47"/>
  <c r="F10" i="47"/>
  <c r="E11" i="47"/>
  <c r="E10" i="47"/>
  <c r="AD10" i="54" l="1"/>
  <c r="AD8" i="54"/>
  <c r="AD6" i="54"/>
  <c r="AD12" i="54"/>
  <c r="AD7" i="54"/>
  <c r="AD9" i="54"/>
  <c r="AD13" i="54"/>
  <c r="AD17" i="54"/>
  <c r="AD22" i="54"/>
  <c r="W19" i="46"/>
  <c r="W20" i="46"/>
  <c r="G11" i="47"/>
  <c r="H11" i="47" s="1"/>
  <c r="O20" i="54" s="1"/>
  <c r="AC25" i="46"/>
  <c r="AB25" i="46" s="1"/>
  <c r="X25" i="46"/>
  <c r="G10" i="47"/>
  <c r="H10" i="47" s="1"/>
  <c r="O19" i="54" s="1"/>
  <c r="AM23" i="46"/>
  <c r="AR23" i="46"/>
  <c r="BA23" i="46" s="1"/>
  <c r="I38" i="31"/>
  <c r="I10" i="47" s="1"/>
  <c r="C20" i="54" l="1"/>
  <c r="K20" i="54"/>
  <c r="C19" i="54"/>
  <c r="K19" i="54"/>
  <c r="O20" i="46"/>
  <c r="P20" i="46" s="1"/>
  <c r="V20" i="54"/>
  <c r="O19" i="46"/>
  <c r="U19" i="46" s="1"/>
  <c r="T20" i="54"/>
  <c r="P20" i="54"/>
  <c r="U20" i="54"/>
  <c r="AD23" i="46"/>
  <c r="N19" i="46"/>
  <c r="AR22" i="46"/>
  <c r="BA22" i="46" s="1"/>
  <c r="AM22" i="46"/>
  <c r="AR21" i="46"/>
  <c r="BA21" i="46" s="1"/>
  <c r="AM21" i="46"/>
  <c r="AR20" i="46"/>
  <c r="BA20" i="46" s="1"/>
  <c r="AM20" i="46"/>
  <c r="N20" i="46"/>
  <c r="H20" i="46" s="1"/>
  <c r="J20" i="46" s="1"/>
  <c r="AR19" i="46"/>
  <c r="BA19" i="46" s="1"/>
  <c r="AM19" i="46"/>
  <c r="X24" i="31"/>
  <c r="X25" i="31" s="1"/>
  <c r="Z19" i="31"/>
  <c r="Y19" i="31"/>
  <c r="Z18" i="31"/>
  <c r="Y18" i="31"/>
  <c r="Y17" i="31"/>
  <c r="Z17" i="31"/>
  <c r="Y8" i="31"/>
  <c r="Z8" i="31"/>
  <c r="X13" i="31"/>
  <c r="X14" i="31" s="1"/>
  <c r="Z7" i="31"/>
  <c r="Y7" i="31"/>
  <c r="Y6" i="31"/>
  <c r="W6" i="31"/>
  <c r="Z6" i="31" s="1"/>
  <c r="P26" i="31"/>
  <c r="S26" i="31" s="1"/>
  <c r="Q33" i="31"/>
  <c r="Q34" i="31" s="1"/>
  <c r="S27" i="31"/>
  <c r="R27" i="31"/>
  <c r="R26" i="31"/>
  <c r="Q18" i="31"/>
  <c r="P18" i="31"/>
  <c r="Q17" i="31"/>
  <c r="Q23" i="31" s="1"/>
  <c r="Q24" i="31" s="1"/>
  <c r="P17" i="31"/>
  <c r="P16" i="31"/>
  <c r="S16" i="31" s="1"/>
  <c r="R16" i="31"/>
  <c r="Q13" i="31"/>
  <c r="Q14" i="31" s="1"/>
  <c r="S7" i="31"/>
  <c r="R7" i="31"/>
  <c r="R6" i="31"/>
  <c r="P6" i="31"/>
  <c r="S6" i="31" s="1"/>
  <c r="X19" i="54" l="1"/>
  <c r="AC20" i="54"/>
  <c r="Y13" i="31"/>
  <c r="BL11" i="39"/>
  <c r="R17" i="31"/>
  <c r="S33" i="31"/>
  <c r="S34" i="31" s="1"/>
  <c r="T19" i="54"/>
  <c r="AC19" i="54" s="1"/>
  <c r="P19" i="54"/>
  <c r="U19" i="54"/>
  <c r="AA19" i="54" s="1"/>
  <c r="V19" i="54"/>
  <c r="C20" i="46"/>
  <c r="T20" i="46"/>
  <c r="V19" i="46"/>
  <c r="Y24" i="31"/>
  <c r="Y25" i="31" s="1"/>
  <c r="Y14" i="31"/>
  <c r="V20" i="46"/>
  <c r="Z24" i="31"/>
  <c r="Z25" i="31" s="1"/>
  <c r="U20" i="46"/>
  <c r="AA19" i="46" s="1"/>
  <c r="S18" i="31"/>
  <c r="S17" i="31"/>
  <c r="S23" i="31" s="1"/>
  <c r="S24" i="31" s="1"/>
  <c r="R33" i="31"/>
  <c r="R34" i="31" s="1"/>
  <c r="S13" i="31"/>
  <c r="S14" i="31" s="1"/>
  <c r="R13" i="31"/>
  <c r="R14" i="31" s="1"/>
  <c r="AD21" i="46"/>
  <c r="P19" i="46"/>
  <c r="C19" i="46"/>
  <c r="T19" i="46"/>
  <c r="AD19" i="46"/>
  <c r="AD20" i="46"/>
  <c r="AD22" i="46"/>
  <c r="K20" i="46"/>
  <c r="Z13" i="31"/>
  <c r="Z14" i="31" s="1"/>
  <c r="R18" i="31"/>
  <c r="AB19" i="54" l="1"/>
  <c r="R23" i="31"/>
  <c r="R24" i="31" s="1"/>
  <c r="N11" i="39"/>
  <c r="AC20" i="46"/>
  <c r="K19" i="46"/>
  <c r="L11" i="39" s="1"/>
  <c r="J19" i="46"/>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S9" i="45"/>
  <c r="S10" i="45"/>
  <c r="S11" i="45"/>
  <c r="S12" i="45"/>
  <c r="S13" i="45"/>
  <c r="S14" i="45"/>
  <c r="S15" i="45"/>
  <c r="S16" i="45"/>
  <c r="S17" i="45"/>
  <c r="S18" i="45"/>
  <c r="S19" i="45"/>
  <c r="S20" i="45"/>
  <c r="S21" i="45"/>
  <c r="S22" i="45"/>
  <c r="S23" i="45"/>
  <c r="S24" i="45"/>
  <c r="S25" i="45"/>
  <c r="S26" i="45"/>
  <c r="S27" i="45"/>
  <c r="S28" i="45"/>
  <c r="S29" i="45"/>
  <c r="S30" i="45"/>
  <c r="S31" i="45"/>
  <c r="S32" i="45"/>
  <c r="S33" i="45"/>
  <c r="S34" i="45"/>
  <c r="S35" i="45"/>
  <c r="S36" i="45"/>
  <c r="S37" i="45"/>
  <c r="S38" i="45"/>
  <c r="S8" i="45"/>
  <c r="AC19" i="46" l="1"/>
  <c r="AB19" i="46" s="1"/>
  <c r="X19" i="46"/>
  <c r="E8" i="47"/>
  <c r="G8" i="47" s="1"/>
  <c r="H8" i="47" s="1"/>
  <c r="O12" i="54" s="1"/>
  <c r="C12" i="54" l="1"/>
  <c r="K12" i="54"/>
  <c r="AC12" i="54" s="1"/>
  <c r="P12" i="54"/>
  <c r="T12" i="54"/>
  <c r="U12" i="54"/>
  <c r="V12" i="54"/>
  <c r="O12" i="46"/>
  <c r="BL10" i="39" l="1"/>
  <c r="AM17" i="46"/>
  <c r="AR17" i="46"/>
  <c r="BA17" i="46" s="1"/>
  <c r="R12" i="46"/>
  <c r="N12" i="46"/>
  <c r="J12" i="46" s="1"/>
  <c r="AR16" i="46"/>
  <c r="BA16" i="46" s="1"/>
  <c r="AM16" i="46"/>
  <c r="AR15" i="46"/>
  <c r="BA15" i="46" s="1"/>
  <c r="AM15" i="46"/>
  <c r="AR14" i="46"/>
  <c r="BA14" i="46" s="1"/>
  <c r="AM14" i="46"/>
  <c r="AR13" i="46"/>
  <c r="BA13" i="46" s="1"/>
  <c r="AM13" i="46"/>
  <c r="AR12" i="46"/>
  <c r="BA12" i="46" s="1"/>
  <c r="AM12" i="46"/>
  <c r="H34" i="32"/>
  <c r="I38" i="32"/>
  <c r="I8" i="47" s="1"/>
  <c r="G42" i="32"/>
  <c r="I37" i="32" s="1"/>
  <c r="F42" i="32"/>
  <c r="N40" i="32"/>
  <c r="Q32" i="32"/>
  <c r="Q33" i="32" s="1"/>
  <c r="S26" i="32"/>
  <c r="R26" i="32"/>
  <c r="R25" i="32"/>
  <c r="P25" i="32"/>
  <c r="S25" i="32" s="1"/>
  <c r="F20" i="32"/>
  <c r="Q15" i="32"/>
  <c r="R15" i="32" s="1"/>
  <c r="P15" i="32"/>
  <c r="F19" i="32"/>
  <c r="S16" i="32"/>
  <c r="Q7" i="32"/>
  <c r="R7" i="32" s="1"/>
  <c r="P7" i="32"/>
  <c r="Q6" i="32"/>
  <c r="F11" i="32"/>
  <c r="P6" i="32"/>
  <c r="S15" i="32" l="1"/>
  <c r="S7" i="32"/>
  <c r="R32" i="32"/>
  <c r="S22" i="32"/>
  <c r="Q13" i="32"/>
  <c r="Q14" i="32" s="1"/>
  <c r="AD15" i="46"/>
  <c r="S32" i="32"/>
  <c r="S33" i="32" s="1"/>
  <c r="R33" i="32"/>
  <c r="AD16" i="46"/>
  <c r="K12" i="46"/>
  <c r="AD17" i="46"/>
  <c r="AD14" i="46"/>
  <c r="AD13" i="46"/>
  <c r="AD12" i="46"/>
  <c r="V12" i="46"/>
  <c r="P12" i="46"/>
  <c r="T12" i="46"/>
  <c r="C12" i="46"/>
  <c r="N10" i="39" s="1"/>
  <c r="U12" i="46"/>
  <c r="Q22" i="32"/>
  <c r="Q23" i="32" s="1"/>
  <c r="R16" i="32"/>
  <c r="R22" i="32" s="1"/>
  <c r="S6" i="32"/>
  <c r="R6" i="32"/>
  <c r="R13" i="32" s="1"/>
  <c r="R14" i="32" s="1"/>
  <c r="DW10" i="2"/>
  <c r="G10" i="2"/>
  <c r="S13" i="32" l="1"/>
  <c r="S14" i="32" s="1"/>
  <c r="L10" i="39"/>
  <c r="AC12" i="46"/>
  <c r="R23" i="32"/>
  <c r="S23" i="32"/>
  <c r="AC13" i="46" l="1"/>
  <c r="Z6" i="46"/>
  <c r="F6" i="47"/>
  <c r="F5" i="47"/>
  <c r="E6" i="47"/>
  <c r="E5" i="47"/>
  <c r="E4" i="47"/>
  <c r="H4" i="47" l="1"/>
  <c r="O6" i="54" s="1"/>
  <c r="G6" i="47"/>
  <c r="H6" i="47" s="1"/>
  <c r="O7" i="54" s="1"/>
  <c r="K8" i="33"/>
  <c r="W7" i="54" s="1"/>
  <c r="K7" i="33"/>
  <c r="W6" i="54" s="1"/>
  <c r="C7" i="54" l="1"/>
  <c r="K7" i="54"/>
  <c r="C6" i="54"/>
  <c r="K6" i="54"/>
  <c r="P6" i="54"/>
  <c r="U7" i="54"/>
  <c r="T7" i="54"/>
  <c r="P7" i="54"/>
  <c r="V7" i="54"/>
  <c r="V6" i="54"/>
  <c r="W7" i="46"/>
  <c r="W6" i="46"/>
  <c r="O6" i="46"/>
  <c r="O7" i="46"/>
  <c r="BH10" i="39"/>
  <c r="BH11" i="39"/>
  <c r="BH12" i="39"/>
  <c r="BH13" i="39"/>
  <c r="BH14" i="39"/>
  <c r="BH15" i="39"/>
  <c r="BH16" i="39"/>
  <c r="BH17" i="39"/>
  <c r="BH18" i="39"/>
  <c r="BH19" i="39"/>
  <c r="BH20" i="39"/>
  <c r="BH21" i="39"/>
  <c r="BH22" i="39"/>
  <c r="BH23" i="39"/>
  <c r="BH24" i="39"/>
  <c r="BH25" i="39"/>
  <c r="BH26" i="39"/>
  <c r="BH27" i="39"/>
  <c r="BH28" i="39"/>
  <c r="BH29" i="39"/>
  <c r="BH30" i="39"/>
  <c r="BH31" i="39"/>
  <c r="BH32" i="39"/>
  <c r="BH33" i="39"/>
  <c r="BH34" i="39"/>
  <c r="BH35" i="39"/>
  <c r="BH36" i="39"/>
  <c r="BH37" i="39"/>
  <c r="BH38" i="39"/>
  <c r="BH39" i="39"/>
  <c r="BJ10" i="39"/>
  <c r="BJ11" i="39"/>
  <c r="BJ12" i="39"/>
  <c r="BJ13" i="39"/>
  <c r="BJ14" i="39"/>
  <c r="BJ15" i="39"/>
  <c r="BJ16" i="39"/>
  <c r="BJ17" i="39"/>
  <c r="BJ18" i="39"/>
  <c r="BJ19" i="39"/>
  <c r="BJ20" i="39"/>
  <c r="BJ21" i="39"/>
  <c r="BJ22" i="39"/>
  <c r="BJ23" i="39"/>
  <c r="BJ24" i="39"/>
  <c r="BJ25" i="39"/>
  <c r="BJ26" i="39"/>
  <c r="BJ27" i="39"/>
  <c r="BJ28" i="39"/>
  <c r="BJ29" i="39"/>
  <c r="BJ30" i="39"/>
  <c r="BJ31" i="39"/>
  <c r="BJ32" i="39"/>
  <c r="BJ33" i="39"/>
  <c r="BJ34" i="39"/>
  <c r="BJ35" i="39"/>
  <c r="BJ36" i="39"/>
  <c r="BJ37" i="39"/>
  <c r="BJ38" i="39"/>
  <c r="BJ39" i="39"/>
  <c r="X6" i="54" l="1"/>
  <c r="AC7" i="54"/>
  <c r="U6" i="54"/>
  <c r="AA6" i="54" s="1"/>
  <c r="T6" i="54"/>
  <c r="AC6" i="54" s="1"/>
  <c r="BF41" i="39"/>
  <c r="BG9" i="39"/>
  <c r="AB6" i="54" l="1"/>
  <c r="BL9" i="39"/>
  <c r="BG10" i="39"/>
  <c r="BK10" i="39" s="1"/>
  <c r="BK9" i="39"/>
  <c r="BH41" i="39"/>
  <c r="BG11" i="39" l="1"/>
  <c r="BG12" i="39" l="1"/>
  <c r="BK11" i="39"/>
  <c r="BK12" i="39" l="1"/>
  <c r="BG13" i="39"/>
  <c r="BK13" i="39" l="1"/>
  <c r="BG14" i="39"/>
  <c r="BK14" i="39" l="1"/>
  <c r="BG15" i="39"/>
  <c r="BK15" i="39" l="1"/>
  <c r="BG16" i="39"/>
  <c r="BK16" i="39" l="1"/>
  <c r="BG17" i="39"/>
  <c r="BK17" i="39" l="1"/>
  <c r="BG18" i="39"/>
  <c r="BK18" i="39" l="1"/>
  <c r="BG19" i="39"/>
  <c r="BK19" i="39" l="1"/>
  <c r="BG20" i="39"/>
  <c r="BK20" i="39" l="1"/>
  <c r="BG21" i="39"/>
  <c r="BK21" i="39" l="1"/>
  <c r="BG22" i="39"/>
  <c r="BK22" i="39" l="1"/>
  <c r="BG23" i="39"/>
  <c r="BK23" i="39" l="1"/>
  <c r="BG24" i="39"/>
  <c r="BK24" i="39" l="1"/>
  <c r="BG25" i="39"/>
  <c r="BK25" i="39" l="1"/>
  <c r="BG26" i="39"/>
  <c r="BK26" i="39" l="1"/>
  <c r="BG27" i="39"/>
  <c r="BK27" i="39" l="1"/>
  <c r="BG28" i="39"/>
  <c r="BK28" i="39" l="1"/>
  <c r="BG29" i="39"/>
  <c r="BK29" i="39" l="1"/>
  <c r="BG30" i="39"/>
  <c r="BK30" i="39" l="1"/>
  <c r="BG31" i="39"/>
  <c r="BK31" i="39" l="1"/>
  <c r="BG32" i="39"/>
  <c r="BK32" i="39" l="1"/>
  <c r="BG33" i="39"/>
  <c r="BK33" i="39" l="1"/>
  <c r="BG34" i="39"/>
  <c r="BK34" i="39" l="1"/>
  <c r="BG35" i="39"/>
  <c r="BK35" i="39" l="1"/>
  <c r="BG36" i="39"/>
  <c r="BK36" i="39" l="1"/>
  <c r="BG37" i="39"/>
  <c r="Q6" i="46"/>
  <c r="N7" i="46"/>
  <c r="J7" i="46" s="1"/>
  <c r="C7" i="46"/>
  <c r="I38" i="33"/>
  <c r="I4" i="47" s="1"/>
  <c r="Q35" i="33"/>
  <c r="X8" i="33"/>
  <c r="Y8" i="33"/>
  <c r="X7" i="33"/>
  <c r="Y7" i="33"/>
  <c r="X6" i="33"/>
  <c r="Y6" i="33"/>
  <c r="O38" i="33"/>
  <c r="Q31" i="33"/>
  <c r="Q32" i="33" s="1"/>
  <c r="R24" i="33"/>
  <c r="R31" i="33" s="1"/>
  <c r="R32" i="33" s="1"/>
  <c r="P24" i="33"/>
  <c r="S24" i="33" s="1"/>
  <c r="S31" i="33" s="1"/>
  <c r="Q22" i="33"/>
  <c r="P15" i="33"/>
  <c r="S15" i="33" s="1"/>
  <c r="S22" i="33" s="1"/>
  <c r="R15" i="33"/>
  <c r="R22" i="33" s="1"/>
  <c r="F11" i="33"/>
  <c r="Q7" i="33"/>
  <c r="Q6" i="33"/>
  <c r="R6" i="33" s="1"/>
  <c r="P7" i="33"/>
  <c r="P6" i="33"/>
  <c r="S32" i="33" l="1"/>
  <c r="BK37" i="39"/>
  <c r="BG38" i="39"/>
  <c r="V7" i="46"/>
  <c r="U7" i="46"/>
  <c r="T7" i="46"/>
  <c r="P7" i="46"/>
  <c r="K7" i="46"/>
  <c r="AC7" i="46" s="1"/>
  <c r="Y13" i="33"/>
  <c r="X13" i="33"/>
  <c r="W13" i="33"/>
  <c r="W14" i="33" s="1"/>
  <c r="Q23" i="33"/>
  <c r="S6" i="33"/>
  <c r="R7" i="33"/>
  <c r="R13" i="33" s="1"/>
  <c r="BK38" i="39" l="1"/>
  <c r="BG39" i="39"/>
  <c r="BK39" i="39" s="1"/>
  <c r="X14" i="33"/>
  <c r="Y14" i="33"/>
  <c r="R23" i="33"/>
  <c r="S23" i="33"/>
  <c r="Q13" i="33"/>
  <c r="Q14" i="33" s="1"/>
  <c r="S7" i="33"/>
  <c r="S13" i="33" s="1"/>
  <c r="S14" i="33" s="1"/>
  <c r="R14" i="33" l="1"/>
  <c r="A9" i="1" l="1"/>
  <c r="AZ10" i="39" l="1"/>
  <c r="AZ11" i="39"/>
  <c r="AZ12" i="39"/>
  <c r="AZ13" i="39"/>
  <c r="AZ14" i="39"/>
  <c r="AZ15" i="39"/>
  <c r="AZ16" i="39"/>
  <c r="AZ17" i="39"/>
  <c r="AZ18" i="39"/>
  <c r="AZ19" i="39"/>
  <c r="AZ20" i="39"/>
  <c r="AZ21" i="39"/>
  <c r="AZ22" i="39"/>
  <c r="AZ23" i="39"/>
  <c r="AZ24" i="39"/>
  <c r="AZ25" i="39"/>
  <c r="AZ26" i="39"/>
  <c r="AZ27" i="39"/>
  <c r="AZ28" i="39"/>
  <c r="AZ29" i="39"/>
  <c r="AZ30" i="39"/>
  <c r="AZ31" i="39"/>
  <c r="AZ32" i="39"/>
  <c r="AZ33" i="39"/>
  <c r="AZ34" i="39"/>
  <c r="AZ35" i="39"/>
  <c r="AZ36" i="39"/>
  <c r="AZ37" i="39"/>
  <c r="AZ38" i="39"/>
  <c r="AZ39" i="39"/>
  <c r="AZ9" i="39"/>
  <c r="BF173" i="46" l="1"/>
  <c r="BE173" i="46"/>
  <c r="BD173" i="46"/>
  <c r="BC173" i="46"/>
  <c r="BB173" i="46"/>
  <c r="BF173" i="54"/>
  <c r="BE173" i="54"/>
  <c r="BD173" i="54"/>
  <c r="A6" i="46" l="1"/>
  <c r="B1" i="47"/>
  <c r="A4" i="47" s="1"/>
  <c r="A8" i="47" s="1"/>
  <c r="A10" i="47" s="1"/>
  <c r="F32" i="27" l="1"/>
  <c r="E32" i="27"/>
  <c r="D32" i="27"/>
  <c r="C32" i="27"/>
  <c r="C33" i="27" s="1"/>
  <c r="F23" i="27"/>
  <c r="E23" i="27"/>
  <c r="D23" i="27"/>
  <c r="C23" i="27"/>
  <c r="F14" i="27"/>
  <c r="E14" i="27"/>
  <c r="D14" i="27"/>
  <c r="C14" i="27"/>
  <c r="F32" i="29"/>
  <c r="E32" i="29"/>
  <c r="D32" i="29"/>
  <c r="C32" i="29"/>
  <c r="F23" i="29"/>
  <c r="E23" i="29"/>
  <c r="D23" i="29"/>
  <c r="C23" i="29"/>
  <c r="F14" i="29"/>
  <c r="E14" i="29"/>
  <c r="D14" i="29"/>
  <c r="C14" i="29"/>
  <c r="F32" i="30"/>
  <c r="E32" i="30"/>
  <c r="D32" i="30"/>
  <c r="C32" i="30"/>
  <c r="F23" i="30"/>
  <c r="E23" i="30"/>
  <c r="D23" i="30"/>
  <c r="C23" i="30"/>
  <c r="F14" i="30"/>
  <c r="E14" i="30"/>
  <c r="D14" i="30"/>
  <c r="C14" i="30"/>
  <c r="F32" i="31"/>
  <c r="E32" i="31"/>
  <c r="D32" i="31"/>
  <c r="C32" i="31"/>
  <c r="F23" i="31"/>
  <c r="E23" i="31"/>
  <c r="D23" i="31"/>
  <c r="C23" i="31"/>
  <c r="F14" i="31"/>
  <c r="E14" i="31"/>
  <c r="E34" i="31" s="1"/>
  <c r="D14" i="31"/>
  <c r="C14" i="31"/>
  <c r="D34" i="31" l="1"/>
  <c r="C34" i="29"/>
  <c r="E33" i="30"/>
  <c r="C34" i="27"/>
  <c r="K9" i="27" s="1"/>
  <c r="W38" i="54" s="1"/>
  <c r="X38" i="54" s="1"/>
  <c r="C15" i="29"/>
  <c r="E33" i="27"/>
  <c r="E33" i="29"/>
  <c r="C33" i="29"/>
  <c r="D33" i="30"/>
  <c r="F34" i="30"/>
  <c r="C34" i="31"/>
  <c r="D24" i="31"/>
  <c r="D33" i="27"/>
  <c r="D33" i="29"/>
  <c r="D33" i="31"/>
  <c r="C34" i="30"/>
  <c r="C33" i="30"/>
  <c r="D24" i="27"/>
  <c r="C24" i="30"/>
  <c r="F34" i="31"/>
  <c r="C24" i="31"/>
  <c r="D15" i="29"/>
  <c r="D15" i="27"/>
  <c r="E33" i="31"/>
  <c r="D34" i="30"/>
  <c r="E34" i="29"/>
  <c r="E34" i="27"/>
  <c r="E24" i="31"/>
  <c r="E34" i="30"/>
  <c r="F34" i="29"/>
  <c r="F34" i="27"/>
  <c r="C33" i="31"/>
  <c r="C24" i="27"/>
  <c r="E24" i="27"/>
  <c r="E15" i="27"/>
  <c r="D34" i="27"/>
  <c r="C15" i="27"/>
  <c r="C24" i="29"/>
  <c r="E24" i="29"/>
  <c r="E15" i="29"/>
  <c r="D34" i="29"/>
  <c r="D24" i="29"/>
  <c r="C15" i="30"/>
  <c r="D15" i="30"/>
  <c r="E15" i="30"/>
  <c r="D24" i="30"/>
  <c r="E24" i="30"/>
  <c r="C15" i="31"/>
  <c r="D15" i="31"/>
  <c r="E15" i="31"/>
  <c r="AA38" i="54" l="1"/>
  <c r="AB38" i="54" s="1"/>
  <c r="W38" i="46"/>
  <c r="AA38" i="46" s="1"/>
  <c r="X38" i="46" l="1"/>
  <c r="P13" i="45"/>
  <c r="P12" i="45" l="1"/>
  <c r="I46" i="29"/>
  <c r="P11" i="45" l="1"/>
  <c r="P10" i="45"/>
  <c r="G42" i="31"/>
  <c r="I37" i="31" s="1"/>
  <c r="F42" i="31"/>
  <c r="I46" i="31"/>
  <c r="I46" i="30" l="1"/>
  <c r="P9" i="45" l="1"/>
  <c r="F14" i="32"/>
  <c r="I46" i="32" l="1"/>
  <c r="F23" i="32" l="1"/>
  <c r="AR10" i="46" l="1"/>
  <c r="BA10" i="46" s="1"/>
  <c r="AM10" i="46"/>
  <c r="F14" i="33"/>
  <c r="F23" i="33"/>
  <c r="G42" i="33"/>
  <c r="I37" i="33" s="1"/>
  <c r="F42" i="33"/>
  <c r="AD10" i="46" l="1"/>
  <c r="D41" i="52" l="1"/>
  <c r="D40" i="52"/>
  <c r="D39" i="52"/>
  <c r="D38" i="52"/>
  <c r="D36" i="52"/>
  <c r="D34" i="52"/>
  <c r="D33" i="52"/>
  <c r="D32" i="52"/>
  <c r="D31" i="52"/>
  <c r="D30" i="52"/>
  <c r="D29" i="52"/>
  <c r="D28" i="52"/>
  <c r="D27" i="52"/>
  <c r="D26" i="52"/>
  <c r="D25" i="52"/>
  <c r="D23" i="52"/>
  <c r="D22" i="52"/>
  <c r="D21" i="52"/>
  <c r="D20" i="52"/>
  <c r="D19" i="52"/>
  <c r="D18" i="52"/>
  <c r="D17" i="52"/>
  <c r="D16" i="52"/>
  <c r="D11" i="52"/>
  <c r="D10" i="52"/>
  <c r="D9" i="52"/>
  <c r="D8" i="52"/>
  <c r="D7" i="52"/>
  <c r="D6" i="52"/>
  <c r="D5" i="52"/>
  <c r="D4" i="52"/>
  <c r="E3" i="52"/>
  <c r="F3" i="52" s="1"/>
  <c r="G3" i="52" s="1"/>
  <c r="H3" i="52" s="1"/>
  <c r="M3" i="52" s="1"/>
  <c r="N3" i="52" s="1"/>
  <c r="O3" i="52" s="1"/>
  <c r="P3" i="52" s="1"/>
  <c r="Q3" i="52" s="1"/>
  <c r="D42" i="52" l="1"/>
  <c r="M42" i="52"/>
  <c r="P38" i="45" l="1"/>
  <c r="I46" i="43" s="1"/>
  <c r="P37" i="45"/>
  <c r="I46" i="4" s="1"/>
  <c r="P36" i="45"/>
  <c r="I46" i="37" s="1"/>
  <c r="P34" i="45"/>
  <c r="I46" i="7" s="1"/>
  <c r="P33" i="45"/>
  <c r="I46" i="8" s="1"/>
  <c r="P32" i="45"/>
  <c r="I46" i="9" s="1"/>
  <c r="P31" i="45"/>
  <c r="I46" i="10" s="1"/>
  <c r="P30" i="45"/>
  <c r="I46" i="11" s="1"/>
  <c r="P29" i="45"/>
  <c r="I46" i="12" s="1"/>
  <c r="P28" i="45"/>
  <c r="I46" i="13" s="1"/>
  <c r="P26" i="45"/>
  <c r="I46" i="15" s="1"/>
  <c r="P25" i="45"/>
  <c r="I46" i="16" s="1"/>
  <c r="P23" i="45"/>
  <c r="I46" i="18" s="1"/>
  <c r="P22" i="45"/>
  <c r="I46" i="19" s="1"/>
  <c r="P21" i="45"/>
  <c r="I46" i="20" s="1"/>
  <c r="P20" i="45"/>
  <c r="I46" i="22" s="1"/>
  <c r="P17" i="45"/>
  <c r="I46" i="24" s="1"/>
  <c r="P15" i="45"/>
  <c r="I46" i="26" s="1"/>
  <c r="P14" i="45"/>
  <c r="I46" i="28" s="1"/>
  <c r="S40" i="45"/>
  <c r="L8" i="45"/>
  <c r="E40" i="45"/>
  <c r="D8" i="45"/>
  <c r="AR9" i="46"/>
  <c r="BA9" i="46" s="1"/>
  <c r="AM9" i="46"/>
  <c r="AR8" i="46"/>
  <c r="BA8" i="46" s="1"/>
  <c r="AM8" i="46"/>
  <c r="AR7" i="46"/>
  <c r="BA7" i="46" s="1"/>
  <c r="AM7" i="46"/>
  <c r="AR6" i="46"/>
  <c r="BA6" i="46" s="1"/>
  <c r="AM6" i="46"/>
  <c r="P6" i="46"/>
  <c r="N6" i="46"/>
  <c r="V6" i="46" l="1"/>
  <c r="J6" i="46"/>
  <c r="I46" i="27"/>
  <c r="L9" i="45"/>
  <c r="D9" i="45"/>
  <c r="AD8" i="46"/>
  <c r="AD6" i="46"/>
  <c r="AD9" i="46"/>
  <c r="P19" i="45"/>
  <c r="I46" i="21" s="1"/>
  <c r="P27" i="45"/>
  <c r="I46" i="14" s="1"/>
  <c r="P35" i="45"/>
  <c r="I46" i="6" s="1"/>
  <c r="H8" i="45"/>
  <c r="P8" i="45"/>
  <c r="I46" i="33" s="1"/>
  <c r="P16" i="45"/>
  <c r="I46" i="25" s="1"/>
  <c r="P24" i="45"/>
  <c r="I46" i="17" s="1"/>
  <c r="I40" i="45"/>
  <c r="P18" i="45"/>
  <c r="I46" i="23" s="1"/>
  <c r="M40" i="45"/>
  <c r="AD7" i="46"/>
  <c r="T6" i="46"/>
  <c r="C6" i="46"/>
  <c r="N9" i="39" s="1"/>
  <c r="U6" i="46"/>
  <c r="AA6" i="46" s="1"/>
  <c r="F32" i="37"/>
  <c r="F34" i="37" s="1"/>
  <c r="E32" i="37"/>
  <c r="D32" i="37"/>
  <c r="C32" i="37"/>
  <c r="E23" i="37"/>
  <c r="D23" i="37"/>
  <c r="C23" i="37"/>
  <c r="E14" i="37"/>
  <c r="D14" i="37"/>
  <c r="C14" i="37"/>
  <c r="F32" i="6"/>
  <c r="F34" i="6" s="1"/>
  <c r="E32" i="6"/>
  <c r="D32" i="6"/>
  <c r="C32" i="6"/>
  <c r="E23" i="6"/>
  <c r="D23" i="6"/>
  <c r="C23" i="6"/>
  <c r="E14" i="6"/>
  <c r="D14" i="6"/>
  <c r="C14" i="6"/>
  <c r="F32" i="7"/>
  <c r="F34" i="7" s="1"/>
  <c r="E32" i="7"/>
  <c r="D32" i="7"/>
  <c r="C32" i="7"/>
  <c r="E23" i="7"/>
  <c r="D23" i="7"/>
  <c r="C23" i="7"/>
  <c r="E14" i="7"/>
  <c r="D14" i="7"/>
  <c r="C14" i="7"/>
  <c r="F32" i="8"/>
  <c r="F34" i="8" s="1"/>
  <c r="E32" i="8"/>
  <c r="D32" i="8"/>
  <c r="C32" i="8"/>
  <c r="E23" i="8"/>
  <c r="D23" i="8"/>
  <c r="C23" i="8"/>
  <c r="E14" i="8"/>
  <c r="D14" i="8"/>
  <c r="C14" i="8"/>
  <c r="F32" i="9"/>
  <c r="F34" i="9" s="1"/>
  <c r="E32" i="9"/>
  <c r="D32" i="9"/>
  <c r="C32" i="9"/>
  <c r="E23" i="9"/>
  <c r="D23" i="9"/>
  <c r="C23" i="9"/>
  <c r="E14" i="9"/>
  <c r="D14" i="9"/>
  <c r="C14" i="9"/>
  <c r="F32" i="10"/>
  <c r="F34" i="10" s="1"/>
  <c r="E32" i="10"/>
  <c r="D32" i="10"/>
  <c r="C32" i="10"/>
  <c r="E23" i="10"/>
  <c r="D23" i="10"/>
  <c r="C23" i="10"/>
  <c r="E14" i="10"/>
  <c r="D14" i="10"/>
  <c r="C14" i="10"/>
  <c r="F32" i="11"/>
  <c r="F34" i="11" s="1"/>
  <c r="E32" i="11"/>
  <c r="D32" i="11"/>
  <c r="C32" i="11"/>
  <c r="E23" i="11"/>
  <c r="D23" i="11"/>
  <c r="C23" i="11"/>
  <c r="E14" i="11"/>
  <c r="D14" i="11"/>
  <c r="C14" i="11"/>
  <c r="F34" i="12"/>
  <c r="F32" i="13"/>
  <c r="E32" i="13"/>
  <c r="D32" i="13"/>
  <c r="C32" i="13"/>
  <c r="E23" i="13"/>
  <c r="D23" i="13"/>
  <c r="C23" i="13"/>
  <c r="E14" i="13"/>
  <c r="D14" i="13"/>
  <c r="C14" i="13"/>
  <c r="F32" i="14"/>
  <c r="F34" i="14" s="1"/>
  <c r="E32" i="14"/>
  <c r="D32" i="14"/>
  <c r="C32" i="14"/>
  <c r="E23" i="14"/>
  <c r="D23" i="14"/>
  <c r="C23" i="14"/>
  <c r="E14" i="14"/>
  <c r="D14" i="14"/>
  <c r="C14" i="14"/>
  <c r="F32" i="15"/>
  <c r="F34" i="15" s="1"/>
  <c r="E32" i="15"/>
  <c r="D32" i="15"/>
  <c r="C32" i="15"/>
  <c r="E23" i="15"/>
  <c r="D23" i="15"/>
  <c r="C23" i="15"/>
  <c r="E14" i="15"/>
  <c r="D14" i="15"/>
  <c r="C14" i="15"/>
  <c r="F32" i="16"/>
  <c r="F34" i="16" s="1"/>
  <c r="E32" i="16"/>
  <c r="D32" i="16"/>
  <c r="C32" i="16"/>
  <c r="E23" i="16"/>
  <c r="D23" i="16"/>
  <c r="C23" i="16"/>
  <c r="E14" i="16"/>
  <c r="D14" i="16"/>
  <c r="C14" i="16"/>
  <c r="F32" i="17"/>
  <c r="E32" i="17"/>
  <c r="D32" i="17"/>
  <c r="C32" i="17"/>
  <c r="E23" i="17"/>
  <c r="D23" i="17"/>
  <c r="C23" i="17"/>
  <c r="E14" i="17"/>
  <c r="D14" i="17"/>
  <c r="C14" i="17"/>
  <c r="F32" i="18"/>
  <c r="F34" i="18" s="1"/>
  <c r="E32" i="18"/>
  <c r="D32" i="18"/>
  <c r="C32" i="18"/>
  <c r="E23" i="18"/>
  <c r="D23" i="18"/>
  <c r="C23" i="18"/>
  <c r="E14" i="18"/>
  <c r="D14" i="18"/>
  <c r="C14" i="18"/>
  <c r="F32" i="19"/>
  <c r="F34" i="19" s="1"/>
  <c r="E32" i="19"/>
  <c r="D32" i="19"/>
  <c r="C32" i="19"/>
  <c r="E23" i="19"/>
  <c r="D23" i="19"/>
  <c r="C23" i="19"/>
  <c r="E14" i="19"/>
  <c r="D14" i="19"/>
  <c r="C14" i="19"/>
  <c r="F32" i="20"/>
  <c r="F34" i="20" s="1"/>
  <c r="E32" i="20"/>
  <c r="D32" i="20"/>
  <c r="C32" i="20"/>
  <c r="E23" i="20"/>
  <c r="D23" i="20"/>
  <c r="C23" i="20"/>
  <c r="E14" i="20"/>
  <c r="D14" i="20"/>
  <c r="C14" i="20"/>
  <c r="F32" i="22"/>
  <c r="F34" i="22" s="1"/>
  <c r="E32" i="22"/>
  <c r="D32" i="22"/>
  <c r="C32" i="22"/>
  <c r="E23" i="22"/>
  <c r="D23" i="22"/>
  <c r="C23" i="22"/>
  <c r="E14" i="22"/>
  <c r="D14" i="22"/>
  <c r="C14" i="22"/>
  <c r="F32" i="21"/>
  <c r="F34" i="21" s="1"/>
  <c r="E32" i="21"/>
  <c r="D32" i="21"/>
  <c r="C32" i="21"/>
  <c r="E23" i="21"/>
  <c r="D23" i="21"/>
  <c r="C23" i="21"/>
  <c r="E14" i="21"/>
  <c r="D14" i="21"/>
  <c r="D34" i="21" s="1"/>
  <c r="C14" i="21"/>
  <c r="F32" i="23"/>
  <c r="F34" i="23" s="1"/>
  <c r="E32" i="23"/>
  <c r="D32" i="23"/>
  <c r="C32" i="23"/>
  <c r="E23" i="23"/>
  <c r="D23" i="23"/>
  <c r="C23" i="23"/>
  <c r="E14" i="23"/>
  <c r="D14" i="23"/>
  <c r="C14" i="23"/>
  <c r="F32" i="24"/>
  <c r="E32" i="24"/>
  <c r="D32" i="24"/>
  <c r="C32" i="24"/>
  <c r="E23" i="24"/>
  <c r="D23" i="24"/>
  <c r="C23" i="24"/>
  <c r="E14" i="24"/>
  <c r="D14" i="24"/>
  <c r="C14" i="24"/>
  <c r="F32" i="25"/>
  <c r="F34" i="25" s="1"/>
  <c r="E32" i="25"/>
  <c r="D32" i="25"/>
  <c r="C32" i="25"/>
  <c r="E23" i="25"/>
  <c r="D23" i="25"/>
  <c r="C23" i="25"/>
  <c r="E14" i="25"/>
  <c r="D14" i="25"/>
  <c r="C14" i="25"/>
  <c r="F32" i="26"/>
  <c r="E32" i="26"/>
  <c r="D32" i="26"/>
  <c r="C32" i="26"/>
  <c r="E23" i="26"/>
  <c r="D23" i="26"/>
  <c r="C23" i="26"/>
  <c r="D24" i="26" s="1"/>
  <c r="E14" i="26"/>
  <c r="D14" i="26"/>
  <c r="C14" i="26"/>
  <c r="F32" i="28"/>
  <c r="F34" i="28" s="1"/>
  <c r="E32" i="28"/>
  <c r="D32" i="28"/>
  <c r="C32" i="28"/>
  <c r="E23" i="28"/>
  <c r="D23" i="28"/>
  <c r="C23" i="28"/>
  <c r="E14" i="28"/>
  <c r="D14" i="28"/>
  <c r="C14" i="28"/>
  <c r="F32" i="32"/>
  <c r="E32" i="32"/>
  <c r="D32" i="32"/>
  <c r="C32" i="32"/>
  <c r="E23" i="32"/>
  <c r="D23" i="32"/>
  <c r="C23" i="32"/>
  <c r="E14" i="32"/>
  <c r="D14" i="32"/>
  <c r="C14" i="32"/>
  <c r="C33" i="23" l="1"/>
  <c r="D24" i="17"/>
  <c r="C24" i="9"/>
  <c r="D33" i="19"/>
  <c r="E33" i="21"/>
  <c r="D33" i="23"/>
  <c r="C34" i="21"/>
  <c r="K14" i="21" s="1"/>
  <c r="W70" i="54" s="1"/>
  <c r="X70" i="54" s="1"/>
  <c r="C33" i="25"/>
  <c r="C33" i="22"/>
  <c r="E33" i="25"/>
  <c r="C33" i="18"/>
  <c r="E15" i="16"/>
  <c r="C33" i="14"/>
  <c r="D33" i="26"/>
  <c r="C33" i="12"/>
  <c r="D10" i="45"/>
  <c r="D11" i="45" s="1"/>
  <c r="L10" i="45"/>
  <c r="L11" i="45" s="1"/>
  <c r="D33" i="25"/>
  <c r="E33" i="19"/>
  <c r="E34" i="25"/>
  <c r="D33" i="24"/>
  <c r="D34" i="19"/>
  <c r="D33" i="18"/>
  <c r="E33" i="10"/>
  <c r="E34" i="19"/>
  <c r="E24" i="28"/>
  <c r="D24" i="8"/>
  <c r="E34" i="7"/>
  <c r="C33" i="37"/>
  <c r="C34" i="23"/>
  <c r="K14" i="23" s="1"/>
  <c r="W65" i="54" s="1"/>
  <c r="X65" i="54" s="1"/>
  <c r="E33" i="23"/>
  <c r="C24" i="21"/>
  <c r="C15" i="13"/>
  <c r="D34" i="10"/>
  <c r="C34" i="7"/>
  <c r="E24" i="10"/>
  <c r="C24" i="24"/>
  <c r="C33" i="21"/>
  <c r="H9" i="45"/>
  <c r="C15" i="32"/>
  <c r="E33" i="18"/>
  <c r="D15" i="32"/>
  <c r="D24" i="21"/>
  <c r="E24" i="20"/>
  <c r="D24" i="19"/>
  <c r="D33" i="15"/>
  <c r="E24" i="11"/>
  <c r="C34" i="37"/>
  <c r="K8" i="37" s="1"/>
  <c r="W155" i="54" s="1"/>
  <c r="X155" i="54" s="1"/>
  <c r="E15" i="32"/>
  <c r="C33" i="26"/>
  <c r="C33" i="24"/>
  <c r="C15" i="21"/>
  <c r="E24" i="21"/>
  <c r="E34" i="18"/>
  <c r="D33" i="17"/>
  <c r="C24" i="16"/>
  <c r="D34" i="12"/>
  <c r="E33" i="11"/>
  <c r="D34" i="37"/>
  <c r="E33" i="26"/>
  <c r="E34" i="21"/>
  <c r="D33" i="21"/>
  <c r="C34" i="20"/>
  <c r="K14" i="20" s="1"/>
  <c r="W80" i="54" s="1"/>
  <c r="X80" i="54" s="1"/>
  <c r="E33" i="20"/>
  <c r="E33" i="17"/>
  <c r="E24" i="32"/>
  <c r="D15" i="22"/>
  <c r="D34" i="20"/>
  <c r="C33" i="16"/>
  <c r="D24" i="15"/>
  <c r="C33" i="13"/>
  <c r="D34" i="11"/>
  <c r="E33" i="7"/>
  <c r="E15" i="26"/>
  <c r="D15" i="24"/>
  <c r="D33" i="13"/>
  <c r="D34" i="7"/>
  <c r="D33" i="6"/>
  <c r="D34" i="14"/>
  <c r="D33" i="22"/>
  <c r="D34" i="15"/>
  <c r="C24" i="13"/>
  <c r="E24" i="13"/>
  <c r="D24" i="23"/>
  <c r="C24" i="23"/>
  <c r="E24" i="23"/>
  <c r="E24" i="14"/>
  <c r="D24" i="24"/>
  <c r="D24" i="28"/>
  <c r="C33" i="15"/>
  <c r="E34" i="37"/>
  <c r="E15" i="37"/>
  <c r="C24" i="37"/>
  <c r="C34" i="12"/>
  <c r="E34" i="20"/>
  <c r="D33" i="11"/>
  <c r="E33" i="8"/>
  <c r="E24" i="25"/>
  <c r="E24" i="24"/>
  <c r="D34" i="22"/>
  <c r="D15" i="20"/>
  <c r="E24" i="18"/>
  <c r="E34" i="16"/>
  <c r="C34" i="14"/>
  <c r="K7" i="14" s="1"/>
  <c r="W110" i="54" s="1"/>
  <c r="X110" i="54" s="1"/>
  <c r="D33" i="14"/>
  <c r="D15" i="13"/>
  <c r="D34" i="8"/>
  <c r="E34" i="6"/>
  <c r="D33" i="37"/>
  <c r="E15" i="17"/>
  <c r="E33" i="15"/>
  <c r="E15" i="7"/>
  <c r="C34" i="28"/>
  <c r="K10" i="28" s="1"/>
  <c r="W44" i="54" s="1"/>
  <c r="X44" i="54" s="1"/>
  <c r="E33" i="28"/>
  <c r="E34" i="22"/>
  <c r="E24" i="19"/>
  <c r="E33" i="14"/>
  <c r="E15" i="13"/>
  <c r="E33" i="13"/>
  <c r="E34" i="8"/>
  <c r="D24" i="7"/>
  <c r="C33" i="6"/>
  <c r="E33" i="37"/>
  <c r="C34" i="22"/>
  <c r="D24" i="16"/>
  <c r="C34" i="10"/>
  <c r="D34" i="28"/>
  <c r="C15" i="24"/>
  <c r="D34" i="23"/>
  <c r="C15" i="17"/>
  <c r="C34" i="16"/>
  <c r="D15" i="11"/>
  <c r="D15" i="10"/>
  <c r="C34" i="9"/>
  <c r="K17" i="9" s="1"/>
  <c r="W135" i="54" s="1"/>
  <c r="X135" i="54" s="1"/>
  <c r="E33" i="9"/>
  <c r="C34" i="8"/>
  <c r="K17" i="8" s="1"/>
  <c r="W140" i="54" s="1"/>
  <c r="X140" i="54" s="1"/>
  <c r="D24" i="9"/>
  <c r="E33" i="22"/>
  <c r="C24" i="18"/>
  <c r="E33" i="12"/>
  <c r="D33" i="10"/>
  <c r="E34" i="28"/>
  <c r="C34" i="25"/>
  <c r="E34" i="23"/>
  <c r="D33" i="20"/>
  <c r="C34" i="18"/>
  <c r="K14" i="18" s="1"/>
  <c r="W90" i="54" s="1"/>
  <c r="X90" i="54" s="1"/>
  <c r="D34" i="16"/>
  <c r="D33" i="16"/>
  <c r="D15" i="14"/>
  <c r="D24" i="11"/>
  <c r="D24" i="10"/>
  <c r="D34" i="9"/>
  <c r="C33" i="7"/>
  <c r="C34" i="6"/>
  <c r="E33" i="6"/>
  <c r="D24" i="37"/>
  <c r="D33" i="12"/>
  <c r="D24" i="25"/>
  <c r="C34" i="15"/>
  <c r="K7" i="15" s="1"/>
  <c r="C34" i="11"/>
  <c r="E24" i="9"/>
  <c r="C24" i="6"/>
  <c r="C24" i="28"/>
  <c r="D34" i="25"/>
  <c r="E15" i="24"/>
  <c r="E33" i="24"/>
  <c r="E24" i="22"/>
  <c r="C34" i="19"/>
  <c r="K14" i="19" s="1"/>
  <c r="W85" i="54" s="1"/>
  <c r="X85" i="54" s="1"/>
  <c r="D34" i="18"/>
  <c r="C33" i="17"/>
  <c r="E33" i="16"/>
  <c r="E24" i="15"/>
  <c r="D24" i="14"/>
  <c r="D24" i="13"/>
  <c r="E34" i="9"/>
  <c r="D33" i="7"/>
  <c r="P40" i="45"/>
  <c r="K6" i="46"/>
  <c r="L9" i="39" s="1"/>
  <c r="C15" i="37"/>
  <c r="E24" i="37"/>
  <c r="D15" i="37"/>
  <c r="D24" i="6"/>
  <c r="C15" i="6"/>
  <c r="E24" i="6"/>
  <c r="D15" i="6"/>
  <c r="E15" i="6"/>
  <c r="D34" i="6"/>
  <c r="C24" i="7"/>
  <c r="C15" i="7"/>
  <c r="E24" i="7"/>
  <c r="D15" i="7"/>
  <c r="C33" i="8"/>
  <c r="C24" i="8"/>
  <c r="D33" i="8"/>
  <c r="C15" i="8"/>
  <c r="E24" i="8"/>
  <c r="D15" i="8"/>
  <c r="E15" i="8"/>
  <c r="C33" i="9"/>
  <c r="D33" i="9"/>
  <c r="C15" i="9"/>
  <c r="D15" i="9"/>
  <c r="E15" i="9"/>
  <c r="E15" i="10"/>
  <c r="E34" i="10"/>
  <c r="C33" i="10"/>
  <c r="C24" i="10"/>
  <c r="C15" i="10"/>
  <c r="E15" i="11"/>
  <c r="E34" i="11"/>
  <c r="C33" i="11"/>
  <c r="C24" i="11"/>
  <c r="C15" i="11"/>
  <c r="E34" i="12"/>
  <c r="E15" i="14"/>
  <c r="E34" i="14"/>
  <c r="C24" i="14"/>
  <c r="C15" i="14"/>
  <c r="D15" i="15"/>
  <c r="E15" i="15"/>
  <c r="E34" i="15"/>
  <c r="C24" i="15"/>
  <c r="C15" i="15"/>
  <c r="C15" i="16"/>
  <c r="E24" i="16"/>
  <c r="D15" i="16"/>
  <c r="C24" i="17"/>
  <c r="E24" i="17"/>
  <c r="D15" i="17"/>
  <c r="D24" i="18"/>
  <c r="C15" i="18"/>
  <c r="D15" i="18"/>
  <c r="E15" i="18"/>
  <c r="C33" i="19"/>
  <c r="C24" i="19"/>
  <c r="C15" i="19"/>
  <c r="D15" i="19"/>
  <c r="E15" i="19"/>
  <c r="C33" i="20"/>
  <c r="C24" i="20"/>
  <c r="D24" i="20"/>
  <c r="C15" i="20"/>
  <c r="E15" i="20"/>
  <c r="C24" i="22"/>
  <c r="C15" i="22"/>
  <c r="D24" i="22"/>
  <c r="E15" i="22"/>
  <c r="D15" i="21"/>
  <c r="E15" i="21"/>
  <c r="C15" i="23"/>
  <c r="D15" i="23"/>
  <c r="E15" i="23"/>
  <c r="C24" i="25"/>
  <c r="C15" i="25"/>
  <c r="D15" i="25"/>
  <c r="E15" i="25"/>
  <c r="C15" i="26"/>
  <c r="E24" i="26"/>
  <c r="D15" i="26"/>
  <c r="C24" i="26"/>
  <c r="C33" i="28"/>
  <c r="D33" i="28"/>
  <c r="C15" i="28"/>
  <c r="D15" i="28"/>
  <c r="E15" i="28"/>
  <c r="C24" i="32"/>
  <c r="D24" i="32"/>
  <c r="C33" i="32"/>
  <c r="E33" i="32"/>
  <c r="D33" i="32"/>
  <c r="AA85" i="54" l="1"/>
  <c r="AB85" i="54" s="1"/>
  <c r="AA140" i="54"/>
  <c r="AB140" i="54" s="1"/>
  <c r="AA110" i="54"/>
  <c r="AB110" i="54" s="1"/>
  <c r="AA155" i="54"/>
  <c r="AB155" i="54" s="1"/>
  <c r="AA80" i="54"/>
  <c r="AB80" i="54" s="1"/>
  <c r="AA70" i="54"/>
  <c r="AB70" i="54" s="1"/>
  <c r="AA135" i="54"/>
  <c r="AB135" i="54" s="1"/>
  <c r="AA90" i="54"/>
  <c r="AB90" i="54" s="1"/>
  <c r="AA65" i="54"/>
  <c r="AB65" i="54" s="1"/>
  <c r="AA44" i="54"/>
  <c r="AB44" i="54" s="1"/>
  <c r="W140" i="46"/>
  <c r="AA140" i="46" s="1"/>
  <c r="W155" i="46"/>
  <c r="W135" i="46"/>
  <c r="AA135" i="46" s="1"/>
  <c r="W110" i="46"/>
  <c r="AA110" i="46" s="1"/>
  <c r="W80" i="46"/>
  <c r="AA80" i="46" s="1"/>
  <c r="W90" i="46"/>
  <c r="AA90" i="46" s="1"/>
  <c r="W85" i="46"/>
  <c r="AA85" i="46" s="1"/>
  <c r="W65" i="46"/>
  <c r="W70" i="46"/>
  <c r="AA70" i="46" s="1"/>
  <c r="E35" i="6"/>
  <c r="W44" i="46"/>
  <c r="AA44" i="46" s="1"/>
  <c r="BH9" i="39"/>
  <c r="BJ9" i="39"/>
  <c r="L12" i="45"/>
  <c r="D12" i="45"/>
  <c r="H10" i="45"/>
  <c r="H11" i="45" s="1"/>
  <c r="D35" i="6"/>
  <c r="C35" i="6"/>
  <c r="AC6" i="46"/>
  <c r="M9" i="39"/>
  <c r="O9" i="39"/>
  <c r="P9" i="39"/>
  <c r="AO9" i="39"/>
  <c r="BM9" i="39"/>
  <c r="X65" i="46" l="1"/>
  <c r="AA65" i="46"/>
  <c r="AB135" i="46"/>
  <c r="X135" i="46"/>
  <c r="AA155" i="46"/>
  <c r="AB155" i="46" s="1"/>
  <c r="X155" i="46"/>
  <c r="AB140" i="46"/>
  <c r="X140" i="46"/>
  <c r="X110" i="46"/>
  <c r="AB110" i="46"/>
  <c r="AB85" i="46"/>
  <c r="X85" i="46"/>
  <c r="AB90" i="46"/>
  <c r="X90" i="46"/>
  <c r="X80" i="46"/>
  <c r="AB70" i="46"/>
  <c r="X70" i="46"/>
  <c r="AB44" i="46"/>
  <c r="X44" i="46"/>
  <c r="G9" i="39"/>
  <c r="B8" i="45"/>
  <c r="D13" i="45"/>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3" i="45"/>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H12" i="45"/>
  <c r="AJ9" i="39"/>
  <c r="Q9" i="39"/>
  <c r="AP9" i="39"/>
  <c r="AI9" i="39"/>
  <c r="H9" i="39"/>
  <c r="N8" i="45" l="1"/>
  <c r="T8" i="45"/>
  <c r="J8" i="45"/>
  <c r="F8" i="45"/>
  <c r="Q8" i="45"/>
  <c r="H13" i="45"/>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AK9" i="39"/>
  <c r="AQ9" i="39"/>
  <c r="V22" i="37"/>
  <c r="Y22" i="37" s="1"/>
  <c r="W21" i="37"/>
  <c r="X21" i="37" s="1"/>
  <c r="V21" i="37"/>
  <c r="Y21" i="37" s="1"/>
  <c r="W20" i="37"/>
  <c r="W23" i="37" s="1"/>
  <c r="V20" i="37"/>
  <c r="Y20" i="37" s="1"/>
  <c r="X22" i="37"/>
  <c r="Y23" i="37" l="1"/>
  <c r="Y24" i="37" s="1"/>
  <c r="X20" i="37"/>
  <c r="X23" i="37" s="1"/>
  <c r="X24" i="37" s="1"/>
  <c r="DM10" i="2" l="1"/>
  <c r="DM11" i="2" l="1"/>
  <c r="F42" i="6"/>
  <c r="G42" i="6"/>
  <c r="I37" i="6" s="1"/>
  <c r="DM12" i="2" l="1"/>
  <c r="DM13" i="2" l="1"/>
  <c r="GL35" i="1"/>
  <c r="GO35" i="1"/>
  <c r="GR35" i="1"/>
  <c r="GU35" i="1"/>
  <c r="GX35" i="1"/>
  <c r="GL36" i="1"/>
  <c r="GO36" i="1"/>
  <c r="GR36" i="1"/>
  <c r="GU36" i="1"/>
  <c r="GX36" i="1"/>
  <c r="GL37" i="1"/>
  <c r="GO37" i="1"/>
  <c r="GR37" i="1"/>
  <c r="GU37" i="1"/>
  <c r="GX37" i="1"/>
  <c r="GL38" i="1"/>
  <c r="GO38" i="1"/>
  <c r="GR38" i="1"/>
  <c r="GU38" i="1"/>
  <c r="GX38" i="1"/>
  <c r="GL39" i="1"/>
  <c r="GO39" i="1"/>
  <c r="GR39" i="1"/>
  <c r="GU39" i="1"/>
  <c r="GX39" i="1"/>
  <c r="DM14" i="2" l="1"/>
  <c r="EM40" i="2"/>
  <c r="DW40" i="2"/>
  <c r="CO40" i="2"/>
  <c r="CI40" i="2"/>
  <c r="BW40" i="2"/>
  <c r="DM15" i="2" l="1"/>
  <c r="EU40" i="2"/>
  <c r="DL40" i="2" s="1"/>
  <c r="DT40" i="2"/>
  <c r="AF40" i="2"/>
  <c r="EB40" i="2" l="1"/>
  <c r="BH40" i="2"/>
  <c r="AJ40" i="2"/>
  <c r="AV40" i="2"/>
  <c r="DD40" i="2"/>
  <c r="BD40" i="2"/>
  <c r="AR40" i="2"/>
  <c r="L40" i="2"/>
  <c r="CB40" i="2"/>
  <c r="CZ40" i="2"/>
  <c r="ER40" i="2"/>
  <c r="AN40" i="2"/>
  <c r="X40" i="2"/>
  <c r="H40" i="2"/>
  <c r="BX40" i="2"/>
  <c r="CV40" i="2"/>
  <c r="EJ40" i="2"/>
  <c r="EF40" i="2"/>
  <c r="CJ40" i="2"/>
  <c r="EN40" i="2"/>
  <c r="DX40" i="2"/>
  <c r="CR40" i="2"/>
  <c r="AZ40" i="2"/>
  <c r="AB40" i="2"/>
  <c r="CN40" i="2"/>
  <c r="P40" i="2"/>
  <c r="T40" i="2"/>
  <c r="DM16" i="2"/>
  <c r="CF40" i="2"/>
  <c r="DP40" i="2"/>
  <c r="DH40" i="2"/>
  <c r="DM17" i="2" l="1"/>
  <c r="F42" i="7"/>
  <c r="G42" i="7"/>
  <c r="I37" i="7" s="1"/>
  <c r="DM18" i="2" l="1"/>
  <c r="DM19" i="2" l="1"/>
  <c r="DM20" i="2" l="1"/>
  <c r="GL33" i="1"/>
  <c r="GO33" i="1"/>
  <c r="GR33" i="1"/>
  <c r="GU33" i="1"/>
  <c r="GX33" i="1"/>
  <c r="GL34" i="1"/>
  <c r="GO34" i="1"/>
  <c r="GR34" i="1"/>
  <c r="GU34" i="1"/>
  <c r="GX34" i="1"/>
  <c r="DM21" i="2" l="1"/>
  <c r="DM22" i="2" l="1"/>
  <c r="DM23" i="2" l="1"/>
  <c r="DM24" i="2" l="1"/>
  <c r="F42" i="8"/>
  <c r="G42" i="8"/>
  <c r="I37" i="8" s="1"/>
  <c r="DM25" i="2" l="1"/>
  <c r="DM26" i="2" l="1"/>
  <c r="DM27" i="2" l="1"/>
  <c r="DM28" i="2" l="1"/>
  <c r="DM29" i="2" l="1"/>
  <c r="DM30" i="2" l="1"/>
  <c r="DM31" i="2" l="1"/>
  <c r="G42" i="10"/>
  <c r="I37" i="10" s="1"/>
  <c r="F42" i="10"/>
  <c r="DM32" i="2" l="1"/>
  <c r="DM33" i="2" l="1"/>
  <c r="DM34" i="2" l="1"/>
  <c r="GL30" i="1"/>
  <c r="GO30" i="1"/>
  <c r="GR30" i="1"/>
  <c r="GU30" i="1"/>
  <c r="GX30" i="1"/>
  <c r="HA30" i="1"/>
  <c r="GL31" i="1"/>
  <c r="GO31" i="1"/>
  <c r="GR31" i="1"/>
  <c r="GU31" i="1"/>
  <c r="GX31" i="1"/>
  <c r="HA31" i="1"/>
  <c r="GL32" i="1"/>
  <c r="GO32" i="1"/>
  <c r="GR32" i="1"/>
  <c r="GU32" i="1"/>
  <c r="GX32" i="1"/>
  <c r="HA32" i="1"/>
  <c r="DM35" i="2" l="1"/>
  <c r="DM36" i="2" l="1"/>
  <c r="DM37" i="2" l="1"/>
  <c r="DM38" i="2" s="1"/>
  <c r="DM39" i="2" s="1"/>
  <c r="DM40" i="2" l="1"/>
  <c r="GO29" i="1" l="1"/>
  <c r="GR29" i="1"/>
  <c r="GU29" i="1"/>
  <c r="GX29" i="1"/>
  <c r="HA29" i="1"/>
  <c r="HD29" i="1"/>
  <c r="HG29" i="1"/>
  <c r="HJ29" i="1"/>
  <c r="HD30" i="1"/>
  <c r="HG30" i="1"/>
  <c r="HJ30" i="1"/>
  <c r="HD31" i="1"/>
  <c r="HG31" i="1"/>
  <c r="HJ31" i="1"/>
  <c r="HD32" i="1"/>
  <c r="HG32" i="1"/>
  <c r="HJ32" i="1"/>
  <c r="GU28" i="1" l="1"/>
  <c r="GR28" i="1"/>
  <c r="GO28" i="1"/>
  <c r="GL28" i="1"/>
  <c r="GU27" i="1"/>
  <c r="GR27" i="1"/>
  <c r="GO27" i="1"/>
  <c r="GL27" i="1"/>
  <c r="GU26" i="1"/>
  <c r="GR26" i="1"/>
  <c r="GO26" i="1"/>
  <c r="GL26" i="1"/>
  <c r="F42" i="15" l="1"/>
  <c r="G42" i="15" l="1"/>
  <c r="I37" i="15" s="1"/>
  <c r="G42" i="20" l="1"/>
  <c r="I37" i="20" s="1"/>
  <c r="F42" i="20"/>
  <c r="P20" i="39" l="1"/>
  <c r="B19" i="45" s="1"/>
  <c r="F19" i="45" l="1"/>
  <c r="N19" i="45"/>
  <c r="T19" i="45"/>
  <c r="J19" i="45"/>
  <c r="Q19" i="45"/>
  <c r="C41" i="24" l="1"/>
  <c r="F42" i="25" l="1"/>
  <c r="F42" i="26"/>
  <c r="G42" i="25" l="1"/>
  <c r="I37" i="25" s="1"/>
  <c r="G42" i="26"/>
  <c r="I37" i="26" s="1"/>
  <c r="CI39" i="2" l="1"/>
  <c r="CI38" i="2"/>
  <c r="CI37" i="2"/>
  <c r="CI36" i="2"/>
  <c r="CI35" i="2"/>
  <c r="CI34" i="2"/>
  <c r="CI33" i="2"/>
  <c r="CI32" i="2"/>
  <c r="CI31" i="2"/>
  <c r="CI30" i="2"/>
  <c r="CI29" i="2"/>
  <c r="CI28" i="2"/>
  <c r="CI27" i="2"/>
  <c r="CI26" i="2"/>
  <c r="CI25" i="2"/>
  <c r="CI24" i="2"/>
  <c r="CI23" i="2"/>
  <c r="CI22" i="2"/>
  <c r="CI21" i="2"/>
  <c r="CI20" i="2"/>
  <c r="CI19" i="2"/>
  <c r="CI18" i="2"/>
  <c r="CI17" i="2"/>
  <c r="CI16" i="2"/>
  <c r="CI14" i="2"/>
  <c r="CI13" i="2"/>
  <c r="CI12" i="2"/>
  <c r="CI11" i="2"/>
  <c r="CA42" i="2"/>
  <c r="CE42" i="2"/>
  <c r="CI10" i="2"/>
  <c r="CK10" i="2" s="1"/>
  <c r="CC10" i="2"/>
  <c r="CC11" i="2" s="1"/>
  <c r="CC12" i="2" s="1"/>
  <c r="CC13" i="2" s="1"/>
  <c r="CC14" i="2" s="1"/>
  <c r="CC15" i="2" l="1"/>
  <c r="CC16" i="2" s="1"/>
  <c r="CC17" i="2" s="1"/>
  <c r="CC18" i="2" s="1"/>
  <c r="CC19" i="2" s="1"/>
  <c r="CC20" i="2" s="1"/>
  <c r="CC21" i="2" s="1"/>
  <c r="CC22" i="2" s="1"/>
  <c r="CC23" i="2" s="1"/>
  <c r="CC24" i="2" s="1"/>
  <c r="CC25" i="2" s="1"/>
  <c r="CC26" i="2" s="1"/>
  <c r="CC27" i="2" s="1"/>
  <c r="CC28" i="2" s="1"/>
  <c r="CC29" i="2" s="1"/>
  <c r="CC30" i="2" s="1"/>
  <c r="CC31" i="2" s="1"/>
  <c r="CC32" i="2" s="1"/>
  <c r="CC33" i="2" s="1"/>
  <c r="CC34" i="2" s="1"/>
  <c r="CC35" i="2" s="1"/>
  <c r="CC36" i="2" s="1"/>
  <c r="CC37" i="2" s="1"/>
  <c r="CC38" i="2" s="1"/>
  <c r="CC39" i="2" s="1"/>
  <c r="CC40" i="2" s="1"/>
  <c r="CK11" i="2"/>
  <c r="CK12" i="2" s="1"/>
  <c r="CK13" i="2" s="1"/>
  <c r="CI15" i="2"/>
  <c r="CI42" i="2" s="1"/>
  <c r="CG10" i="2"/>
  <c r="CG11" i="2" s="1"/>
  <c r="CG12" i="2" s="1"/>
  <c r="CG13" i="2" s="1"/>
  <c r="CK14" i="2" l="1"/>
  <c r="CG14" i="2"/>
  <c r="CK15" i="2" l="1"/>
  <c r="CG15" i="2"/>
  <c r="CK16" i="2" l="1"/>
  <c r="CG16" i="2"/>
  <c r="CK17" i="2" l="1"/>
  <c r="CG17" i="2"/>
  <c r="CK18" i="2" l="1"/>
  <c r="CG18" i="2"/>
  <c r="CK19" i="2" l="1"/>
  <c r="CG19" i="2"/>
  <c r="CK20" i="2" l="1"/>
  <c r="CG20" i="2"/>
  <c r="CK21" i="2" l="1"/>
  <c r="CG21" i="2"/>
  <c r="CK22" i="2" l="1"/>
  <c r="CG22" i="2"/>
  <c r="CK23" i="2" l="1"/>
  <c r="CG23" i="2"/>
  <c r="CK24" i="2" l="1"/>
  <c r="CG24" i="2"/>
  <c r="CK25" i="2" l="1"/>
  <c r="CG25" i="2"/>
  <c r="CK26" i="2" l="1"/>
  <c r="CG26" i="2"/>
  <c r="CK27" i="2" l="1"/>
  <c r="CG27" i="2"/>
  <c r="CK28" i="2" l="1"/>
  <c r="CG28" i="2"/>
  <c r="CK29" i="2" l="1"/>
  <c r="CG29" i="2"/>
  <c r="CK30" i="2" l="1"/>
  <c r="CG30" i="2"/>
  <c r="CK31" i="2" l="1"/>
  <c r="CG31" i="2"/>
  <c r="CK32" i="2" l="1"/>
  <c r="CG32" i="2"/>
  <c r="CK33" i="2" l="1"/>
  <c r="CG33" i="2"/>
  <c r="CK34" i="2" l="1"/>
  <c r="CG34" i="2"/>
  <c r="CK35" i="2" l="1"/>
  <c r="CG35" i="2"/>
  <c r="CK36" i="2" l="1"/>
  <c r="CG36" i="2"/>
  <c r="CK37" i="2" l="1"/>
  <c r="CG37" i="2"/>
  <c r="CK38" i="2" l="1"/>
  <c r="CG38" i="2"/>
  <c r="CK39" i="2" l="1"/>
  <c r="CK40" i="2" s="1"/>
  <c r="CG39" i="2"/>
  <c r="CG40" i="2" s="1"/>
  <c r="J8" i="32" l="1"/>
  <c r="J8" i="31" s="1"/>
  <c r="J8" i="30" s="1"/>
  <c r="G5" i="47" l="1"/>
  <c r="X203" i="54" l="1"/>
  <c r="BC173" i="54"/>
  <c r="BB173" i="54"/>
  <c r="AZ173" i="54"/>
  <c r="AY173" i="54"/>
  <c r="AX173" i="54"/>
  <c r="AW173" i="54"/>
  <c r="AV173" i="54"/>
  <c r="AX177" i="54" s="1"/>
  <c r="AW178" i="54" s="1"/>
  <c r="AU173" i="54"/>
  <c r="AT173" i="54"/>
  <c r="AS173" i="54"/>
  <c r="AQ173" i="54"/>
  <c r="AP173" i="54"/>
  <c r="AO173" i="54"/>
  <c r="AN173" i="54"/>
  <c r="AL173" i="54"/>
  <c r="AK173" i="54"/>
  <c r="AJ173" i="54"/>
  <c r="AI173" i="54"/>
  <c r="AH173" i="54"/>
  <c r="AG173" i="54"/>
  <c r="AF173" i="54"/>
  <c r="Y173" i="54"/>
  <c r="Y175" i="54" s="1"/>
  <c r="S173" i="54"/>
  <c r="R173" i="54"/>
  <c r="Q173" i="54"/>
  <c r="Q174" i="54" s="1"/>
  <c r="AR172" i="54"/>
  <c r="AM172" i="54"/>
  <c r="AC172" i="54"/>
  <c r="AA172" i="54"/>
  <c r="BF175" i="54" l="1"/>
  <c r="BD175" i="54"/>
  <c r="BE175" i="54"/>
  <c r="BB175" i="54"/>
  <c r="BC175" i="54"/>
  <c r="S174" i="54"/>
  <c r="R174" i="54"/>
  <c r="AR173" i="54"/>
  <c r="BA173" i="54"/>
  <c r="AM173" i="54"/>
  <c r="S175" i="54" s="1"/>
  <c r="KQ41" i="1"/>
  <c r="KN41" i="1"/>
  <c r="KK41" i="1"/>
  <c r="KH41" i="1"/>
  <c r="KE41" i="1"/>
  <c r="KB41" i="1"/>
  <c r="JY41" i="1"/>
  <c r="JV41" i="1"/>
  <c r="JS41" i="1"/>
  <c r="JP41" i="1"/>
  <c r="JM41" i="1"/>
  <c r="JJ41" i="1"/>
  <c r="JG41" i="1"/>
  <c r="JD41" i="1"/>
  <c r="JA41" i="1"/>
  <c r="IX41" i="1"/>
  <c r="IU41" i="1"/>
  <c r="IR41" i="1"/>
  <c r="IO41" i="1"/>
  <c r="IL41" i="1"/>
  <c r="IF41" i="1"/>
  <c r="IC41" i="1"/>
  <c r="HZ41" i="1"/>
  <c r="HW41" i="1"/>
  <c r="HT41" i="1"/>
  <c r="HQ41" i="1"/>
  <c r="HN41" i="1"/>
  <c r="HK41" i="1"/>
  <c r="HH41" i="1"/>
  <c r="HE41" i="1"/>
  <c r="HB41" i="1"/>
  <c r="GY41" i="1"/>
  <c r="GV41" i="1"/>
  <c r="GS41" i="1"/>
  <c r="GP41" i="1"/>
  <c r="GM41" i="1"/>
  <c r="GJ41" i="1"/>
  <c r="GG41" i="1"/>
  <c r="GD41" i="1"/>
  <c r="GA41" i="1"/>
  <c r="FX41" i="1"/>
  <c r="FU41" i="1"/>
  <c r="FR41" i="1"/>
  <c r="FO41" i="1"/>
  <c r="FL41" i="1"/>
  <c r="FI41" i="1"/>
  <c r="FF41" i="1"/>
  <c r="FC41" i="1"/>
  <c r="EZ41" i="1"/>
  <c r="EW41" i="1"/>
  <c r="ET41" i="1"/>
  <c r="EK41" i="1"/>
  <c r="EH41" i="1"/>
  <c r="EB41" i="1"/>
  <c r="DY41" i="1"/>
  <c r="DV41" i="1"/>
  <c r="DS41" i="1"/>
  <c r="DP41" i="1"/>
  <c r="DM41" i="1"/>
  <c r="DJ41" i="1"/>
  <c r="DG41" i="1"/>
  <c r="DD41" i="1"/>
  <c r="DA41" i="1"/>
  <c r="CX41" i="1"/>
  <c r="CU41" i="1"/>
  <c r="CR41" i="1"/>
  <c r="CO41" i="1"/>
  <c r="CL41" i="1"/>
  <c r="CI41" i="1"/>
  <c r="CC41" i="1"/>
  <c r="BZ41" i="1"/>
  <c r="BW41" i="1"/>
  <c r="BT41" i="1"/>
  <c r="BQ41" i="1"/>
  <c r="BN41" i="1"/>
  <c r="BK41" i="1"/>
  <c r="BH41" i="1"/>
  <c r="BE41" i="1"/>
  <c r="BB41" i="1"/>
  <c r="AY41" i="1"/>
  <c r="AS41" i="1"/>
  <c r="AP41" i="1"/>
  <c r="AM41" i="1"/>
  <c r="AG41" i="1"/>
  <c r="AD41" i="1"/>
  <c r="AA41" i="1"/>
  <c r="X41" i="1"/>
  <c r="U41" i="1"/>
  <c r="R41" i="1"/>
  <c r="O41" i="1"/>
  <c r="L41" i="1"/>
  <c r="I41" i="1"/>
  <c r="F41"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I38" i="1"/>
  <c r="GF38" i="1"/>
  <c r="GC38" i="1"/>
  <c r="FZ38" i="1"/>
  <c r="FW38" i="1"/>
  <c r="FT38" i="1"/>
  <c r="FQ38" i="1"/>
  <c r="FN38" i="1"/>
  <c r="FK38" i="1"/>
  <c r="FH38" i="1"/>
  <c r="FE38" i="1"/>
  <c r="FB38" i="1"/>
  <c r="EY38" i="1"/>
  <c r="EV38" i="1"/>
  <c r="ES38" i="1"/>
  <c r="EP38" i="1"/>
  <c r="EM38" i="1"/>
  <c r="EJ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H27" i="1"/>
  <c r="IE27" i="1"/>
  <c r="IB27" i="1"/>
  <c r="HY27" i="1"/>
  <c r="HV27" i="1"/>
  <c r="HS27" i="1"/>
  <c r="HP27" i="1"/>
  <c r="HM27" i="1"/>
  <c r="HJ27" i="1"/>
  <c r="HG27" i="1"/>
  <c r="HD27" i="1"/>
  <c r="HA27" i="1"/>
  <c r="GX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U10" i="1"/>
  <c r="AR10" i="1"/>
  <c r="AO10" i="1"/>
  <c r="AL10" i="1"/>
  <c r="AI10" i="1"/>
  <c r="AF10" i="1"/>
  <c r="AC10" i="1"/>
  <c r="Z10" i="1"/>
  <c r="W10" i="1"/>
  <c r="T10" i="1"/>
  <c r="Q10" i="1"/>
  <c r="N10" i="1"/>
  <c r="K10" i="1"/>
  <c r="H10" i="1"/>
  <c r="KR9" i="1"/>
  <c r="KO9" i="1"/>
  <c r="KL9" i="1"/>
  <c r="KI9" i="1"/>
  <c r="KF9" i="1"/>
  <c r="KC9" i="1"/>
  <c r="JZ9" i="1"/>
  <c r="JW9" i="1"/>
  <c r="JT9" i="1"/>
  <c r="JQ9" i="1"/>
  <c r="JN9" i="1"/>
  <c r="JK9" i="1"/>
  <c r="JI9" i="1"/>
  <c r="JF9" i="1"/>
  <c r="JC9" i="1"/>
  <c r="IZ9" i="1"/>
  <c r="IW9" i="1"/>
  <c r="IT9" i="1"/>
  <c r="IQ9" i="1"/>
  <c r="IN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BA9" i="1"/>
  <c r="AX9" i="1"/>
  <c r="AU9" i="1"/>
  <c r="AR9" i="1"/>
  <c r="AO9" i="1"/>
  <c r="AL9" i="1"/>
  <c r="AI9" i="1"/>
  <c r="AF9" i="1"/>
  <c r="AC9" i="1"/>
  <c r="Z9" i="1"/>
  <c r="W9" i="1"/>
  <c r="T9" i="1"/>
  <c r="Q9" i="1"/>
  <c r="N9" i="1"/>
  <c r="K9" i="1"/>
  <c r="H9" i="1"/>
  <c r="KS37" i="1"/>
  <c r="KP35" i="1"/>
  <c r="KM33" i="1"/>
  <c r="KJ39" i="1"/>
  <c r="KG37" i="1"/>
  <c r="KD35" i="1"/>
  <c r="KA33" i="1"/>
  <c r="JX39" i="1"/>
  <c r="JU37" i="1"/>
  <c r="JR35" i="1"/>
  <c r="JO33" i="1"/>
  <c r="JL39" i="1"/>
  <c r="AZ173" i="46"/>
  <c r="AY173" i="46"/>
  <c r="AX173" i="46"/>
  <c r="AW173" i="46"/>
  <c r="AV173" i="46"/>
  <c r="AU173" i="46"/>
  <c r="AT173" i="46"/>
  <c r="AS173" i="46"/>
  <c r="AQ173" i="46"/>
  <c r="AP173" i="46"/>
  <c r="AO173" i="46"/>
  <c r="AN173" i="46"/>
  <c r="AL173" i="46"/>
  <c r="AK173" i="46"/>
  <c r="AJ173" i="46"/>
  <c r="AI173" i="46"/>
  <c r="AH173" i="46"/>
  <c r="AG173" i="46"/>
  <c r="AF173" i="46"/>
  <c r="AW177" i="54" l="1"/>
  <c r="AW179" i="54" s="1"/>
  <c r="Q180" i="54" s="1"/>
  <c r="JW41" i="1"/>
  <c r="V41" i="1"/>
  <c r="Z41" i="1"/>
  <c r="K41" i="1"/>
  <c r="Q41" i="1"/>
  <c r="AO41" i="1"/>
  <c r="BM41" i="1"/>
  <c r="T41" i="1"/>
  <c r="BV41" i="1"/>
  <c r="CT41" i="1"/>
  <c r="DR41" i="1"/>
  <c r="FN41" i="1"/>
  <c r="GL41" i="1"/>
  <c r="HJ41" i="1"/>
  <c r="IH41" i="1"/>
  <c r="JF41" i="1"/>
  <c r="CK41" i="1"/>
  <c r="DI41" i="1"/>
  <c r="BR41" i="1"/>
  <c r="HF41" i="1"/>
  <c r="AM173" i="46"/>
  <c r="KT9" i="1"/>
  <c r="AR173" i="46"/>
  <c r="KT19" i="1"/>
  <c r="KT17" i="1"/>
  <c r="KT15" i="1"/>
  <c r="KT16" i="1"/>
  <c r="KT20" i="1"/>
  <c r="KT18" i="1"/>
  <c r="KT24" i="1"/>
  <c r="KT25" i="1"/>
  <c r="KT30" i="1"/>
  <c r="KT22" i="1"/>
  <c r="KT26" i="1"/>
  <c r="KT23" i="1"/>
  <c r="KT21" i="1"/>
  <c r="KT28" i="1"/>
  <c r="KT27" i="1"/>
  <c r="KT29" i="1"/>
  <c r="KT32" i="1"/>
  <c r="KT34" i="1"/>
  <c r="KT31" i="1"/>
  <c r="KT35" i="1"/>
  <c r="KT39" i="1"/>
  <c r="FE41" i="1"/>
  <c r="GC41" i="1"/>
  <c r="HA41" i="1"/>
  <c r="HY41" i="1"/>
  <c r="IW41" i="1"/>
  <c r="KT36" i="1"/>
  <c r="AR41" i="1"/>
  <c r="BP41" i="1"/>
  <c r="CN41" i="1"/>
  <c r="DL41" i="1"/>
  <c r="EJ41" i="1"/>
  <c r="FH41" i="1"/>
  <c r="GF41" i="1"/>
  <c r="HD41" i="1"/>
  <c r="IB41" i="1"/>
  <c r="IZ41" i="1"/>
  <c r="AB41" i="1"/>
  <c r="AZ41" i="1"/>
  <c r="BX41" i="1"/>
  <c r="CV41" i="1"/>
  <c r="DT41" i="1"/>
  <c r="FP41" i="1"/>
  <c r="GN41" i="1"/>
  <c r="HL41" i="1"/>
  <c r="JH41" i="1"/>
  <c r="KF41" i="1"/>
  <c r="G41" i="1"/>
  <c r="KT37" i="1"/>
  <c r="AH41" i="1"/>
  <c r="HS41" i="1"/>
  <c r="IQ41" i="1"/>
  <c r="BJ41" i="1"/>
  <c r="DF41" i="1"/>
  <c r="ED41" i="1"/>
  <c r="FB41" i="1"/>
  <c r="FZ41" i="1"/>
  <c r="GX41" i="1"/>
  <c r="HV41" i="1"/>
  <c r="IT41" i="1"/>
  <c r="AD173" i="54"/>
  <c r="T9" i="53" s="1"/>
  <c r="R175" i="54"/>
  <c r="KM10" i="1"/>
  <c r="JX41" i="1"/>
  <c r="JX9" i="1"/>
  <c r="KM11" i="1"/>
  <c r="KD41" i="1"/>
  <c r="JL9" i="1"/>
  <c r="KG9" i="1"/>
  <c r="KG10" i="1"/>
  <c r="JL11" i="1"/>
  <c r="JO41" i="1"/>
  <c r="KM41" i="1"/>
  <c r="JO10" i="1"/>
  <c r="JL12" i="1"/>
  <c r="JR41" i="1"/>
  <c r="KP41" i="1"/>
  <c r="KJ9" i="1"/>
  <c r="KT11" i="1"/>
  <c r="JO11" i="1"/>
  <c r="KJ11" i="1"/>
  <c r="KJ12" i="1"/>
  <c r="JU41" i="1"/>
  <c r="KS41" i="1"/>
  <c r="JX12" i="1"/>
  <c r="KM9" i="1"/>
  <c r="JL10" i="1"/>
  <c r="JX10" i="1"/>
  <c r="KJ10" i="1"/>
  <c r="JO12" i="1"/>
  <c r="KA1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M41" i="1"/>
  <c r="AC41" i="1"/>
  <c r="BA41" i="1"/>
  <c r="BI41" i="1"/>
  <c r="BY41" i="1"/>
  <c r="CW41" i="1"/>
  <c r="DE41" i="1"/>
  <c r="DU41" i="1"/>
  <c r="EC41" i="1"/>
  <c r="FA41" i="1"/>
  <c r="FQ41" i="1"/>
  <c r="FY41" i="1"/>
  <c r="GO41" i="1"/>
  <c r="GW41" i="1"/>
  <c r="HM41" i="1"/>
  <c r="HU41" i="1"/>
  <c r="IS41" i="1"/>
  <c r="JI41" i="1"/>
  <c r="JQ41" i="1"/>
  <c r="KG41" i="1"/>
  <c r="KO41" i="1"/>
  <c r="JR9" i="1"/>
  <c r="KD9" i="1"/>
  <c r="KP9" i="1"/>
  <c r="JU11" i="1"/>
  <c r="KG11" i="1"/>
  <c r="KS11"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N41" i="1"/>
  <c r="AT41" i="1"/>
  <c r="CP41" i="1"/>
  <c r="DN41" i="1"/>
  <c r="EL41" i="1"/>
  <c r="FJ41" i="1"/>
  <c r="GH41" i="1"/>
  <c r="ID41" i="1"/>
  <c r="JB41" i="1"/>
  <c r="JZ41" i="1"/>
  <c r="KA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O34" i="1"/>
  <c r="KA34" i="1"/>
  <c r="KM34" i="1"/>
  <c r="JR36" i="1"/>
  <c r="KD36" i="1"/>
  <c r="KP36" i="1"/>
  <c r="JU38" i="1"/>
  <c r="KG38" i="1"/>
  <c r="KS38" i="1"/>
  <c r="W41" i="1"/>
  <c r="AE41" i="1"/>
  <c r="AU41" i="1"/>
  <c r="BC41" i="1"/>
  <c r="BS41" i="1"/>
  <c r="CA41" i="1"/>
  <c r="CQ41" i="1"/>
  <c r="CY41" i="1"/>
  <c r="DO41" i="1"/>
  <c r="DW41" i="1"/>
  <c r="EM41" i="1"/>
  <c r="EU41" i="1"/>
  <c r="FK41" i="1"/>
  <c r="FS41" i="1"/>
  <c r="GI41" i="1"/>
  <c r="GQ41" i="1"/>
  <c r="HG41" i="1"/>
  <c r="HO41" i="1"/>
  <c r="IE41" i="1"/>
  <c r="IM41" i="1"/>
  <c r="JC41" i="1"/>
  <c r="JK41" i="1"/>
  <c r="KA41" i="1"/>
  <c r="KI41" i="1"/>
  <c r="JU9" i="1"/>
  <c r="KS9" i="1"/>
  <c r="JX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H41" i="1"/>
  <c r="P41" i="1"/>
  <c r="AF41" i="1"/>
  <c r="AN41" i="1"/>
  <c r="BD41" i="1"/>
  <c r="BL41" i="1"/>
  <c r="CB41" i="1"/>
  <c r="CJ41" i="1"/>
  <c r="CZ41" i="1"/>
  <c r="DH41" i="1"/>
  <c r="DX41" i="1"/>
  <c r="EV41" i="1"/>
  <c r="FD41" i="1"/>
  <c r="FT41" i="1"/>
  <c r="GB41" i="1"/>
  <c r="GR41" i="1"/>
  <c r="GZ41" i="1"/>
  <c r="HP41" i="1"/>
  <c r="HX41" i="1"/>
  <c r="IN41" i="1"/>
  <c r="IV41" i="1"/>
  <c r="JL41" i="1"/>
  <c r="JT41" i="1"/>
  <c r="KJ41" i="1"/>
  <c r="KR41" i="1"/>
  <c r="JR10" i="1"/>
  <c r="KD10" i="1"/>
  <c r="KP10" i="1"/>
  <c r="JU12" i="1"/>
  <c r="KG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Y41" i="1"/>
  <c r="BU41" i="1"/>
  <c r="CS41" i="1"/>
  <c r="DQ41" i="1"/>
  <c r="FM41" i="1"/>
  <c r="GK41" i="1"/>
  <c r="HI41" i="1"/>
  <c r="IG41" i="1"/>
  <c r="JE41" i="1"/>
  <c r="KC4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J41" i="1"/>
  <c r="BF41" i="1"/>
  <c r="CD41" i="1"/>
  <c r="DB41" i="1"/>
  <c r="DZ41" i="1"/>
  <c r="EX41" i="1"/>
  <c r="FV41" i="1"/>
  <c r="GT41" i="1"/>
  <c r="HR41" i="1"/>
  <c r="IP41" i="1"/>
  <c r="JN41" i="1"/>
  <c r="KL41" i="1"/>
  <c r="KA11" i="1"/>
  <c r="JU10"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S41" i="1"/>
  <c r="AI41" i="1"/>
  <c r="AQ41" i="1"/>
  <c r="BG41" i="1"/>
  <c r="BO41" i="1"/>
  <c r="CE41" i="1"/>
  <c r="CM41" i="1"/>
  <c r="DC41" i="1"/>
  <c r="DK41" i="1"/>
  <c r="EA41" i="1"/>
  <c r="EI41" i="1"/>
  <c r="EY41" i="1"/>
  <c r="FG41" i="1"/>
  <c r="FW41" i="1"/>
  <c r="GE41" i="1"/>
  <c r="GU41" i="1"/>
  <c r="HC41" i="1"/>
  <c r="IA41" i="1"/>
  <c r="IY41" i="1"/>
  <c r="KS10" i="1"/>
  <c r="JO9" i="1"/>
  <c r="KA9"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X203" i="46"/>
  <c r="KU36" i="1" l="1"/>
  <c r="KU20" i="1"/>
  <c r="KU28" i="1"/>
  <c r="KU11" i="1"/>
  <c r="KU25" i="1"/>
  <c r="KU38" i="1"/>
  <c r="KU22" i="1"/>
  <c r="KU29" i="1"/>
  <c r="KU13" i="1"/>
  <c r="KU34" i="1"/>
  <c r="KU18" i="1"/>
  <c r="KU24" i="1"/>
  <c r="KU39" i="1"/>
  <c r="KU12" i="1"/>
  <c r="KU23" i="1"/>
  <c r="KU33" i="1"/>
  <c r="KU17" i="1"/>
  <c r="KU30" i="1"/>
  <c r="KU14" i="1"/>
  <c r="KU37" i="1"/>
  <c r="KU21" i="1"/>
  <c r="KU26" i="1"/>
  <c r="KU10" i="1"/>
  <c r="KU35" i="1"/>
  <c r="KU19" i="1"/>
  <c r="KU32" i="1"/>
  <c r="KU16" i="1"/>
  <c r="KU31" i="1"/>
  <c r="KU15" i="1"/>
  <c r="AD173" i="46"/>
  <c r="BA173" i="46"/>
  <c r="J7" i="32" l="1"/>
  <c r="G4" i="47" l="1"/>
  <c r="BA9" i="39" l="1"/>
  <c r="BB9" i="39"/>
  <c r="BC9" i="39" l="1"/>
  <c r="P173" i="54"/>
  <c r="O173" i="54" s="1"/>
  <c r="C173" i="54"/>
  <c r="V173" i="54"/>
  <c r="T10" i="53" s="1"/>
  <c r="N35" i="52" l="1"/>
  <c r="N37" i="52"/>
  <c r="N8" i="52"/>
  <c r="N18" i="52"/>
  <c r="N20" i="52"/>
  <c r="N17" i="52"/>
  <c r="N38" i="52"/>
  <c r="N10" i="52"/>
  <c r="N7" i="52"/>
  <c r="N5" i="52"/>
  <c r="N19" i="52"/>
  <c r="N22" i="52"/>
  <c r="N41" i="52"/>
  <c r="N34" i="52"/>
  <c r="N29" i="52"/>
  <c r="N25" i="52"/>
  <c r="N21" i="52"/>
  <c r="N26" i="52"/>
  <c r="N23" i="52"/>
  <c r="N24" i="52"/>
  <c r="N36" i="52"/>
  <c r="N27" i="52"/>
  <c r="N39" i="52"/>
  <c r="N32" i="52"/>
  <c r="N33" i="52"/>
  <c r="N40" i="52"/>
  <c r="N9" i="52"/>
  <c r="N30" i="52"/>
  <c r="N11" i="52"/>
  <c r="N4" i="52"/>
  <c r="N6" i="52"/>
  <c r="N16" i="52"/>
  <c r="N28" i="52"/>
  <c r="N31" i="52"/>
  <c r="K173" i="54"/>
  <c r="T8" i="53" s="1"/>
  <c r="T11" i="53" s="1"/>
  <c r="U173" i="54"/>
  <c r="BL41" i="39"/>
  <c r="T173" i="54"/>
  <c r="O35" i="52" l="1"/>
  <c r="O37" i="52"/>
  <c r="O17" i="52"/>
  <c r="O4" i="52"/>
  <c r="O31" i="52"/>
  <c r="O11" i="52"/>
  <c r="P11" i="52" s="1"/>
  <c r="O25" i="52"/>
  <c r="O32" i="52"/>
  <c r="O39" i="52"/>
  <c r="O27" i="52"/>
  <c r="O30" i="52"/>
  <c r="O29" i="52"/>
  <c r="O19" i="52"/>
  <c r="O5" i="52"/>
  <c r="P5" i="52" s="1"/>
  <c r="O40" i="52"/>
  <c r="O23" i="52"/>
  <c r="O6" i="52"/>
  <c r="P6" i="52" s="1"/>
  <c r="O26" i="52"/>
  <c r="O21" i="52"/>
  <c r="O28" i="52"/>
  <c r="O7" i="52"/>
  <c r="P7" i="52" s="1"/>
  <c r="O20" i="52"/>
  <c r="O34" i="52"/>
  <c r="O8" i="52"/>
  <c r="P8" i="52" s="1"/>
  <c r="O33" i="52"/>
  <c r="O41" i="52"/>
  <c r="O24" i="52"/>
  <c r="O36" i="52"/>
  <c r="O9" i="52"/>
  <c r="P9" i="52" s="1"/>
  <c r="O18" i="52"/>
  <c r="P18" i="52" s="1"/>
  <c r="O22" i="52"/>
  <c r="O10" i="52"/>
  <c r="P10" i="52" s="1"/>
  <c r="O38" i="52"/>
  <c r="P38" i="52" s="1"/>
  <c r="O16" i="52"/>
  <c r="AC173" i="54"/>
  <c r="AC174" i="54" s="1"/>
  <c r="X183" i="54" s="1"/>
  <c r="V174" i="54"/>
  <c r="AO174" i="54" s="1"/>
  <c r="X194" i="54" s="1"/>
  <c r="Y174" i="54"/>
  <c r="X181" i="54" s="1"/>
  <c r="BM10" i="39"/>
  <c r="BM11" i="39" s="1"/>
  <c r="BM12" i="39" s="1"/>
  <c r="BM13" i="39" s="1"/>
  <c r="BM14" i="39" s="1"/>
  <c r="BM15" i="39" s="1"/>
  <c r="BM16" i="39" s="1"/>
  <c r="BM17" i="39" s="1"/>
  <c r="BM18" i="39" s="1"/>
  <c r="BM19" i="39" s="1"/>
  <c r="BM20" i="39" s="1"/>
  <c r="BM21" i="39" s="1"/>
  <c r="BM22" i="39" s="1"/>
  <c r="BM23" i="39" s="1"/>
  <c r="BM24" i="39" s="1"/>
  <c r="BM25" i="39" s="1"/>
  <c r="BM26" i="39" s="1"/>
  <c r="BM27" i="39" s="1"/>
  <c r="BM28" i="39" s="1"/>
  <c r="BM29" i="39" s="1"/>
  <c r="BM30" i="39" s="1"/>
  <c r="BM31" i="39" s="1"/>
  <c r="BM32" i="39" s="1"/>
  <c r="BM33" i="39" s="1"/>
  <c r="BM34" i="39" s="1"/>
  <c r="BM35" i="39" s="1"/>
  <c r="BM36" i="39" s="1"/>
  <c r="BM37" i="39" s="1"/>
  <c r="BM38" i="39" s="1"/>
  <c r="BM39" i="39" s="1"/>
  <c r="AK174" i="54"/>
  <c r="X191" i="54" s="1"/>
  <c r="AT174" i="54"/>
  <c r="X198" i="54" s="1"/>
  <c r="Y173" i="46"/>
  <c r="Y175" i="46" s="1"/>
  <c r="S173" i="46"/>
  <c r="S175" i="46" s="1"/>
  <c r="R173" i="46"/>
  <c r="AC172" i="46"/>
  <c r="AA172" i="46"/>
  <c r="P16" i="52" l="1"/>
  <c r="P33" i="52"/>
  <c r="AJ174" i="54"/>
  <c r="X190" i="54" s="1"/>
  <c r="AZ174" i="54"/>
  <c r="AR174" i="54"/>
  <c r="BA174" i="54"/>
  <c r="AM174" i="54"/>
  <c r="AX174" i="54"/>
  <c r="AW174" i="54"/>
  <c r="X200" i="54" s="1"/>
  <c r="AH174" i="54"/>
  <c r="X188" i="54" s="1"/>
  <c r="AP174" i="54"/>
  <c r="X195" i="54" s="1"/>
  <c r="AI174" i="54"/>
  <c r="X189" i="54" s="1"/>
  <c r="AU174" i="54"/>
  <c r="X199" i="54" s="1"/>
  <c r="AV174" i="54"/>
  <c r="X201" i="54" s="1"/>
  <c r="AY174" i="54"/>
  <c r="AG174" i="54"/>
  <c r="X187" i="54" s="1"/>
  <c r="AQ174" i="54"/>
  <c r="X196" i="54" s="1"/>
  <c r="P40" i="52"/>
  <c r="Q40" i="52" s="1"/>
  <c r="P19" i="52"/>
  <c r="P31" i="52"/>
  <c r="P4" i="52"/>
  <c r="AL174" i="54"/>
  <c r="X192" i="54" s="1"/>
  <c r="AS174" i="54"/>
  <c r="X197" i="54" s="1"/>
  <c r="P24" i="52"/>
  <c r="AF174" i="54"/>
  <c r="X186" i="54" s="1"/>
  <c r="AN174" i="54"/>
  <c r="X193" i="54" s="1"/>
  <c r="T5" i="53"/>
  <c r="N15" i="52" s="1"/>
  <c r="V173" i="46"/>
  <c r="I10" i="53" s="1"/>
  <c r="I9" i="53"/>
  <c r="R175" i="46"/>
  <c r="E37" i="52" l="1"/>
  <c r="E35" i="52"/>
  <c r="X202" i="54"/>
  <c r="U5" i="53"/>
  <c r="O15" i="52" s="1"/>
  <c r="P15" i="52" s="1"/>
  <c r="Q24" i="52"/>
  <c r="E36" i="52"/>
  <c r="E25" i="52"/>
  <c r="E39" i="52"/>
  <c r="E19" i="52"/>
  <c r="E5" i="52"/>
  <c r="E11" i="52"/>
  <c r="E7" i="52"/>
  <c r="E38" i="52"/>
  <c r="E17" i="52"/>
  <c r="E16" i="52"/>
  <c r="E23" i="52"/>
  <c r="E9" i="52"/>
  <c r="E8" i="52"/>
  <c r="E10" i="52"/>
  <c r="E6" i="52"/>
  <c r="E18" i="52"/>
  <c r="E24" i="52"/>
  <c r="E21" i="52"/>
  <c r="E26" i="52"/>
  <c r="E30" i="52"/>
  <c r="E31" i="52"/>
  <c r="E33" i="52"/>
  <c r="E29" i="52"/>
  <c r="E28" i="52"/>
  <c r="E4" i="52"/>
  <c r="E22" i="52"/>
  <c r="E20" i="52"/>
  <c r="E41" i="52"/>
  <c r="E40" i="52"/>
  <c r="E27" i="52"/>
  <c r="E34" i="52"/>
  <c r="E32" i="52"/>
  <c r="Q4" i="52"/>
  <c r="EA42" i="2"/>
  <c r="DS42" i="2"/>
  <c r="DO42" i="2"/>
  <c r="DK42" i="2"/>
  <c r="DG42" i="2"/>
  <c r="DC42" i="2"/>
  <c r="CU42" i="2"/>
  <c r="CQ42" i="2"/>
  <c r="CM42" i="2"/>
  <c r="BS42" i="2"/>
  <c r="BK42" i="2"/>
  <c r="BG42" i="2"/>
  <c r="BC42" i="2"/>
  <c r="AY42" i="2"/>
  <c r="AU42" i="2"/>
  <c r="AQ42" i="2"/>
  <c r="AM42" i="2"/>
  <c r="AI42" i="2"/>
  <c r="AE42" i="2"/>
  <c r="AA42" i="2"/>
  <c r="EM39" i="2"/>
  <c r="DW39" i="2"/>
  <c r="CO39" i="2"/>
  <c r="BW39" i="2"/>
  <c r="EM38" i="2"/>
  <c r="DW38" i="2"/>
  <c r="CO38" i="2"/>
  <c r="EM37" i="2"/>
  <c r="DW37" i="2"/>
  <c r="CO37" i="2"/>
  <c r="BW37" i="2"/>
  <c r="EM36" i="2"/>
  <c r="DW36" i="2"/>
  <c r="CO36" i="2"/>
  <c r="BW36" i="2"/>
  <c r="EM35" i="2"/>
  <c r="DW35" i="2"/>
  <c r="CO35" i="2"/>
  <c r="BW35" i="2"/>
  <c r="EM34" i="2"/>
  <c r="DW34" i="2"/>
  <c r="CO34" i="2"/>
  <c r="BW34" i="2"/>
  <c r="EM33" i="2"/>
  <c r="DW33" i="2"/>
  <c r="CO33" i="2"/>
  <c r="BW33" i="2"/>
  <c r="EM32" i="2"/>
  <c r="DW32" i="2"/>
  <c r="CO32" i="2"/>
  <c r="BW32" i="2"/>
  <c r="EQ42" i="2"/>
  <c r="EM31" i="2"/>
  <c r="DW31" i="2"/>
  <c r="CO31" i="2"/>
  <c r="BW31" i="2"/>
  <c r="EM30" i="2"/>
  <c r="DW30" i="2"/>
  <c r="CO30" i="2"/>
  <c r="EM29" i="2"/>
  <c r="DW29" i="2"/>
  <c r="CO29" i="2"/>
  <c r="K42" i="2"/>
  <c r="K48" i="2" s="1"/>
  <c r="EM28" i="2"/>
  <c r="DW28" i="2"/>
  <c r="CO28" i="2"/>
  <c r="BW28" i="2"/>
  <c r="EM27" i="2"/>
  <c r="DW27" i="2"/>
  <c r="CO27" i="2"/>
  <c r="BW27" i="2"/>
  <c r="EM26" i="2"/>
  <c r="DW26" i="2"/>
  <c r="CO26" i="2"/>
  <c r="BW26" i="2"/>
  <c r="EM25" i="2"/>
  <c r="DW25" i="2"/>
  <c r="CO25" i="2"/>
  <c r="BW25" i="2"/>
  <c r="EM24" i="2"/>
  <c r="DW24" i="2"/>
  <c r="CO24" i="2"/>
  <c r="BW24" i="2"/>
  <c r="EM23" i="2"/>
  <c r="DW23" i="2"/>
  <c r="CO23" i="2"/>
  <c r="EM22" i="2"/>
  <c r="DW22" i="2"/>
  <c r="CO22" i="2"/>
  <c r="BW22" i="2"/>
  <c r="EM21" i="2"/>
  <c r="DW21" i="2"/>
  <c r="CO21" i="2"/>
  <c r="BW21" i="2"/>
  <c r="EM20" i="2"/>
  <c r="DW20" i="2"/>
  <c r="CO20" i="2"/>
  <c r="BW20" i="2"/>
  <c r="EM19" i="2"/>
  <c r="DW19" i="2"/>
  <c r="CO19" i="2"/>
  <c r="BW19" i="2"/>
  <c r="EM18" i="2"/>
  <c r="DW18" i="2"/>
  <c r="CO18" i="2"/>
  <c r="BW18" i="2"/>
  <c r="EM17" i="2"/>
  <c r="DW17" i="2"/>
  <c r="CO17" i="2"/>
  <c r="BW17" i="2"/>
  <c r="EM16" i="2"/>
  <c r="DW16" i="2"/>
  <c r="CO16" i="2"/>
  <c r="EM15" i="2"/>
  <c r="DW15" i="2"/>
  <c r="CO15" i="2"/>
  <c r="BW15" i="2"/>
  <c r="EM14" i="2"/>
  <c r="DW14" i="2"/>
  <c r="CO14" i="2"/>
  <c r="BW14" i="2"/>
  <c r="EM13" i="2"/>
  <c r="DW13" i="2"/>
  <c r="CO13" i="2"/>
  <c r="BW13" i="2"/>
  <c r="EM12" i="2"/>
  <c r="DW12" i="2"/>
  <c r="CO12" i="2"/>
  <c r="BW12" i="2"/>
  <c r="EM11" i="2"/>
  <c r="DW11" i="2"/>
  <c r="CO11" i="2"/>
  <c r="BW11" i="2"/>
  <c r="ES10" i="2"/>
  <c r="ES11" i="2" s="1"/>
  <c r="ES12" i="2" s="1"/>
  <c r="ES13" i="2" s="1"/>
  <c r="EI10" i="2"/>
  <c r="EK10" i="2" s="1"/>
  <c r="EE10" i="2"/>
  <c r="EC10" i="2"/>
  <c r="EC11" i="2" s="1"/>
  <c r="DU10" i="2"/>
  <c r="DQ10" i="2"/>
  <c r="DQ11" i="2" s="1"/>
  <c r="DQ12" i="2" s="1"/>
  <c r="DI10" i="2"/>
  <c r="DE10" i="2"/>
  <c r="DE11" i="2" s="1"/>
  <c r="DE12" i="2" s="1"/>
  <c r="DE13" i="2" s="1"/>
  <c r="DA10" i="2"/>
  <c r="CW10" i="2"/>
  <c r="CW11" i="2" s="1"/>
  <c r="CW12" i="2" s="1"/>
  <c r="CS10" i="2"/>
  <c r="CS11" i="2" s="1"/>
  <c r="CS12" i="2" s="1"/>
  <c r="CO10" i="2"/>
  <c r="BW10" i="2"/>
  <c r="BU10" i="2"/>
  <c r="BQ10" i="2"/>
  <c r="BM10" i="2"/>
  <c r="BI10" i="2"/>
  <c r="BI11" i="2" s="1"/>
  <c r="BE10" i="2"/>
  <c r="BE11" i="2" s="1"/>
  <c r="BE12" i="2" s="1"/>
  <c r="BE13" i="2" s="1"/>
  <c r="BE14" i="2" s="1"/>
  <c r="BA10" i="2"/>
  <c r="AW10" i="2"/>
  <c r="AW11" i="2" s="1"/>
  <c r="AW12" i="2" s="1"/>
  <c r="AW13" i="2" s="1"/>
  <c r="AS10" i="2"/>
  <c r="AS11" i="2" s="1"/>
  <c r="AO10" i="2"/>
  <c r="AO11" i="2" s="1"/>
  <c r="AO12" i="2" s="1"/>
  <c r="AK10" i="2"/>
  <c r="AK11" i="2" s="1"/>
  <c r="AK12" i="2" s="1"/>
  <c r="AG10" i="2"/>
  <c r="AC10" i="2"/>
  <c r="AC11" i="2" s="1"/>
  <c r="AC12" i="2" s="1"/>
  <c r="Y10" i="2"/>
  <c r="Y11" i="2" s="1"/>
  <c r="Y12" i="2" s="1"/>
  <c r="Y13" i="2" s="1"/>
  <c r="Y14" i="2" s="1"/>
  <c r="U10" i="2"/>
  <c r="Q10" i="2"/>
  <c r="M10" i="2"/>
  <c r="I10" i="2"/>
  <c r="I11" i="2" s="1"/>
  <c r="I12" i="2" s="1"/>
  <c r="EU27" i="2" l="1"/>
  <c r="DL27" i="2" s="1"/>
  <c r="EU33" i="2"/>
  <c r="BH33" i="2" s="1"/>
  <c r="EU35" i="2"/>
  <c r="EU37" i="2"/>
  <c r="EU25" i="2"/>
  <c r="H25" i="2" s="1"/>
  <c r="EU31" i="2"/>
  <c r="EU39" i="2"/>
  <c r="EU15" i="2"/>
  <c r="DL15" i="2" s="1"/>
  <c r="EU24" i="2"/>
  <c r="CF27" i="2"/>
  <c r="CJ27" i="2"/>
  <c r="EU17" i="2"/>
  <c r="EU19" i="2"/>
  <c r="DL19" i="2" s="1"/>
  <c r="EU21" i="2"/>
  <c r="DL21" i="2" s="1"/>
  <c r="EU11" i="2"/>
  <c r="EU13" i="2"/>
  <c r="EU26" i="2"/>
  <c r="DL26" i="2" s="1"/>
  <c r="EU28" i="2"/>
  <c r="DL28" i="2" s="1"/>
  <c r="EU32" i="2"/>
  <c r="EU34" i="2"/>
  <c r="EU36" i="2"/>
  <c r="EU18" i="2"/>
  <c r="EU20" i="2"/>
  <c r="EU22" i="2"/>
  <c r="DL22" i="2" s="1"/>
  <c r="EU12" i="2"/>
  <c r="DL12" i="2" s="1"/>
  <c r="EU14" i="2"/>
  <c r="EM10" i="2"/>
  <c r="EU10" i="2" s="1"/>
  <c r="DY10" i="2"/>
  <c r="DY11" i="2" s="1"/>
  <c r="DY12" i="2" s="1"/>
  <c r="AK13" i="2"/>
  <c r="AW14" i="2"/>
  <c r="Y15" i="2"/>
  <c r="CW13" i="2"/>
  <c r="ES14" i="2"/>
  <c r="BE15" i="2"/>
  <c r="AS12" i="2"/>
  <c r="AC13" i="2"/>
  <c r="BI12" i="2"/>
  <c r="EK11" i="2"/>
  <c r="DE14" i="2"/>
  <c r="I13" i="2"/>
  <c r="AO13" i="2"/>
  <c r="DQ13" i="2"/>
  <c r="Q11" i="2"/>
  <c r="DU11" i="2"/>
  <c r="EC12" i="2"/>
  <c r="AG11" i="2"/>
  <c r="DI11" i="2"/>
  <c r="G42" i="2"/>
  <c r="BW16" i="2"/>
  <c r="EU16" i="2" s="1"/>
  <c r="DL16" i="2" s="1"/>
  <c r="EE42" i="2"/>
  <c r="U11" i="2"/>
  <c r="EG10" i="2"/>
  <c r="BA11" i="2"/>
  <c r="CS13" i="2"/>
  <c r="BY10" i="2"/>
  <c r="BY11" i="2" s="1"/>
  <c r="BY12" i="2" s="1"/>
  <c r="BY13" i="2" s="1"/>
  <c r="DA11" i="2"/>
  <c r="EI42" i="2"/>
  <c r="M11" i="2"/>
  <c r="DW42" i="2"/>
  <c r="BW23" i="2"/>
  <c r="EU23" i="2" s="1"/>
  <c r="DL23" i="2" s="1"/>
  <c r="BW30" i="2"/>
  <c r="EU30" i="2" s="1"/>
  <c r="DL30" i="2" s="1"/>
  <c r="EN27" i="2"/>
  <c r="BW29" i="2"/>
  <c r="EU29" i="2" s="1"/>
  <c r="DL29" i="2" s="1"/>
  <c r="BW38" i="2"/>
  <c r="EU38" i="2" s="1"/>
  <c r="DL38" i="2" s="1"/>
  <c r="CN42" i="2"/>
  <c r="CY42" i="2"/>
  <c r="P25" i="2" l="1"/>
  <c r="CB27" i="2"/>
  <c r="CF33" i="2"/>
  <c r="AJ33" i="2"/>
  <c r="AB33" i="2"/>
  <c r="CR25" i="2"/>
  <c r="DP25" i="2"/>
  <c r="CZ25" i="2"/>
  <c r="DT25" i="2"/>
  <c r="EN25" i="2"/>
  <c r="CB39" i="2"/>
  <c r="DL39" i="2"/>
  <c r="AJ25" i="2"/>
  <c r="EJ25" i="2"/>
  <c r="DX25" i="2"/>
  <c r="DX34" i="2"/>
  <c r="DL34" i="2"/>
  <c r="AR17" i="2"/>
  <c r="DL17" i="2"/>
  <c r="CB31" i="2"/>
  <c r="DL31" i="2"/>
  <c r="AF25" i="2"/>
  <c r="AV25" i="2"/>
  <c r="BX25" i="2"/>
  <c r="T14" i="2"/>
  <c r="DL14" i="2"/>
  <c r="DD25" i="2"/>
  <c r="CN25" i="2"/>
  <c r="DH25" i="2"/>
  <c r="CJ35" i="2"/>
  <c r="DL35" i="2"/>
  <c r="CV25" i="2"/>
  <c r="AV13" i="2"/>
  <c r="DL13" i="2"/>
  <c r="CJ33" i="2"/>
  <c r="DL33" i="2"/>
  <c r="EN36" i="2"/>
  <c r="DL36" i="2"/>
  <c r="BX32" i="2"/>
  <c r="DL32" i="2"/>
  <c r="L25" i="2"/>
  <c r="AB25" i="2"/>
  <c r="DX20" i="2"/>
  <c r="DL20" i="2"/>
  <c r="X11" i="2"/>
  <c r="DL11" i="2"/>
  <c r="CF24" i="2"/>
  <c r="DL24" i="2"/>
  <c r="CR10" i="2"/>
  <c r="DL10" i="2"/>
  <c r="CF25" i="2"/>
  <c r="DL25" i="2"/>
  <c r="ER25" i="2"/>
  <c r="AR25" i="2"/>
  <c r="BH25" i="2"/>
  <c r="EF25" i="2"/>
  <c r="EN18" i="2"/>
  <c r="DL18" i="2"/>
  <c r="CF37" i="2"/>
  <c r="DL37" i="2"/>
  <c r="BD25" i="2"/>
  <c r="EM42" i="2"/>
  <c r="EB25" i="2"/>
  <c r="AZ25" i="2"/>
  <c r="X25" i="2"/>
  <c r="AN25" i="2"/>
  <c r="CB35" i="2"/>
  <c r="CF35" i="2"/>
  <c r="T25" i="2"/>
  <c r="AZ35" i="2"/>
  <c r="CB25" i="2"/>
  <c r="CJ25" i="2"/>
  <c r="DX39" i="2"/>
  <c r="CB33" i="2"/>
  <c r="EN31" i="2"/>
  <c r="CJ31" i="2"/>
  <c r="CJ37" i="2"/>
  <c r="CF31" i="2"/>
  <c r="H13" i="2"/>
  <c r="CB37" i="2"/>
  <c r="CF39" i="2"/>
  <c r="EO10" i="2"/>
  <c r="EO11" i="2" s="1"/>
  <c r="CB24" i="2"/>
  <c r="BX24" i="2"/>
  <c r="CJ24" i="2"/>
  <c r="CJ39" i="2"/>
  <c r="L17" i="2"/>
  <c r="EN17" i="2"/>
  <c r="EF17" i="2"/>
  <c r="CN17" i="2"/>
  <c r="AV17" i="2"/>
  <c r="ER17" i="2"/>
  <c r="AN17" i="2"/>
  <c r="BH17" i="2"/>
  <c r="DD17" i="2"/>
  <c r="P17" i="2"/>
  <c r="AB17" i="2"/>
  <c r="EJ17" i="2"/>
  <c r="AF17" i="2"/>
  <c r="CZ17" i="2"/>
  <c r="DP17" i="2"/>
  <c r="AJ17" i="2"/>
  <c r="BX17" i="2"/>
  <c r="DX17" i="2"/>
  <c r="DT17" i="2"/>
  <c r="CF30" i="2"/>
  <c r="CJ30" i="2"/>
  <c r="CB30" i="2"/>
  <c r="CJ14" i="2"/>
  <c r="CF14" i="2"/>
  <c r="CB14" i="2"/>
  <c r="CF28" i="2"/>
  <c r="CB28" i="2"/>
  <c r="CJ28" i="2"/>
  <c r="CF21" i="2"/>
  <c r="CB21" i="2"/>
  <c r="CJ21" i="2"/>
  <c r="CF26" i="2"/>
  <c r="CB26" i="2"/>
  <c r="CJ26" i="2"/>
  <c r="CF22" i="2"/>
  <c r="CJ22" i="2"/>
  <c r="CB22" i="2"/>
  <c r="CF17" i="2"/>
  <c r="CB17" i="2"/>
  <c r="CJ17" i="2"/>
  <c r="CF29" i="2"/>
  <c r="CJ29" i="2"/>
  <c r="CB29" i="2"/>
  <c r="CF19" i="2"/>
  <c r="CB19" i="2"/>
  <c r="CJ19" i="2"/>
  <c r="BX26" i="2"/>
  <c r="EB17" i="2"/>
  <c r="CF20" i="2"/>
  <c r="CB20" i="2"/>
  <c r="CJ20" i="2"/>
  <c r="CB16" i="2"/>
  <c r="CF16" i="2"/>
  <c r="CJ16" i="2"/>
  <c r="DH17" i="2"/>
  <c r="T17" i="2"/>
  <c r="CF18" i="2"/>
  <c r="CJ18" i="2"/>
  <c r="CB18" i="2"/>
  <c r="CF12" i="2"/>
  <c r="CB12" i="2"/>
  <c r="CJ12" i="2"/>
  <c r="CF23" i="2"/>
  <c r="CB23" i="2"/>
  <c r="CJ23" i="2"/>
  <c r="AR12" i="2"/>
  <c r="AZ17" i="2"/>
  <c r="CB36" i="2"/>
  <c r="CF36" i="2"/>
  <c r="CJ36" i="2"/>
  <c r="CB10" i="2"/>
  <c r="CF10" i="2"/>
  <c r="CJ10" i="2"/>
  <c r="CF38" i="2"/>
  <c r="CJ38" i="2"/>
  <c r="CB38" i="2"/>
  <c r="H17" i="2"/>
  <c r="CF34" i="2"/>
  <c r="CB34" i="2"/>
  <c r="CJ34" i="2"/>
  <c r="CF13" i="2"/>
  <c r="CB13" i="2"/>
  <c r="CJ13" i="2"/>
  <c r="CB32" i="2"/>
  <c r="CF32" i="2"/>
  <c r="CJ32" i="2"/>
  <c r="CJ11" i="2"/>
  <c r="CB11" i="2"/>
  <c r="CF11" i="2"/>
  <c r="CV15" i="2"/>
  <c r="CB15" i="2"/>
  <c r="CJ15" i="2"/>
  <c r="CF15" i="2"/>
  <c r="DD13" i="2"/>
  <c r="EF13" i="2"/>
  <c r="CN13" i="2"/>
  <c r="ER13" i="2"/>
  <c r="DH13" i="2"/>
  <c r="EB13" i="2"/>
  <c r="CR13" i="2"/>
  <c r="AR13" i="2"/>
  <c r="CZ13" i="2"/>
  <c r="CV17" i="2"/>
  <c r="BD17" i="2"/>
  <c r="CV14" i="2"/>
  <c r="CR17" i="2"/>
  <c r="EJ10" i="2"/>
  <c r="EN10" i="2"/>
  <c r="H14" i="2"/>
  <c r="BD14" i="2"/>
  <c r="L14" i="2"/>
  <c r="DT14" i="2"/>
  <c r="X14" i="2"/>
  <c r="EF14" i="2"/>
  <c r="DD14" i="2"/>
  <c r="CR14" i="2"/>
  <c r="AB14" i="2"/>
  <c r="EN14" i="2"/>
  <c r="AZ14" i="2"/>
  <c r="AR14" i="2"/>
  <c r="BH14" i="2"/>
  <c r="AN14" i="2"/>
  <c r="X17" i="2"/>
  <c r="EF10" i="2"/>
  <c r="BX10" i="2"/>
  <c r="T11" i="2"/>
  <c r="ER11" i="2"/>
  <c r="DH11" i="2"/>
  <c r="AV11" i="2"/>
  <c r="BH15" i="2"/>
  <c r="DX33" i="2"/>
  <c r="EN33" i="2"/>
  <c r="EF33" i="2"/>
  <c r="P33" i="2"/>
  <c r="T33" i="2"/>
  <c r="AF33" i="2"/>
  <c r="EB33" i="2"/>
  <c r="AR35" i="2"/>
  <c r="AN33" i="2"/>
  <c r="AR33" i="2"/>
  <c r="DD33" i="2"/>
  <c r="CR33" i="2"/>
  <c r="AZ33" i="2"/>
  <c r="BD33" i="2"/>
  <c r="ER33" i="2"/>
  <c r="BX33" i="2"/>
  <c r="DH33" i="2"/>
  <c r="CZ33" i="2"/>
  <c r="AV33" i="2"/>
  <c r="EJ33" i="2"/>
  <c r="L33" i="2"/>
  <c r="CN33" i="2"/>
  <c r="CV33" i="2"/>
  <c r="DP33" i="2"/>
  <c r="DT33" i="2"/>
  <c r="H33" i="2"/>
  <c r="X33" i="2"/>
  <c r="DT35" i="2"/>
  <c r="DH35" i="2"/>
  <c r="BX35" i="2"/>
  <c r="AN35" i="2"/>
  <c r="AF35" i="2"/>
  <c r="CR15" i="2"/>
  <c r="AB35" i="2"/>
  <c r="BD15" i="2"/>
  <c r="H35" i="2"/>
  <c r="DX15" i="2"/>
  <c r="ER15" i="2"/>
  <c r="AV15" i="2"/>
  <c r="DP35" i="2"/>
  <c r="CV35" i="2"/>
  <c r="DX35" i="2"/>
  <c r="L15" i="2"/>
  <c r="DP14" i="2"/>
  <c r="AV14" i="2"/>
  <c r="AF14" i="2"/>
  <c r="P14" i="2"/>
  <c r="EB14" i="2"/>
  <c r="BX14" i="2"/>
  <c r="AN15" i="2"/>
  <c r="AJ15" i="2"/>
  <c r="DX14" i="2"/>
  <c r="EJ14" i="2"/>
  <c r="EJ13" i="2"/>
  <c r="P13" i="2"/>
  <c r="CN14" i="2"/>
  <c r="BD13" i="2"/>
  <c r="AN13" i="2"/>
  <c r="AJ14" i="2"/>
  <c r="AR15" i="2"/>
  <c r="DT12" i="2"/>
  <c r="CZ14" i="2"/>
  <c r="EB15" i="2"/>
  <c r="DD15" i="2"/>
  <c r="ER14" i="2"/>
  <c r="AF13" i="2"/>
  <c r="EF11" i="2"/>
  <c r="CN15" i="2"/>
  <c r="EF15" i="2"/>
  <c r="DH14" i="2"/>
  <c r="AF10" i="2"/>
  <c r="ER10" i="2"/>
  <c r="DP10" i="2"/>
  <c r="EN12" i="2"/>
  <c r="CN11" i="2"/>
  <c r="AZ11" i="2"/>
  <c r="DX11" i="2"/>
  <c r="P11" i="2"/>
  <c r="EB12" i="2"/>
  <c r="AR10" i="2"/>
  <c r="L10" i="2"/>
  <c r="AJ10" i="2"/>
  <c r="EN11" i="2"/>
  <c r="X35" i="2"/>
  <c r="BH35" i="2"/>
  <c r="DX13" i="2"/>
  <c r="DD11" i="2"/>
  <c r="CV13" i="2"/>
  <c r="BD11" i="2"/>
  <c r="AN11" i="2"/>
  <c r="CZ11" i="2"/>
  <c r="CR11" i="2"/>
  <c r="CV11" i="2"/>
  <c r="BX11" i="2"/>
  <c r="AB13" i="2"/>
  <c r="X13" i="2"/>
  <c r="EJ12" i="2"/>
  <c r="BH10" i="2"/>
  <c r="BL10" i="2"/>
  <c r="BP10" i="2"/>
  <c r="AB11" i="2"/>
  <c r="EN13" i="2"/>
  <c r="BD35" i="2"/>
  <c r="BX13" i="2"/>
  <c r="AJ13" i="2"/>
  <c r="L11" i="2"/>
  <c r="AJ11" i="2"/>
  <c r="H11" i="2"/>
  <c r="EJ11" i="2"/>
  <c r="DP13" i="2"/>
  <c r="AN10" i="2"/>
  <c r="H10" i="2"/>
  <c r="DH10" i="2"/>
  <c r="CZ10" i="2"/>
  <c r="DT10" i="2"/>
  <c r="CN10" i="2"/>
  <c r="EB10" i="2"/>
  <c r="DT11" i="2"/>
  <c r="EB11" i="2"/>
  <c r="AB10" i="2"/>
  <c r="X10" i="2"/>
  <c r="P10" i="2"/>
  <c r="T10" i="2"/>
  <c r="DD35" i="2"/>
  <c r="EB35" i="2"/>
  <c r="EF35" i="2"/>
  <c r="T35" i="2"/>
  <c r="AR11" i="2"/>
  <c r="T13" i="2"/>
  <c r="L13" i="2"/>
  <c r="AF11" i="2"/>
  <c r="DD10" i="2"/>
  <c r="AV10" i="2"/>
  <c r="DX10" i="2"/>
  <c r="AZ10" i="2"/>
  <c r="EN35" i="2"/>
  <c r="L35" i="2"/>
  <c r="AV35" i="2"/>
  <c r="BH11" i="2"/>
  <c r="AZ13" i="2"/>
  <c r="DP11" i="2"/>
  <c r="BH13" i="2"/>
  <c r="DT13" i="2"/>
  <c r="EV10" i="2"/>
  <c r="DN10" i="2" s="1"/>
  <c r="CV10" i="2"/>
  <c r="BD10" i="2"/>
  <c r="BX36" i="2"/>
  <c r="DH12" i="2"/>
  <c r="EF12" i="2"/>
  <c r="EJ35" i="2"/>
  <c r="CN35" i="2"/>
  <c r="AF15" i="2"/>
  <c r="EJ15" i="2"/>
  <c r="AZ15" i="2"/>
  <c r="DT15" i="2"/>
  <c r="AZ12" i="2"/>
  <c r="BX27" i="2"/>
  <c r="EN34" i="2"/>
  <c r="EN15" i="2"/>
  <c r="BX15" i="2"/>
  <c r="AB15" i="2"/>
  <c r="DP15" i="2"/>
  <c r="CZ15" i="2"/>
  <c r="P35" i="2"/>
  <c r="H36" i="2"/>
  <c r="ER35" i="2"/>
  <c r="AJ35" i="2"/>
  <c r="CZ35" i="2"/>
  <c r="H15" i="2"/>
  <c r="P15" i="2"/>
  <c r="DH15" i="2"/>
  <c r="CR35" i="2"/>
  <c r="X15" i="2"/>
  <c r="T15" i="2"/>
  <c r="DX36" i="2"/>
  <c r="T12" i="2"/>
  <c r="BX12" i="2"/>
  <c r="DD12" i="2"/>
  <c r="AV12" i="2"/>
  <c r="BD12" i="2"/>
  <c r="DP12" i="2"/>
  <c r="EN20" i="2"/>
  <c r="ER12" i="2"/>
  <c r="H12" i="2"/>
  <c r="AB12" i="2"/>
  <c r="BX20" i="2"/>
  <c r="DX12" i="2"/>
  <c r="AF12" i="2"/>
  <c r="CV12" i="2"/>
  <c r="BH12" i="2"/>
  <c r="BX39" i="2"/>
  <c r="BW42" i="2"/>
  <c r="CR12" i="2"/>
  <c r="X12" i="2"/>
  <c r="CZ12" i="2"/>
  <c r="CN12" i="2"/>
  <c r="L12" i="2"/>
  <c r="EJ32" i="2"/>
  <c r="DX27" i="2"/>
  <c r="P12" i="2"/>
  <c r="AJ12" i="2"/>
  <c r="AN12" i="2"/>
  <c r="BY14" i="2"/>
  <c r="CR37" i="2"/>
  <c r="AZ37" i="2"/>
  <c r="T37" i="2"/>
  <c r="EF37" i="2"/>
  <c r="AN37" i="2"/>
  <c r="EN37" i="2"/>
  <c r="CZ37" i="2"/>
  <c r="BH37" i="2"/>
  <c r="AB37" i="2"/>
  <c r="H37" i="2"/>
  <c r="DT37" i="2"/>
  <c r="CN37" i="2"/>
  <c r="AV37" i="2"/>
  <c r="P37" i="2"/>
  <c r="EB37" i="2"/>
  <c r="DH37" i="2"/>
  <c r="AJ37" i="2"/>
  <c r="CV37" i="2"/>
  <c r="BD37" i="2"/>
  <c r="X37" i="2"/>
  <c r="EJ37" i="2"/>
  <c r="DP37" i="2"/>
  <c r="AR37" i="2"/>
  <c r="AF37" i="2"/>
  <c r="DD37" i="2"/>
  <c r="ER37" i="2"/>
  <c r="DX37" i="2"/>
  <c r="EN32" i="2"/>
  <c r="CV31" i="2"/>
  <c r="BD31" i="2"/>
  <c r="X31" i="2"/>
  <c r="ER31" i="2"/>
  <c r="EJ31" i="2"/>
  <c r="DP31" i="2"/>
  <c r="BX31" i="2"/>
  <c r="AR31" i="2"/>
  <c r="L31" i="2"/>
  <c r="DD31" i="2"/>
  <c r="AF31" i="2"/>
  <c r="CR31" i="2"/>
  <c r="AZ31" i="2"/>
  <c r="T31" i="2"/>
  <c r="EF31" i="2"/>
  <c r="AN31" i="2"/>
  <c r="H31" i="2"/>
  <c r="CZ31" i="2"/>
  <c r="BH31" i="2"/>
  <c r="AB31" i="2"/>
  <c r="DT31" i="2"/>
  <c r="CN31" i="2"/>
  <c r="AV31" i="2"/>
  <c r="P31" i="2"/>
  <c r="EB31" i="2"/>
  <c r="DH31" i="2"/>
  <c r="AJ31" i="2"/>
  <c r="DX31" i="2"/>
  <c r="DY13" i="2"/>
  <c r="L37" i="2"/>
  <c r="ER32" i="2"/>
  <c r="BX29" i="2"/>
  <c r="AK14" i="2"/>
  <c r="EJ28" i="2"/>
  <c r="DP28" i="2"/>
  <c r="AR28" i="2"/>
  <c r="L28" i="2"/>
  <c r="ER28" i="2"/>
  <c r="DX28" i="2"/>
  <c r="DD28" i="2"/>
  <c r="CR28" i="2"/>
  <c r="AZ28" i="2"/>
  <c r="EF28" i="2"/>
  <c r="CZ28" i="2"/>
  <c r="BH28" i="2"/>
  <c r="AB28" i="2"/>
  <c r="DT28" i="2"/>
  <c r="CN28" i="2"/>
  <c r="AV28" i="2"/>
  <c r="EB28" i="2"/>
  <c r="DH28" i="2"/>
  <c r="H28" i="2"/>
  <c r="AN28" i="2"/>
  <c r="T28" i="2"/>
  <c r="AF28" i="2"/>
  <c r="CV28" i="2"/>
  <c r="X28" i="2"/>
  <c r="P28" i="2"/>
  <c r="BD28" i="2"/>
  <c r="AJ28" i="2"/>
  <c r="CR19" i="2"/>
  <c r="AZ19" i="2"/>
  <c r="T19" i="2"/>
  <c r="EB19" i="2"/>
  <c r="DH19" i="2"/>
  <c r="AJ19" i="2"/>
  <c r="CV19" i="2"/>
  <c r="BD19" i="2"/>
  <c r="X19" i="2"/>
  <c r="ER19" i="2"/>
  <c r="BH19" i="2"/>
  <c r="H19" i="2"/>
  <c r="EN19" i="2"/>
  <c r="DX19" i="2"/>
  <c r="AN19" i="2"/>
  <c r="EJ19" i="2"/>
  <c r="DD19" i="2"/>
  <c r="CN19" i="2"/>
  <c r="EF19" i="2"/>
  <c r="DT19" i="2"/>
  <c r="BX19" i="2"/>
  <c r="AF19" i="2"/>
  <c r="P19" i="2"/>
  <c r="DP19" i="2"/>
  <c r="CZ19" i="2"/>
  <c r="AV19" i="2"/>
  <c r="L19" i="2"/>
  <c r="AR19" i="2"/>
  <c r="AB19" i="2"/>
  <c r="EB22" i="2"/>
  <c r="DH22" i="2"/>
  <c r="CR22" i="2"/>
  <c r="AZ22" i="2"/>
  <c r="EF22" i="2"/>
  <c r="ER22" i="2"/>
  <c r="CV22" i="2"/>
  <c r="AV22" i="2"/>
  <c r="L22" i="2"/>
  <c r="BH22" i="2"/>
  <c r="EJ22" i="2"/>
  <c r="CN22" i="2"/>
  <c r="AN22" i="2"/>
  <c r="AB22" i="2"/>
  <c r="DT22" i="2"/>
  <c r="DD22" i="2"/>
  <c r="P22" i="2"/>
  <c r="AF22" i="2"/>
  <c r="BD22" i="2"/>
  <c r="H22" i="2"/>
  <c r="CZ22" i="2"/>
  <c r="X22" i="2"/>
  <c r="DX22" i="2"/>
  <c r="AR22" i="2"/>
  <c r="T22" i="2"/>
  <c r="BX22" i="2"/>
  <c r="DP22" i="2"/>
  <c r="AJ22" i="2"/>
  <c r="EC13" i="2"/>
  <c r="AO14" i="2"/>
  <c r="BE16" i="2"/>
  <c r="Y16" i="2"/>
  <c r="ER39" i="2"/>
  <c r="DD39" i="2"/>
  <c r="AF39" i="2"/>
  <c r="CR39" i="2"/>
  <c r="AZ39" i="2"/>
  <c r="T39" i="2"/>
  <c r="EF39" i="2"/>
  <c r="AN39" i="2"/>
  <c r="EN39" i="2"/>
  <c r="CZ39" i="2"/>
  <c r="BH39" i="2"/>
  <c r="AB39" i="2"/>
  <c r="H39" i="2"/>
  <c r="DT39" i="2"/>
  <c r="CN39" i="2"/>
  <c r="AV39" i="2"/>
  <c r="P39" i="2"/>
  <c r="EB39" i="2"/>
  <c r="DH39" i="2"/>
  <c r="AJ39" i="2"/>
  <c r="CV39" i="2"/>
  <c r="BD39" i="2"/>
  <c r="X39" i="2"/>
  <c r="EJ39" i="2"/>
  <c r="AR39" i="2"/>
  <c r="DP39" i="2"/>
  <c r="L39" i="2"/>
  <c r="CR32" i="2"/>
  <c r="AZ32" i="2"/>
  <c r="T32" i="2"/>
  <c r="EF32" i="2"/>
  <c r="AN32" i="2"/>
  <c r="H32" i="2"/>
  <c r="CZ32" i="2"/>
  <c r="BH32" i="2"/>
  <c r="AB32" i="2"/>
  <c r="DT32" i="2"/>
  <c r="CN32" i="2"/>
  <c r="AV32" i="2"/>
  <c r="P32" i="2"/>
  <c r="EB32" i="2"/>
  <c r="DH32" i="2"/>
  <c r="AJ32" i="2"/>
  <c r="CV32" i="2"/>
  <c r="BD32" i="2"/>
  <c r="X32" i="2"/>
  <c r="DP32" i="2"/>
  <c r="AR32" i="2"/>
  <c r="L32" i="2"/>
  <c r="AF32" i="2"/>
  <c r="DD32" i="2"/>
  <c r="DX32" i="2"/>
  <c r="M12" i="2"/>
  <c r="U12" i="2"/>
  <c r="BX16" i="2"/>
  <c r="BI13" i="2"/>
  <c r="BX37" i="2"/>
  <c r="I14" i="2"/>
  <c r="ES15" i="2"/>
  <c r="AW15" i="2"/>
  <c r="CR24" i="2"/>
  <c r="AZ24" i="2"/>
  <c r="T24" i="2"/>
  <c r="EF24" i="2"/>
  <c r="AN24" i="2"/>
  <c r="H24" i="2"/>
  <c r="EB24" i="2"/>
  <c r="DH24" i="2"/>
  <c r="AJ24" i="2"/>
  <c r="CV24" i="2"/>
  <c r="BD24" i="2"/>
  <c r="X24" i="2"/>
  <c r="CZ24" i="2"/>
  <c r="BH24" i="2"/>
  <c r="EJ24" i="2"/>
  <c r="DT24" i="2"/>
  <c r="P24" i="2"/>
  <c r="AB24" i="2"/>
  <c r="CN24" i="2"/>
  <c r="AV24" i="2"/>
  <c r="DX24" i="2"/>
  <c r="AF24" i="2"/>
  <c r="DP24" i="2"/>
  <c r="ER24" i="2"/>
  <c r="L24" i="2"/>
  <c r="EN24" i="2"/>
  <c r="DD24" i="2"/>
  <c r="AR24" i="2"/>
  <c r="BX28" i="2"/>
  <c r="EN28" i="2"/>
  <c r="EB26" i="2"/>
  <c r="DH26" i="2"/>
  <c r="AJ26" i="2"/>
  <c r="CV26" i="2"/>
  <c r="BD26" i="2"/>
  <c r="X26" i="2"/>
  <c r="CR26" i="2"/>
  <c r="AZ26" i="2"/>
  <c r="T26" i="2"/>
  <c r="EF26" i="2"/>
  <c r="AN26" i="2"/>
  <c r="H26" i="2"/>
  <c r="AB26" i="2"/>
  <c r="CN26" i="2"/>
  <c r="AV26" i="2"/>
  <c r="CZ26" i="2"/>
  <c r="BH26" i="2"/>
  <c r="EJ26" i="2"/>
  <c r="DT26" i="2"/>
  <c r="P26" i="2"/>
  <c r="DP26" i="2"/>
  <c r="ER26" i="2"/>
  <c r="L26" i="2"/>
  <c r="EN26" i="2"/>
  <c r="DD26" i="2"/>
  <c r="AR26" i="2"/>
  <c r="DX26" i="2"/>
  <c r="AF26" i="2"/>
  <c r="EB21" i="2"/>
  <c r="DH21" i="2"/>
  <c r="AJ21" i="2"/>
  <c r="CV21" i="2"/>
  <c r="BD21" i="2"/>
  <c r="X21" i="2"/>
  <c r="CR21" i="2"/>
  <c r="AZ21" i="2"/>
  <c r="T21" i="2"/>
  <c r="EF21" i="2"/>
  <c r="AN21" i="2"/>
  <c r="H21" i="2"/>
  <c r="DP21" i="2"/>
  <c r="L21" i="2"/>
  <c r="AF21" i="2"/>
  <c r="AB21" i="2"/>
  <c r="CN21" i="2"/>
  <c r="AV21" i="2"/>
  <c r="ER21" i="2"/>
  <c r="DX21" i="2"/>
  <c r="AR21" i="2"/>
  <c r="EN21" i="2"/>
  <c r="DD21" i="2"/>
  <c r="CZ21" i="2"/>
  <c r="BH21" i="2"/>
  <c r="EJ21" i="2"/>
  <c r="DT21" i="2"/>
  <c r="P21" i="2"/>
  <c r="EG11" i="2"/>
  <c r="DI12" i="2"/>
  <c r="DU12" i="2"/>
  <c r="ER34" i="2"/>
  <c r="CV34" i="2"/>
  <c r="AJ34" i="2"/>
  <c r="DD34" i="2"/>
  <c r="BD34" i="2"/>
  <c r="X34" i="2"/>
  <c r="AF34" i="2"/>
  <c r="DT34" i="2"/>
  <c r="CZ34" i="2"/>
  <c r="CR34" i="2"/>
  <c r="AZ34" i="2"/>
  <c r="T34" i="2"/>
  <c r="EB34" i="2"/>
  <c r="AN34" i="2"/>
  <c r="H34" i="2"/>
  <c r="DH34" i="2"/>
  <c r="BH34" i="2"/>
  <c r="AB34" i="2"/>
  <c r="CN34" i="2"/>
  <c r="BX34" i="2"/>
  <c r="EJ34" i="2"/>
  <c r="EF34" i="2"/>
  <c r="P34" i="2"/>
  <c r="L34" i="2"/>
  <c r="AV34" i="2"/>
  <c r="DP34" i="2"/>
  <c r="AR34" i="2"/>
  <c r="EB36" i="2"/>
  <c r="DH36" i="2"/>
  <c r="AJ36" i="2"/>
  <c r="CV36" i="2"/>
  <c r="BD36" i="2"/>
  <c r="X36" i="2"/>
  <c r="EJ36" i="2"/>
  <c r="DP36" i="2"/>
  <c r="AR36" i="2"/>
  <c r="L36" i="2"/>
  <c r="ER36" i="2"/>
  <c r="DD36" i="2"/>
  <c r="AF36" i="2"/>
  <c r="CR36" i="2"/>
  <c r="AZ36" i="2"/>
  <c r="T36" i="2"/>
  <c r="EF36" i="2"/>
  <c r="AN36" i="2"/>
  <c r="CZ36" i="2"/>
  <c r="BH36" i="2"/>
  <c r="AB36" i="2"/>
  <c r="CN36" i="2"/>
  <c r="AV36" i="2"/>
  <c r="DT36" i="2"/>
  <c r="P36" i="2"/>
  <c r="EB27" i="2"/>
  <c r="DH27" i="2"/>
  <c r="EF27" i="2"/>
  <c r="CV27" i="2"/>
  <c r="AR27" i="2"/>
  <c r="L27" i="2"/>
  <c r="DT27" i="2"/>
  <c r="AF27" i="2"/>
  <c r="BH27" i="2"/>
  <c r="AB27" i="2"/>
  <c r="EJ27" i="2"/>
  <c r="AV27" i="2"/>
  <c r="P27" i="2"/>
  <c r="DD27" i="2"/>
  <c r="X27" i="2"/>
  <c r="AJ27" i="2"/>
  <c r="DP27" i="2"/>
  <c r="CR27" i="2"/>
  <c r="BD27" i="2"/>
  <c r="ER27" i="2"/>
  <c r="CZ27" i="2"/>
  <c r="H27" i="2"/>
  <c r="AN27" i="2"/>
  <c r="CN27" i="2"/>
  <c r="T27" i="2"/>
  <c r="AZ27" i="2"/>
  <c r="BX30" i="2"/>
  <c r="EN22" i="2"/>
  <c r="CZ20" i="2"/>
  <c r="BH20" i="2"/>
  <c r="AB20" i="2"/>
  <c r="DT20" i="2"/>
  <c r="CN20" i="2"/>
  <c r="AV20" i="2"/>
  <c r="P20" i="2"/>
  <c r="EJ20" i="2"/>
  <c r="DP20" i="2"/>
  <c r="AR20" i="2"/>
  <c r="L20" i="2"/>
  <c r="ER20" i="2"/>
  <c r="DD20" i="2"/>
  <c r="AF20" i="2"/>
  <c r="T20" i="2"/>
  <c r="CV20" i="2"/>
  <c r="AN20" i="2"/>
  <c r="CR20" i="2"/>
  <c r="AJ20" i="2"/>
  <c r="EF20" i="2"/>
  <c r="BD20" i="2"/>
  <c r="EB20" i="2"/>
  <c r="DH20" i="2"/>
  <c r="AZ20" i="2"/>
  <c r="H20" i="2"/>
  <c r="X20" i="2"/>
  <c r="BX21" i="2"/>
  <c r="DA12" i="2"/>
  <c r="CS14" i="2"/>
  <c r="BA12" i="2"/>
  <c r="BX23" i="2"/>
  <c r="EF18" i="2"/>
  <c r="CZ18" i="2"/>
  <c r="BH18" i="2"/>
  <c r="AB18" i="2"/>
  <c r="DT18" i="2"/>
  <c r="CN18" i="2"/>
  <c r="AV18" i="2"/>
  <c r="P18" i="2"/>
  <c r="EB18" i="2"/>
  <c r="DH18" i="2"/>
  <c r="AJ18" i="2"/>
  <c r="CV18" i="2"/>
  <c r="BD18" i="2"/>
  <c r="X18" i="2"/>
  <c r="DP18" i="2"/>
  <c r="AR18" i="2"/>
  <c r="L18" i="2"/>
  <c r="EJ18" i="2"/>
  <c r="DX18" i="2"/>
  <c r="DD18" i="2"/>
  <c r="AF18" i="2"/>
  <c r="CR18" i="2"/>
  <c r="AZ18" i="2"/>
  <c r="T18" i="2"/>
  <c r="ER18" i="2"/>
  <c r="AN18" i="2"/>
  <c r="H18" i="2"/>
  <c r="G48" i="2"/>
  <c r="G44" i="2"/>
  <c r="AG12" i="2"/>
  <c r="DQ14" i="2"/>
  <c r="DE15" i="2"/>
  <c r="AC14" i="2"/>
  <c r="BX18" i="2"/>
  <c r="Q12" i="2"/>
  <c r="AS13" i="2"/>
  <c r="CW14" i="2"/>
  <c r="EK12" i="2"/>
  <c r="EU42" i="2" l="1"/>
  <c r="J10" i="2"/>
  <c r="CH10" i="2"/>
  <c r="CD10" i="2"/>
  <c r="CL10" i="2"/>
  <c r="AP10" i="2"/>
  <c r="BB10" i="2"/>
  <c r="EH10" i="2"/>
  <c r="ED10" i="2"/>
  <c r="Z10" i="2"/>
  <c r="CX10" i="2"/>
  <c r="BF10" i="2"/>
  <c r="EP10" i="2"/>
  <c r="DB10" i="2"/>
  <c r="BZ10" i="2"/>
  <c r="N10" i="2"/>
  <c r="BN10" i="2"/>
  <c r="AX10" i="2"/>
  <c r="AD10" i="2"/>
  <c r="EL10" i="2"/>
  <c r="V10" i="2"/>
  <c r="BV10" i="2"/>
  <c r="AL10" i="2"/>
  <c r="DR10" i="2"/>
  <c r="R10" i="2"/>
  <c r="BR10" i="2"/>
  <c r="BJ10" i="2"/>
  <c r="DV10" i="2"/>
  <c r="EV11" i="2"/>
  <c r="DN11" i="2" s="1"/>
  <c r="ET10" i="2"/>
  <c r="DZ10" i="2"/>
  <c r="CP10" i="2"/>
  <c r="AH10" i="2"/>
  <c r="DF10" i="2"/>
  <c r="AT10" i="2"/>
  <c r="DJ10" i="2"/>
  <c r="CT10" i="2"/>
  <c r="DE16" i="2"/>
  <c r="Q13" i="2"/>
  <c r="ER23" i="2"/>
  <c r="DD23" i="2"/>
  <c r="AF23" i="2"/>
  <c r="CR23" i="2"/>
  <c r="AZ23" i="2"/>
  <c r="T23" i="2"/>
  <c r="DT23" i="2"/>
  <c r="CN23" i="2"/>
  <c r="AV23" i="2"/>
  <c r="P23" i="2"/>
  <c r="EB23" i="2"/>
  <c r="DH23" i="2"/>
  <c r="AJ23" i="2"/>
  <c r="AN23" i="2"/>
  <c r="CZ23" i="2"/>
  <c r="BH23" i="2"/>
  <c r="AB23" i="2"/>
  <c r="EJ23" i="2"/>
  <c r="CV23" i="2"/>
  <c r="AR23" i="2"/>
  <c r="EF23" i="2"/>
  <c r="X23" i="2"/>
  <c r="DP23" i="2"/>
  <c r="BD23" i="2"/>
  <c r="EN23" i="2"/>
  <c r="L23" i="2"/>
  <c r="H23" i="2"/>
  <c r="DX23" i="2"/>
  <c r="DA13" i="2"/>
  <c r="AW16" i="2"/>
  <c r="EC14" i="2"/>
  <c r="AK15" i="2"/>
  <c r="EK13" i="2"/>
  <c r="DQ15" i="2"/>
  <c r="DI13" i="2"/>
  <c r="EB38" i="2"/>
  <c r="DH38" i="2"/>
  <c r="AJ38" i="2"/>
  <c r="CV38" i="2"/>
  <c r="BD38" i="2"/>
  <c r="X38" i="2"/>
  <c r="EJ38" i="2"/>
  <c r="DP38" i="2"/>
  <c r="AR38" i="2"/>
  <c r="L38" i="2"/>
  <c r="ER38" i="2"/>
  <c r="DX38" i="2"/>
  <c r="DD38" i="2"/>
  <c r="AF38" i="2"/>
  <c r="CR38" i="2"/>
  <c r="AZ38" i="2"/>
  <c r="T38" i="2"/>
  <c r="EF38" i="2"/>
  <c r="AN38" i="2"/>
  <c r="CZ38" i="2"/>
  <c r="BH38" i="2"/>
  <c r="AB38" i="2"/>
  <c r="DT38" i="2"/>
  <c r="P38" i="2"/>
  <c r="CN38" i="2"/>
  <c r="AV38" i="2"/>
  <c r="H38" i="2"/>
  <c r="EN38" i="2"/>
  <c r="EO12" i="2"/>
  <c r="ES16" i="2"/>
  <c r="CR16" i="2"/>
  <c r="AZ16" i="2"/>
  <c r="T16" i="2"/>
  <c r="EF16" i="2"/>
  <c r="AN16" i="2"/>
  <c r="EB16" i="2"/>
  <c r="DH16" i="2"/>
  <c r="AJ16" i="2"/>
  <c r="CV16" i="2"/>
  <c r="BD16" i="2"/>
  <c r="X16" i="2"/>
  <c r="CZ16" i="2"/>
  <c r="BH16" i="2"/>
  <c r="AF16" i="2"/>
  <c r="AB16" i="2"/>
  <c r="L16" i="2"/>
  <c r="DD16" i="2"/>
  <c r="DX16" i="2"/>
  <c r="CN16" i="2"/>
  <c r="DT16" i="2"/>
  <c r="ER16" i="2"/>
  <c r="DP16" i="2"/>
  <c r="P16" i="2"/>
  <c r="EJ16" i="2"/>
  <c r="AV16" i="2"/>
  <c r="AR16" i="2"/>
  <c r="EN16" i="2"/>
  <c r="H16" i="2"/>
  <c r="DX42" i="2"/>
  <c r="CW15" i="2"/>
  <c r="Y17" i="2"/>
  <c r="AG13" i="2"/>
  <c r="BA13" i="2"/>
  <c r="EG12" i="2"/>
  <c r="I15" i="2"/>
  <c r="U13" i="2"/>
  <c r="AS14" i="2"/>
  <c r="AC15" i="2"/>
  <c r="BE17" i="2"/>
  <c r="DY14" i="2"/>
  <c r="DT30" i="2"/>
  <c r="CN30" i="2"/>
  <c r="AV30" i="2"/>
  <c r="P30" i="2"/>
  <c r="EB30" i="2"/>
  <c r="DH30" i="2"/>
  <c r="AJ30" i="2"/>
  <c r="CV30" i="2"/>
  <c r="BD30" i="2"/>
  <c r="X30" i="2"/>
  <c r="EJ30" i="2"/>
  <c r="DP30" i="2"/>
  <c r="AR30" i="2"/>
  <c r="L30" i="2"/>
  <c r="ER30" i="2"/>
  <c r="DD30" i="2"/>
  <c r="AF30" i="2"/>
  <c r="CR30" i="2"/>
  <c r="AZ30" i="2"/>
  <c r="T30" i="2"/>
  <c r="EF30" i="2"/>
  <c r="AN30" i="2"/>
  <c r="AB30" i="2"/>
  <c r="EN30" i="2"/>
  <c r="BH30" i="2"/>
  <c r="CZ30" i="2"/>
  <c r="H30" i="2"/>
  <c r="DX30" i="2"/>
  <c r="M13" i="2"/>
  <c r="EF29" i="2"/>
  <c r="AN29" i="2"/>
  <c r="EN29" i="2"/>
  <c r="CZ29" i="2"/>
  <c r="BH29" i="2"/>
  <c r="AB29" i="2"/>
  <c r="H29" i="2"/>
  <c r="DT29" i="2"/>
  <c r="CN29" i="2"/>
  <c r="AV29" i="2"/>
  <c r="P29" i="2"/>
  <c r="EB29" i="2"/>
  <c r="DH29" i="2"/>
  <c r="AJ29" i="2"/>
  <c r="CV29" i="2"/>
  <c r="BD29" i="2"/>
  <c r="X29" i="2"/>
  <c r="EJ29" i="2"/>
  <c r="DP29" i="2"/>
  <c r="AR29" i="2"/>
  <c r="ER29" i="2"/>
  <c r="DD29" i="2"/>
  <c r="AF29" i="2"/>
  <c r="T29" i="2"/>
  <c r="AZ29" i="2"/>
  <c r="CR29" i="2"/>
  <c r="DX29" i="2"/>
  <c r="L29" i="2"/>
  <c r="BY15" i="2"/>
  <c r="BX38" i="2"/>
  <c r="CS15" i="2"/>
  <c r="DU13" i="2"/>
  <c r="BI14" i="2"/>
  <c r="AO15" i="2"/>
  <c r="BZ11" i="2" l="1"/>
  <c r="CH11" i="2"/>
  <c r="CD11" i="2"/>
  <c r="CL11" i="2"/>
  <c r="CF42" i="2"/>
  <c r="CJ42" i="2"/>
  <c r="CB42" i="2"/>
  <c r="EL11" i="2"/>
  <c r="DF11" i="2"/>
  <c r="AL11" i="2"/>
  <c r="CP11" i="2"/>
  <c r="CX11" i="2"/>
  <c r="EH11" i="2"/>
  <c r="AH11" i="2"/>
  <c r="DJ11" i="2"/>
  <c r="EV12" i="2"/>
  <c r="DN12" i="2" s="1"/>
  <c r="BF11" i="2"/>
  <c r="AT11" i="2"/>
  <c r="R11" i="2"/>
  <c r="BB11" i="2"/>
  <c r="ED11" i="2"/>
  <c r="AX11" i="2"/>
  <c r="ET11" i="2"/>
  <c r="DZ11" i="2"/>
  <c r="DB11" i="2"/>
  <c r="DR11" i="2"/>
  <c r="J11" i="2"/>
  <c r="V11" i="2"/>
  <c r="CT11" i="2"/>
  <c r="Z11" i="2"/>
  <c r="N11" i="2"/>
  <c r="DV11" i="2"/>
  <c r="AD11" i="2"/>
  <c r="BJ11" i="2"/>
  <c r="AP11" i="2"/>
  <c r="EP11" i="2"/>
  <c r="DU14" i="2"/>
  <c r="EC15" i="2"/>
  <c r="DE17" i="2"/>
  <c r="CS16" i="2"/>
  <c r="BE18" i="2"/>
  <c r="I16" i="2"/>
  <c r="CW16" i="2"/>
  <c r="G45" i="2"/>
  <c r="G46" i="2" s="1"/>
  <c r="EV42" i="2"/>
  <c r="BD42" i="2"/>
  <c r="CV42" i="2"/>
  <c r="BT42" i="2"/>
  <c r="EB42" i="2"/>
  <c r="BL42" i="2"/>
  <c r="ER42" i="2"/>
  <c r="DP42" i="2"/>
  <c r="AB42" i="2"/>
  <c r="AZ42" i="2"/>
  <c r="BH42" i="2"/>
  <c r="AR42" i="2"/>
  <c r="DD42" i="2"/>
  <c r="DL42" i="2"/>
  <c r="AN42" i="2"/>
  <c r="CR42" i="2"/>
  <c r="AV42" i="2"/>
  <c r="DH42" i="2"/>
  <c r="H42" i="2"/>
  <c r="EN42" i="2"/>
  <c r="EF42" i="2"/>
  <c r="BX42" i="2"/>
  <c r="CZ42" i="2"/>
  <c r="EJ42" i="2"/>
  <c r="ES17" i="2"/>
  <c r="DQ16" i="2"/>
  <c r="AW17" i="2"/>
  <c r="AO16" i="2"/>
  <c r="AC16" i="2"/>
  <c r="EG13" i="2"/>
  <c r="EK14" i="2"/>
  <c r="AS15" i="2"/>
  <c r="BA14" i="2"/>
  <c r="EO13" i="2"/>
  <c r="BI15" i="2"/>
  <c r="BY16" i="2"/>
  <c r="Y18" i="2"/>
  <c r="AK16" i="2"/>
  <c r="DA14" i="2"/>
  <c r="DY15" i="2"/>
  <c r="U14" i="2"/>
  <c r="Q14" i="2"/>
  <c r="M14" i="2"/>
  <c r="AG14" i="2"/>
  <c r="DI14" i="2"/>
  <c r="AH12" i="2" l="1"/>
  <c r="CD12" i="2"/>
  <c r="CH12" i="2"/>
  <c r="CL12" i="2"/>
  <c r="J12" i="2"/>
  <c r="AD12" i="2"/>
  <c r="V12" i="2"/>
  <c r="AP12" i="2"/>
  <c r="DF12" i="2"/>
  <c r="AX12" i="2"/>
  <c r="ED12" i="2"/>
  <c r="CT12" i="2"/>
  <c r="BZ12" i="2"/>
  <c r="DZ12" i="2"/>
  <c r="EP12" i="2"/>
  <c r="Z12" i="2"/>
  <c r="R12" i="2"/>
  <c r="BB12" i="2"/>
  <c r="AT12" i="2"/>
  <c r="BJ12" i="2"/>
  <c r="EV13" i="2"/>
  <c r="DN13" i="2" s="1"/>
  <c r="BF12" i="2"/>
  <c r="AL12" i="2"/>
  <c r="DR12" i="2"/>
  <c r="CX12" i="2"/>
  <c r="CP12" i="2"/>
  <c r="ET12" i="2"/>
  <c r="EH12" i="2"/>
  <c r="N12" i="2"/>
  <c r="DJ12" i="2"/>
  <c r="DV12" i="2"/>
  <c r="EL12" i="2"/>
  <c r="DB12" i="2"/>
  <c r="DY16" i="2"/>
  <c r="Y19" i="2"/>
  <c r="AO17" i="2"/>
  <c r="AG15" i="2"/>
  <c r="BI16" i="2"/>
  <c r="EK15" i="2"/>
  <c r="M15" i="2"/>
  <c r="AW18" i="2"/>
  <c r="BE19" i="2"/>
  <c r="DU15" i="2"/>
  <c r="DA15" i="2"/>
  <c r="EO14" i="2"/>
  <c r="EG14" i="2"/>
  <c r="DQ17" i="2"/>
  <c r="CW17" i="2"/>
  <c r="CS17" i="2"/>
  <c r="Q15" i="2"/>
  <c r="AK17" i="2"/>
  <c r="DI15" i="2"/>
  <c r="U15" i="2"/>
  <c r="BA15" i="2"/>
  <c r="AC17" i="2"/>
  <c r="ES18" i="2"/>
  <c r="DE18" i="2"/>
  <c r="BY17" i="2"/>
  <c r="AS16" i="2"/>
  <c r="I17" i="2"/>
  <c r="EC16" i="2"/>
  <c r="Z13" i="2" l="1"/>
  <c r="R13" i="2"/>
  <c r="CD13" i="2"/>
  <c r="CL13" i="2"/>
  <c r="CH13" i="2"/>
  <c r="EH13" i="2"/>
  <c r="V13" i="2"/>
  <c r="EV14" i="2"/>
  <c r="DF13" i="2"/>
  <c r="CT13" i="2"/>
  <c r="CP13" i="2"/>
  <c r="DB13" i="2"/>
  <c r="DJ13" i="2"/>
  <c r="BB13" i="2"/>
  <c r="AT13" i="2"/>
  <c r="BJ13" i="2"/>
  <c r="ED13" i="2"/>
  <c r="DR13" i="2"/>
  <c r="EL13" i="2"/>
  <c r="J13" i="2"/>
  <c r="AD13" i="2"/>
  <c r="DZ13" i="2"/>
  <c r="AP13" i="2"/>
  <c r="BF13" i="2"/>
  <c r="AH13" i="2"/>
  <c r="AL13" i="2"/>
  <c r="EP13" i="2"/>
  <c r="DV13" i="2"/>
  <c r="CX13" i="2"/>
  <c r="BZ13" i="2"/>
  <c r="N13" i="2"/>
  <c r="ET13" i="2"/>
  <c r="AX13" i="2"/>
  <c r="ES19" i="2"/>
  <c r="DI16" i="2"/>
  <c r="DA16" i="2"/>
  <c r="EK16" i="2"/>
  <c r="AG16" i="2"/>
  <c r="BY18" i="2"/>
  <c r="CS18" i="2"/>
  <c r="EC17" i="2"/>
  <c r="CW18" i="2"/>
  <c r="AC18" i="2"/>
  <c r="DQ18" i="2"/>
  <c r="AW19" i="2"/>
  <c r="BI17" i="2"/>
  <c r="BA16" i="2"/>
  <c r="AO18" i="2"/>
  <c r="I18" i="2"/>
  <c r="DE19" i="2"/>
  <c r="Q16" i="2"/>
  <c r="DU16" i="2"/>
  <c r="AK18" i="2"/>
  <c r="U16" i="2"/>
  <c r="EG15" i="2"/>
  <c r="M16" i="2"/>
  <c r="Y20" i="2"/>
  <c r="AS17" i="2"/>
  <c r="EO15" i="2"/>
  <c r="BE20" i="2"/>
  <c r="DY17" i="2"/>
  <c r="DV14" i="2" l="1"/>
  <c r="DN14" i="2"/>
  <c r="Z14" i="2"/>
  <c r="AT14" i="2"/>
  <c r="DR14" i="2"/>
  <c r="AP14" i="2"/>
  <c r="CT14" i="2"/>
  <c r="AH14" i="2"/>
  <c r="CD14" i="2"/>
  <c r="CL14" i="2"/>
  <c r="CH14" i="2"/>
  <c r="N14" i="2"/>
  <c r="AX14" i="2"/>
  <c r="BF14" i="2"/>
  <c r="V14" i="2"/>
  <c r="ED14" i="2"/>
  <c r="DZ14" i="2"/>
  <c r="EV15" i="2"/>
  <c r="DN15" i="2" s="1"/>
  <c r="DB14" i="2"/>
  <c r="DJ14" i="2"/>
  <c r="BJ14" i="2"/>
  <c r="CP14" i="2"/>
  <c r="J14" i="2"/>
  <c r="R14" i="2"/>
  <c r="EL14" i="2"/>
  <c r="DF14" i="2"/>
  <c r="AD14" i="2"/>
  <c r="BZ14" i="2"/>
  <c r="BB14" i="2"/>
  <c r="AL14" i="2"/>
  <c r="EH14" i="2"/>
  <c r="EP14" i="2"/>
  <c r="CX14" i="2"/>
  <c r="ET14" i="2"/>
  <c r="BE21" i="2"/>
  <c r="U17" i="2"/>
  <c r="DE20" i="2"/>
  <c r="BI18" i="2"/>
  <c r="CW19" i="2"/>
  <c r="AG17" i="2"/>
  <c r="EK17" i="2"/>
  <c r="Y21" i="2"/>
  <c r="DA17" i="2"/>
  <c r="AK19" i="2"/>
  <c r="I19" i="2"/>
  <c r="AW20" i="2"/>
  <c r="EC18" i="2"/>
  <c r="DI17" i="2"/>
  <c r="M17" i="2"/>
  <c r="DU17" i="2"/>
  <c r="AO19" i="2"/>
  <c r="DQ19" i="2"/>
  <c r="CS19" i="2"/>
  <c r="ES20" i="2"/>
  <c r="AS18" i="2"/>
  <c r="EO16" i="2"/>
  <c r="AC19" i="2"/>
  <c r="BY19" i="2"/>
  <c r="DY18" i="2"/>
  <c r="EG16" i="2"/>
  <c r="Q17" i="2"/>
  <c r="BA17" i="2"/>
  <c r="DB15" i="2" l="1"/>
  <c r="CD15" i="2"/>
  <c r="CL15" i="2"/>
  <c r="CH15" i="2"/>
  <c r="EL15" i="2"/>
  <c r="BF15" i="2"/>
  <c r="ET15" i="2"/>
  <c r="Z15" i="2"/>
  <c r="N15" i="2"/>
  <c r="ED15" i="2"/>
  <c r="BJ15" i="2"/>
  <c r="CX15" i="2"/>
  <c r="AD15" i="2"/>
  <c r="DV15" i="2"/>
  <c r="AT15" i="2"/>
  <c r="AL15" i="2"/>
  <c r="CP15" i="2"/>
  <c r="BB15" i="2"/>
  <c r="BZ15" i="2"/>
  <c r="AP15" i="2"/>
  <c r="AH15" i="2"/>
  <c r="R15" i="2"/>
  <c r="J15" i="2"/>
  <c r="EV16" i="2"/>
  <c r="DN16" i="2" s="1"/>
  <c r="V15" i="2"/>
  <c r="EH15" i="2"/>
  <c r="DJ15" i="2"/>
  <c r="DR15" i="2"/>
  <c r="AX15" i="2"/>
  <c r="EP15" i="2"/>
  <c r="DZ15" i="2"/>
  <c r="CT15" i="2"/>
  <c r="DF15" i="2"/>
  <c r="DY19" i="2"/>
  <c r="EC19" i="2"/>
  <c r="CW20" i="2"/>
  <c r="BE22" i="2"/>
  <c r="BY20" i="2"/>
  <c r="DQ20" i="2"/>
  <c r="BI19" i="2"/>
  <c r="BA18" i="2"/>
  <c r="EO17" i="2"/>
  <c r="DA18" i="2"/>
  <c r="Q18" i="2"/>
  <c r="AW21" i="2"/>
  <c r="Y22" i="2"/>
  <c r="AS19" i="2"/>
  <c r="AO20" i="2"/>
  <c r="EK18" i="2"/>
  <c r="EG17" i="2"/>
  <c r="ES21" i="2"/>
  <c r="DU18" i="2"/>
  <c r="AK20" i="2"/>
  <c r="AC20" i="2"/>
  <c r="I20" i="2"/>
  <c r="DE21" i="2"/>
  <c r="DI18" i="2"/>
  <c r="AG18" i="2"/>
  <c r="U18" i="2"/>
  <c r="CS20" i="2"/>
  <c r="M18" i="2"/>
  <c r="R16" i="2" l="1"/>
  <c r="CD16" i="2"/>
  <c r="CL16" i="2"/>
  <c r="CH16" i="2"/>
  <c r="V16" i="2"/>
  <c r="CT16" i="2"/>
  <c r="BZ16" i="2"/>
  <c r="CX16" i="2"/>
  <c r="ET16" i="2"/>
  <c r="N16" i="2"/>
  <c r="AL16" i="2"/>
  <c r="DB16" i="2"/>
  <c r="AT16" i="2"/>
  <c r="BF16" i="2"/>
  <c r="BJ16" i="2"/>
  <c r="DV16" i="2"/>
  <c r="AH16" i="2"/>
  <c r="AX16" i="2"/>
  <c r="AD16" i="2"/>
  <c r="EH16" i="2"/>
  <c r="DJ16" i="2"/>
  <c r="DF16" i="2"/>
  <c r="EP16" i="2"/>
  <c r="AP16" i="2"/>
  <c r="J16" i="2"/>
  <c r="Z16" i="2"/>
  <c r="EL16" i="2"/>
  <c r="ED16" i="2"/>
  <c r="DR16" i="2"/>
  <c r="CP16" i="2"/>
  <c r="BB16" i="2"/>
  <c r="DZ16" i="2"/>
  <c r="EV17" i="2"/>
  <c r="DN17" i="2" s="1"/>
  <c r="EG18" i="2"/>
  <c r="Y23" i="2"/>
  <c r="DY20" i="2"/>
  <c r="U19" i="2"/>
  <c r="EO18" i="2"/>
  <c r="DE22" i="2"/>
  <c r="EK19" i="2"/>
  <c r="AW22" i="2"/>
  <c r="BA19" i="2"/>
  <c r="BE23" i="2"/>
  <c r="AG19" i="2"/>
  <c r="BI20" i="2"/>
  <c r="AK21" i="2"/>
  <c r="AC21" i="2"/>
  <c r="DA19" i="2"/>
  <c r="DQ21" i="2"/>
  <c r="EC20" i="2"/>
  <c r="M19" i="2"/>
  <c r="I21" i="2"/>
  <c r="DU19" i="2"/>
  <c r="AO21" i="2"/>
  <c r="Q19" i="2"/>
  <c r="CW21" i="2"/>
  <c r="DI19" i="2"/>
  <c r="CS21" i="2"/>
  <c r="ES22" i="2"/>
  <c r="AS20" i="2"/>
  <c r="BY21" i="2"/>
  <c r="AH17" i="2" l="1"/>
  <c r="CD17" i="2"/>
  <c r="CL17" i="2"/>
  <c r="CH17" i="2"/>
  <c r="DJ17" i="2"/>
  <c r="R17" i="2"/>
  <c r="ED17" i="2"/>
  <c r="DZ17" i="2"/>
  <c r="AD17" i="2"/>
  <c r="EV18" i="2"/>
  <c r="DN18" i="2" s="1"/>
  <c r="CP17" i="2"/>
  <c r="BZ17" i="2"/>
  <c r="AL17" i="2"/>
  <c r="ET17" i="2"/>
  <c r="N17" i="2"/>
  <c r="J17" i="2"/>
  <c r="AX17" i="2"/>
  <c r="DR17" i="2"/>
  <c r="BF17" i="2"/>
  <c r="DV17" i="2"/>
  <c r="CX17" i="2"/>
  <c r="EP17" i="2"/>
  <c r="BB17" i="2"/>
  <c r="EL17" i="2"/>
  <c r="DF17" i="2"/>
  <c r="EH17" i="2"/>
  <c r="AT17" i="2"/>
  <c r="AP17" i="2"/>
  <c r="DB17" i="2"/>
  <c r="BJ17" i="2"/>
  <c r="CT17" i="2"/>
  <c r="Z17" i="2"/>
  <c r="V17" i="2"/>
  <c r="ES23" i="2"/>
  <c r="BA20" i="2"/>
  <c r="DA20" i="2"/>
  <c r="BY22" i="2"/>
  <c r="Q20" i="2"/>
  <c r="AC22" i="2"/>
  <c r="AW23" i="2"/>
  <c r="U20" i="2"/>
  <c r="M20" i="2"/>
  <c r="CS22" i="2"/>
  <c r="AK22" i="2"/>
  <c r="AG20" i="2"/>
  <c r="DY21" i="2"/>
  <c r="AO22" i="2"/>
  <c r="EK20" i="2"/>
  <c r="DU20" i="2"/>
  <c r="DQ22" i="2"/>
  <c r="DE23" i="2"/>
  <c r="Y24" i="2"/>
  <c r="CW22" i="2"/>
  <c r="EC21" i="2"/>
  <c r="DI20" i="2"/>
  <c r="AS21" i="2"/>
  <c r="BI21" i="2"/>
  <c r="BE24" i="2"/>
  <c r="I22" i="2"/>
  <c r="EO19" i="2"/>
  <c r="EG19" i="2"/>
  <c r="AH18" i="2" l="1"/>
  <c r="CD18" i="2"/>
  <c r="CL18" i="2"/>
  <c r="CH18" i="2"/>
  <c r="V18" i="2"/>
  <c r="CT18" i="2"/>
  <c r="CX18" i="2"/>
  <c r="EL18" i="2"/>
  <c r="AL18" i="2"/>
  <c r="EV19" i="2"/>
  <c r="DN19" i="2" s="1"/>
  <c r="BJ18" i="2"/>
  <c r="AT18" i="2"/>
  <c r="ED18" i="2"/>
  <c r="R18" i="2"/>
  <c r="DB18" i="2"/>
  <c r="DZ18" i="2"/>
  <c r="CP18" i="2"/>
  <c r="J18" i="2"/>
  <c r="DJ18" i="2"/>
  <c r="EH18" i="2"/>
  <c r="DR18" i="2"/>
  <c r="DF18" i="2"/>
  <c r="Z18" i="2"/>
  <c r="BB18" i="2"/>
  <c r="BZ18" i="2"/>
  <c r="AD18" i="2"/>
  <c r="BF18" i="2"/>
  <c r="DV18" i="2"/>
  <c r="EP18" i="2"/>
  <c r="AP18" i="2"/>
  <c r="AX18" i="2"/>
  <c r="ET18" i="2"/>
  <c r="N18" i="2"/>
  <c r="DY22" i="2"/>
  <c r="EO20" i="2"/>
  <c r="CW23" i="2"/>
  <c r="DE24" i="2"/>
  <c r="EK21" i="2"/>
  <c r="BY23" i="2"/>
  <c r="BI22" i="2"/>
  <c r="DU21" i="2"/>
  <c r="AG21" i="2"/>
  <c r="U21" i="2"/>
  <c r="Q21" i="2"/>
  <c r="AS22" i="2"/>
  <c r="Y25" i="2"/>
  <c r="DA21" i="2"/>
  <c r="EG20" i="2"/>
  <c r="AK23" i="2"/>
  <c r="DQ23" i="2"/>
  <c r="CS23" i="2"/>
  <c r="AC23" i="2"/>
  <c r="BE25" i="2"/>
  <c r="EC22" i="2"/>
  <c r="AO23" i="2"/>
  <c r="BA21" i="2"/>
  <c r="I23" i="2"/>
  <c r="AW24" i="2"/>
  <c r="DI21" i="2"/>
  <c r="M21" i="2"/>
  <c r="ES24" i="2"/>
  <c r="DJ19" i="2" l="1"/>
  <c r="AH19" i="2"/>
  <c r="CT19" i="2"/>
  <c r="AD19" i="2"/>
  <c r="DF19" i="2"/>
  <c r="BB19" i="2"/>
  <c r="CD19" i="2"/>
  <c r="CH19" i="2"/>
  <c r="CL19" i="2"/>
  <c r="AT19" i="2"/>
  <c r="R19" i="2"/>
  <c r="DV19" i="2"/>
  <c r="CX19" i="2"/>
  <c r="BF19" i="2"/>
  <c r="EP19" i="2"/>
  <c r="BJ19" i="2"/>
  <c r="AL19" i="2"/>
  <c r="EH19" i="2"/>
  <c r="ET19" i="2"/>
  <c r="ED19" i="2"/>
  <c r="Z19" i="2"/>
  <c r="AP19" i="2"/>
  <c r="EV20" i="2"/>
  <c r="DN20" i="2" s="1"/>
  <c r="N19" i="2"/>
  <c r="DZ19" i="2"/>
  <c r="DR19" i="2"/>
  <c r="CP19" i="2"/>
  <c r="V19" i="2"/>
  <c r="BZ19" i="2"/>
  <c r="DB19" i="2"/>
  <c r="J19" i="2"/>
  <c r="AX19" i="2"/>
  <c r="EL19" i="2"/>
  <c r="AC24" i="2"/>
  <c r="AS23" i="2"/>
  <c r="I24" i="2"/>
  <c r="EG21" i="2"/>
  <c r="DU22" i="2"/>
  <c r="DE25" i="2"/>
  <c r="M22" i="2"/>
  <c r="Q22" i="2"/>
  <c r="DI22" i="2"/>
  <c r="BA22" i="2"/>
  <c r="CS24" i="2"/>
  <c r="DA22" i="2"/>
  <c r="BI23" i="2"/>
  <c r="CW24" i="2"/>
  <c r="U22" i="2"/>
  <c r="EO21" i="2"/>
  <c r="AW25" i="2"/>
  <c r="AO24" i="2"/>
  <c r="EC23" i="2"/>
  <c r="DQ24" i="2"/>
  <c r="BY24" i="2"/>
  <c r="ES25" i="2"/>
  <c r="BE26" i="2"/>
  <c r="AK24" i="2"/>
  <c r="Y26" i="2"/>
  <c r="AG22" i="2"/>
  <c r="EK22" i="2"/>
  <c r="DY23" i="2"/>
  <c r="DV20" i="2" l="1"/>
  <c r="CD20" i="2"/>
  <c r="CL20" i="2"/>
  <c r="CH20" i="2"/>
  <c r="DR20" i="2"/>
  <c r="CX20" i="2"/>
  <c r="CP20" i="2"/>
  <c r="R20" i="2"/>
  <c r="J20" i="2"/>
  <c r="EL20" i="2"/>
  <c r="AH20" i="2"/>
  <c r="BJ20" i="2"/>
  <c r="ED20" i="2"/>
  <c r="DZ20" i="2"/>
  <c r="DB20" i="2"/>
  <c r="AD20" i="2"/>
  <c r="DF20" i="2"/>
  <c r="ET20" i="2"/>
  <c r="BB20" i="2"/>
  <c r="N20" i="2"/>
  <c r="V20" i="2"/>
  <c r="CT20" i="2"/>
  <c r="BF20" i="2"/>
  <c r="DJ20" i="2"/>
  <c r="BZ20" i="2"/>
  <c r="Z20" i="2"/>
  <c r="EP20" i="2"/>
  <c r="AT20" i="2"/>
  <c r="AL20" i="2"/>
  <c r="EV21" i="2"/>
  <c r="EH20" i="2"/>
  <c r="AP20" i="2"/>
  <c r="AX20" i="2"/>
  <c r="BY25" i="2"/>
  <c r="DE26" i="2"/>
  <c r="Y27" i="2"/>
  <c r="AO25" i="2"/>
  <c r="DA23" i="2"/>
  <c r="Q23" i="2"/>
  <c r="DY24" i="2"/>
  <c r="U23" i="2"/>
  <c r="DU23" i="2"/>
  <c r="EK23" i="2"/>
  <c r="AK25" i="2"/>
  <c r="DQ25" i="2"/>
  <c r="AW26" i="2"/>
  <c r="CS25" i="2"/>
  <c r="M23" i="2"/>
  <c r="I25" i="2"/>
  <c r="CW25" i="2"/>
  <c r="AS24" i="2"/>
  <c r="BE27" i="2"/>
  <c r="EG22" i="2"/>
  <c r="EO22" i="2"/>
  <c r="BA23" i="2"/>
  <c r="EC24" i="2"/>
  <c r="BI24" i="2"/>
  <c r="AG23" i="2"/>
  <c r="ES26" i="2"/>
  <c r="DI23" i="2"/>
  <c r="AC25" i="2"/>
  <c r="CX21" i="2" l="1"/>
  <c r="DN21" i="2"/>
  <c r="BZ21" i="2"/>
  <c r="N21" i="2"/>
  <c r="CD21" i="2"/>
  <c r="CL21" i="2"/>
  <c r="CH21" i="2"/>
  <c r="AD21" i="2"/>
  <c r="EP21" i="2"/>
  <c r="EH21" i="2"/>
  <c r="ET21" i="2"/>
  <c r="AH21" i="2"/>
  <c r="J21" i="2"/>
  <c r="DV21" i="2"/>
  <c r="DJ21" i="2"/>
  <c r="AT21" i="2"/>
  <c r="AL21" i="2"/>
  <c r="BF21" i="2"/>
  <c r="DB21" i="2"/>
  <c r="AP21" i="2"/>
  <c r="Z21" i="2"/>
  <c r="EL21" i="2"/>
  <c r="R21" i="2"/>
  <c r="DR21" i="2"/>
  <c r="BB21" i="2"/>
  <c r="AX21" i="2"/>
  <c r="DF21" i="2"/>
  <c r="BJ21" i="2"/>
  <c r="ED21" i="2"/>
  <c r="EV22" i="2"/>
  <c r="DN22" i="2" s="1"/>
  <c r="DZ21" i="2"/>
  <c r="CT21" i="2"/>
  <c r="CP21" i="2"/>
  <c r="V21" i="2"/>
  <c r="DQ26" i="2"/>
  <c r="EG23" i="2"/>
  <c r="I26" i="2"/>
  <c r="U24" i="2"/>
  <c r="AO26" i="2"/>
  <c r="ES27" i="2"/>
  <c r="BE28" i="2"/>
  <c r="M24" i="2"/>
  <c r="AK26" i="2"/>
  <c r="DY25" i="2"/>
  <c r="Y28" i="2"/>
  <c r="AG24" i="2"/>
  <c r="EK24" i="2"/>
  <c r="DE27" i="2"/>
  <c r="AS25" i="2"/>
  <c r="Q24" i="2"/>
  <c r="BA24" i="2"/>
  <c r="EO23" i="2"/>
  <c r="CW26" i="2"/>
  <c r="DU24" i="2"/>
  <c r="DA24" i="2"/>
  <c r="BY26" i="2"/>
  <c r="EC25" i="2"/>
  <c r="CS26" i="2"/>
  <c r="AC26" i="2"/>
  <c r="DI24" i="2"/>
  <c r="BI25" i="2"/>
  <c r="AW27" i="2"/>
  <c r="R22" i="2" l="1"/>
  <c r="CD22" i="2"/>
  <c r="CL22" i="2"/>
  <c r="CH22" i="2"/>
  <c r="BB22" i="2"/>
  <c r="N22" i="2"/>
  <c r="DZ22" i="2"/>
  <c r="AT22" i="2"/>
  <c r="BJ22" i="2"/>
  <c r="BZ22" i="2"/>
  <c r="AL22" i="2"/>
  <c r="DF22" i="2"/>
  <c r="EL22" i="2"/>
  <c r="AX22" i="2"/>
  <c r="Z22" i="2"/>
  <c r="AH22" i="2"/>
  <c r="EP22" i="2"/>
  <c r="CT22" i="2"/>
  <c r="BF22" i="2"/>
  <c r="EH22" i="2"/>
  <c r="EV23" i="2"/>
  <c r="DN23" i="2" s="1"/>
  <c r="CX22" i="2"/>
  <c r="DR22" i="2"/>
  <c r="DJ22" i="2"/>
  <c r="ED22" i="2"/>
  <c r="AP22" i="2"/>
  <c r="CP22" i="2"/>
  <c r="DV22" i="2"/>
  <c r="AD22" i="2"/>
  <c r="V22" i="2"/>
  <c r="DB22" i="2"/>
  <c r="J22" i="2"/>
  <c r="ET22" i="2"/>
  <c r="AS26" i="2"/>
  <c r="DY26" i="2"/>
  <c r="ES28" i="2"/>
  <c r="I27" i="2"/>
  <c r="EK25" i="2"/>
  <c r="AK27" i="2"/>
  <c r="EG24" i="2"/>
  <c r="EO24" i="2"/>
  <c r="CS27" i="2"/>
  <c r="AW28" i="2"/>
  <c r="DA25" i="2"/>
  <c r="AO27" i="2"/>
  <c r="DU25" i="2"/>
  <c r="AG25" i="2"/>
  <c r="M25" i="2"/>
  <c r="DQ27" i="2"/>
  <c r="BY27" i="2"/>
  <c r="BI26" i="2"/>
  <c r="DI25" i="2"/>
  <c r="Q25" i="2"/>
  <c r="Y29" i="2"/>
  <c r="U25" i="2"/>
  <c r="AC27" i="2"/>
  <c r="BA25" i="2"/>
  <c r="EC26" i="2"/>
  <c r="CW27" i="2"/>
  <c r="DE28" i="2"/>
  <c r="BE29" i="2"/>
  <c r="DJ23" i="2" l="1"/>
  <c r="CD23" i="2"/>
  <c r="CL23" i="2"/>
  <c r="CH23" i="2"/>
  <c r="EV24" i="2"/>
  <c r="ET24" i="2" s="1"/>
  <c r="ED23" i="2"/>
  <c r="AT23" i="2"/>
  <c r="DZ23" i="2"/>
  <c r="CT23" i="2"/>
  <c r="J23" i="2"/>
  <c r="CX23" i="2"/>
  <c r="R23" i="2"/>
  <c r="EP23" i="2"/>
  <c r="DV23" i="2"/>
  <c r="Z23" i="2"/>
  <c r="BF23" i="2"/>
  <c r="EH23" i="2"/>
  <c r="EL23" i="2"/>
  <c r="BJ23" i="2"/>
  <c r="AD23" i="2"/>
  <c r="CP23" i="2"/>
  <c r="DB23" i="2"/>
  <c r="AP23" i="2"/>
  <c r="BB23" i="2"/>
  <c r="BZ23" i="2"/>
  <c r="V23" i="2"/>
  <c r="N23" i="2"/>
  <c r="AL23" i="2"/>
  <c r="AX23" i="2"/>
  <c r="DF23" i="2"/>
  <c r="AH23" i="2"/>
  <c r="DR23" i="2"/>
  <c r="ET23" i="2"/>
  <c r="DI26" i="2"/>
  <c r="M26" i="2"/>
  <c r="EO25" i="2"/>
  <c r="I28" i="2"/>
  <c r="CW28" i="2"/>
  <c r="DA26" i="2"/>
  <c r="BI27" i="2"/>
  <c r="BY28" i="2"/>
  <c r="AG26" i="2"/>
  <c r="EG25" i="2"/>
  <c r="ES29" i="2"/>
  <c r="EC27" i="2"/>
  <c r="U26" i="2"/>
  <c r="Y30" i="2"/>
  <c r="AC28" i="2"/>
  <c r="DQ28" i="2"/>
  <c r="AW29" i="2"/>
  <c r="AK28" i="2"/>
  <c r="DY27" i="2"/>
  <c r="BA26" i="2"/>
  <c r="Q26" i="2"/>
  <c r="DU26" i="2"/>
  <c r="EK26" i="2"/>
  <c r="AO28" i="2"/>
  <c r="BE30" i="2"/>
  <c r="DE29" i="2"/>
  <c r="CS28" i="2"/>
  <c r="AS27" i="2"/>
  <c r="AX24" i="2" l="1"/>
  <c r="DN24" i="2"/>
  <c r="EV25" i="2"/>
  <c r="DN25" i="2" s="1"/>
  <c r="EL24" i="2"/>
  <c r="BB24" i="2"/>
  <c r="AD24" i="2"/>
  <c r="R24" i="2"/>
  <c r="DF24" i="2"/>
  <c r="J24" i="2"/>
  <c r="DJ24" i="2"/>
  <c r="EH24" i="2"/>
  <c r="V24" i="2"/>
  <c r="CP24" i="2"/>
  <c r="AP24" i="2"/>
  <c r="DR24" i="2"/>
  <c r="EP24" i="2"/>
  <c r="AH24" i="2"/>
  <c r="ED24" i="2"/>
  <c r="CX24" i="2"/>
  <c r="BZ24" i="2"/>
  <c r="BJ24" i="2"/>
  <c r="N25" i="2"/>
  <c r="CD25" i="2"/>
  <c r="CL25" i="2"/>
  <c r="DB24" i="2"/>
  <c r="CD24" i="2"/>
  <c r="CL24" i="2"/>
  <c r="CH24" i="2"/>
  <c r="DZ24" i="2"/>
  <c r="AL24" i="2"/>
  <c r="BF24" i="2"/>
  <c r="AT24" i="2"/>
  <c r="CT24" i="2"/>
  <c r="Z24" i="2"/>
  <c r="N24" i="2"/>
  <c r="DV24" i="2"/>
  <c r="DV25" i="2"/>
  <c r="R25" i="2"/>
  <c r="DB25" i="2"/>
  <c r="DY28" i="2"/>
  <c r="BI28" i="2"/>
  <c r="EO26" i="2"/>
  <c r="AC29" i="2"/>
  <c r="ES30" i="2"/>
  <c r="CS29" i="2"/>
  <c r="DE30" i="2"/>
  <c r="DU27" i="2"/>
  <c r="AK29" i="2"/>
  <c r="Y31" i="2"/>
  <c r="EG26" i="2"/>
  <c r="DA27" i="2"/>
  <c r="EK27" i="2"/>
  <c r="U27" i="2"/>
  <c r="AG27" i="2"/>
  <c r="Z25" i="2"/>
  <c r="BE31" i="2"/>
  <c r="Q27" i="2"/>
  <c r="AW30" i="2"/>
  <c r="CW29" i="2"/>
  <c r="M27" i="2"/>
  <c r="AS28" i="2"/>
  <c r="BA27" i="2"/>
  <c r="DQ29" i="2"/>
  <c r="BY29" i="2"/>
  <c r="I29" i="2"/>
  <c r="DI27" i="2"/>
  <c r="AO29" i="2"/>
  <c r="EC28" i="2"/>
  <c r="EH25" i="2" l="1"/>
  <c r="DZ25" i="2"/>
  <c r="AT25" i="2"/>
  <c r="AL25" i="2"/>
  <c r="BB25" i="2"/>
  <c r="BZ25" i="2"/>
  <c r="AH25" i="2"/>
  <c r="CT25" i="2"/>
  <c r="CX25" i="2"/>
  <c r="J25" i="2"/>
  <c r="DJ25" i="2"/>
  <c r="BJ25" i="2"/>
  <c r="ET25" i="2"/>
  <c r="DF25" i="2"/>
  <c r="AX25" i="2"/>
  <c r="V25" i="2"/>
  <c r="AP25" i="2"/>
  <c r="DR25" i="2"/>
  <c r="BF25" i="2"/>
  <c r="EP25" i="2"/>
  <c r="EV26" i="2"/>
  <c r="DN26" i="2" s="1"/>
  <c r="ED25" i="2"/>
  <c r="AD25" i="2"/>
  <c r="CP25" i="2"/>
  <c r="EL25" i="2"/>
  <c r="CH25" i="2"/>
  <c r="DQ30" i="2"/>
  <c r="CW30" i="2"/>
  <c r="EO27" i="2"/>
  <c r="U28" i="2"/>
  <c r="EG27" i="2"/>
  <c r="DE31" i="2"/>
  <c r="BA28" i="2"/>
  <c r="EK28" i="2"/>
  <c r="Y32" i="2"/>
  <c r="CS30" i="2"/>
  <c r="AS29" i="2"/>
  <c r="AW31" i="2"/>
  <c r="BI29" i="2"/>
  <c r="I30" i="2"/>
  <c r="DY29" i="2"/>
  <c r="EC29" i="2"/>
  <c r="BY30" i="2"/>
  <c r="M28" i="2"/>
  <c r="AK30" i="2"/>
  <c r="ES31" i="2"/>
  <c r="DI28" i="2"/>
  <c r="Q28" i="2"/>
  <c r="DA28" i="2"/>
  <c r="AO30" i="2"/>
  <c r="BE32" i="2"/>
  <c r="AG28" i="2"/>
  <c r="DU28" i="2"/>
  <c r="AC30" i="2"/>
  <c r="BZ26" i="2" l="1"/>
  <c r="CT26" i="2"/>
  <c r="BF26" i="2"/>
  <c r="DV26" i="2"/>
  <c r="CP26" i="2"/>
  <c r="AL26" i="2"/>
  <c r="DJ26" i="2"/>
  <c r="EV27" i="2"/>
  <c r="DN27" i="2" s="1"/>
  <c r="EL26" i="2"/>
  <c r="R26" i="2"/>
  <c r="BJ26" i="2"/>
  <c r="J26" i="2"/>
  <c r="Z26" i="2"/>
  <c r="EH26" i="2"/>
  <c r="BB26" i="2"/>
  <c r="V26" i="2"/>
  <c r="DR26" i="2"/>
  <c r="AD26" i="2"/>
  <c r="AH26" i="2"/>
  <c r="AT26" i="2"/>
  <c r="DF26" i="2"/>
  <c r="DZ26" i="2"/>
  <c r="ED26" i="2"/>
  <c r="DB26" i="2"/>
  <c r="N26" i="2"/>
  <c r="AP26" i="2"/>
  <c r="AX26" i="2"/>
  <c r="EP26" i="2"/>
  <c r="CH26" i="2"/>
  <c r="CX26" i="2"/>
  <c r="CL26" i="2"/>
  <c r="ET26" i="2"/>
  <c r="CD26" i="2"/>
  <c r="DA29" i="2"/>
  <c r="ES32" i="2"/>
  <c r="EK29" i="2"/>
  <c r="BI30" i="2"/>
  <c r="AW32" i="2"/>
  <c r="U29" i="2"/>
  <c r="DY30" i="2"/>
  <c r="BA29" i="2"/>
  <c r="EO28" i="2"/>
  <c r="Q29" i="2"/>
  <c r="AS30" i="2"/>
  <c r="BE33" i="2"/>
  <c r="AK31" i="2"/>
  <c r="CS31" i="2"/>
  <c r="DE32" i="2"/>
  <c r="CW31" i="2"/>
  <c r="EC30" i="2"/>
  <c r="AO31" i="2"/>
  <c r="M29" i="2"/>
  <c r="DI29" i="2"/>
  <c r="BY31" i="2"/>
  <c r="I31" i="2"/>
  <c r="AC31" i="2"/>
  <c r="DU29" i="2"/>
  <c r="AG29" i="2"/>
  <c r="Y33" i="2"/>
  <c r="EG28" i="2"/>
  <c r="DQ31" i="2"/>
  <c r="AL27" i="2" l="1"/>
  <c r="CT27" i="2"/>
  <c r="V27" i="2"/>
  <c r="DJ27" i="2"/>
  <c r="AX27" i="2"/>
  <c r="DF27" i="2"/>
  <c r="BF27" i="2"/>
  <c r="EH27" i="2"/>
  <c r="CH27" i="2"/>
  <c r="CL27" i="2"/>
  <c r="EP27" i="2"/>
  <c r="AP27" i="2"/>
  <c r="ED27" i="2"/>
  <c r="DV27" i="2"/>
  <c r="BZ27" i="2"/>
  <c r="CP27" i="2"/>
  <c r="EL27" i="2"/>
  <c r="CD27" i="2"/>
  <c r="AH27" i="2"/>
  <c r="DR27" i="2"/>
  <c r="DB27" i="2"/>
  <c r="DZ27" i="2"/>
  <c r="J27" i="2"/>
  <c r="N27" i="2"/>
  <c r="BB27" i="2"/>
  <c r="CX27" i="2"/>
  <c r="BJ27" i="2"/>
  <c r="Z27" i="2"/>
  <c r="EV28" i="2"/>
  <c r="DN28" i="2" s="1"/>
  <c r="AT27" i="2"/>
  <c r="AD27" i="2"/>
  <c r="ET27" i="2"/>
  <c r="R27" i="2"/>
  <c r="EC31" i="2"/>
  <c r="BA30" i="2"/>
  <c r="CW32" i="2"/>
  <c r="BE34" i="2"/>
  <c r="BI31" i="2"/>
  <c r="AS31" i="2"/>
  <c r="DY31" i="2"/>
  <c r="EK30" i="2"/>
  <c r="AC32" i="2"/>
  <c r="U30" i="2"/>
  <c r="ES33" i="2"/>
  <c r="EG29" i="2"/>
  <c r="DI30" i="2"/>
  <c r="AK32" i="2"/>
  <c r="Q30" i="2"/>
  <c r="DU30" i="2"/>
  <c r="DE33" i="2"/>
  <c r="AG30" i="2"/>
  <c r="I32" i="2"/>
  <c r="AO32" i="2"/>
  <c r="CS32" i="2"/>
  <c r="Y34" i="2"/>
  <c r="M30" i="2"/>
  <c r="DQ32" i="2"/>
  <c r="BY32" i="2"/>
  <c r="EO29" i="2"/>
  <c r="AW33" i="2"/>
  <c r="DA30" i="2"/>
  <c r="N28" i="2" l="1"/>
  <c r="CT28" i="2"/>
  <c r="AL28" i="2"/>
  <c r="V28" i="2"/>
  <c r="DF28" i="2"/>
  <c r="DB28" i="2"/>
  <c r="DJ28" i="2"/>
  <c r="BB28" i="2"/>
  <c r="R28" i="2"/>
  <c r="CL28" i="2"/>
  <c r="BZ28" i="2"/>
  <c r="EP28" i="2"/>
  <c r="EV29" i="2"/>
  <c r="DN29" i="2" s="1"/>
  <c r="CD28" i="2"/>
  <c r="AD28" i="2"/>
  <c r="DR28" i="2"/>
  <c r="AH28" i="2"/>
  <c r="DZ28" i="2"/>
  <c r="CX28" i="2"/>
  <c r="CH28" i="2"/>
  <c r="Z28" i="2"/>
  <c r="BJ28" i="2"/>
  <c r="DV28" i="2"/>
  <c r="AP28" i="2"/>
  <c r="BF28" i="2"/>
  <c r="ED28" i="2"/>
  <c r="AT28" i="2"/>
  <c r="CP28" i="2"/>
  <c r="EH28" i="2"/>
  <c r="EL28" i="2"/>
  <c r="ET28" i="2"/>
  <c r="J28" i="2"/>
  <c r="AX28" i="2"/>
  <c r="AG31" i="2"/>
  <c r="AC33" i="2"/>
  <c r="DQ33" i="2"/>
  <c r="BI32" i="2"/>
  <c r="DE34" i="2"/>
  <c r="AK33" i="2"/>
  <c r="ES34" i="2"/>
  <c r="EK31" i="2"/>
  <c r="CW33" i="2"/>
  <c r="CS33" i="2"/>
  <c r="AW34" i="2"/>
  <c r="EO30" i="2"/>
  <c r="AO33" i="2"/>
  <c r="DU31" i="2"/>
  <c r="DI31" i="2"/>
  <c r="U31" i="2"/>
  <c r="DY32" i="2"/>
  <c r="BE35" i="2"/>
  <c r="M31" i="2"/>
  <c r="EG30" i="2"/>
  <c r="BA31" i="2"/>
  <c r="BY33" i="2"/>
  <c r="I33" i="2"/>
  <c r="AS32" i="2"/>
  <c r="DA31" i="2"/>
  <c r="Y35" i="2"/>
  <c r="Q31" i="2"/>
  <c r="EC32" i="2"/>
  <c r="AT29" i="2" l="1"/>
  <c r="BJ29" i="2"/>
  <c r="AD29" i="2"/>
  <c r="ET29" i="2"/>
  <c r="BB29" i="2"/>
  <c r="V29" i="2"/>
  <c r="AX29" i="2"/>
  <c r="DB29" i="2"/>
  <c r="Z29" i="2"/>
  <c r="N29" i="2"/>
  <c r="AP29" i="2"/>
  <c r="AL29" i="2"/>
  <c r="CH29" i="2"/>
  <c r="BF29" i="2"/>
  <c r="CX29" i="2"/>
  <c r="CT29" i="2"/>
  <c r="DF29" i="2"/>
  <c r="DV29" i="2"/>
  <c r="AH29" i="2"/>
  <c r="CL29" i="2"/>
  <c r="DR29" i="2"/>
  <c r="DZ29" i="2"/>
  <c r="CP29" i="2"/>
  <c r="EH29" i="2"/>
  <c r="DJ29" i="2"/>
  <c r="CD29" i="2"/>
  <c r="EV30" i="2"/>
  <c r="DN30" i="2" s="1"/>
  <c r="BZ29" i="2"/>
  <c r="ED29" i="2"/>
  <c r="J29" i="2"/>
  <c r="EP29" i="2"/>
  <c r="R29" i="2"/>
  <c r="EL29" i="2"/>
  <c r="EC33" i="2"/>
  <c r="ES35" i="2"/>
  <c r="I34" i="2"/>
  <c r="M32" i="2"/>
  <c r="DI32" i="2"/>
  <c r="AW35" i="2"/>
  <c r="DQ34" i="2"/>
  <c r="AC34" i="2"/>
  <c r="Y36" i="2"/>
  <c r="BY34" i="2"/>
  <c r="BE36" i="2"/>
  <c r="DU32" i="2"/>
  <c r="CS34" i="2"/>
  <c r="AK34" i="2"/>
  <c r="DY33" i="2"/>
  <c r="DA32" i="2"/>
  <c r="BA32" i="2"/>
  <c r="AO34" i="2"/>
  <c r="CW34" i="2"/>
  <c r="DE35" i="2"/>
  <c r="EL30" i="2"/>
  <c r="AH30" i="2"/>
  <c r="Q32" i="2"/>
  <c r="AS33" i="2"/>
  <c r="EG31" i="2"/>
  <c r="U32" i="2"/>
  <c r="EO31" i="2"/>
  <c r="EK32" i="2"/>
  <c r="BI33" i="2"/>
  <c r="AG32" i="2"/>
  <c r="DZ30" i="2" l="1"/>
  <c r="DB30" i="2"/>
  <c r="DR30" i="2"/>
  <c r="R30" i="2"/>
  <c r="AX30" i="2"/>
  <c r="EP30" i="2"/>
  <c r="ET30" i="2"/>
  <c r="Z30" i="2"/>
  <c r="EV31" i="2"/>
  <c r="DN31" i="2" s="1"/>
  <c r="CP30" i="2"/>
  <c r="DJ30" i="2"/>
  <c r="V30" i="2"/>
  <c r="BB30" i="2"/>
  <c r="BJ30" i="2"/>
  <c r="N30" i="2"/>
  <c r="EH30" i="2"/>
  <c r="ED30" i="2"/>
  <c r="CX30" i="2"/>
  <c r="AD30" i="2"/>
  <c r="J30" i="2"/>
  <c r="AP30" i="2"/>
  <c r="CT30" i="2"/>
  <c r="AT30" i="2"/>
  <c r="BZ30" i="2"/>
  <c r="CH30" i="2"/>
  <c r="AL30" i="2"/>
  <c r="DF30" i="2"/>
  <c r="CL30" i="2"/>
  <c r="BF30" i="2"/>
  <c r="CD30" i="2"/>
  <c r="DV30" i="2"/>
  <c r="DY34" i="2"/>
  <c r="DU33" i="2"/>
  <c r="AW36" i="2"/>
  <c r="ES36" i="2"/>
  <c r="AO35" i="2"/>
  <c r="BE37" i="2"/>
  <c r="BI34" i="2"/>
  <c r="BA33" i="2"/>
  <c r="BY35" i="2"/>
  <c r="DI33" i="2"/>
  <c r="EG32" i="2"/>
  <c r="AS34" i="2"/>
  <c r="AK35" i="2"/>
  <c r="EO32" i="2"/>
  <c r="AC35" i="2"/>
  <c r="M33" i="2"/>
  <c r="EK33" i="2"/>
  <c r="Q33" i="2"/>
  <c r="DE36" i="2"/>
  <c r="DA33" i="2"/>
  <c r="CS35" i="2"/>
  <c r="Y37" i="2"/>
  <c r="AG33" i="2"/>
  <c r="U33" i="2"/>
  <c r="CW35" i="2"/>
  <c r="DQ35" i="2"/>
  <c r="I35" i="2"/>
  <c r="EC34" i="2"/>
  <c r="CH31" i="2" l="1"/>
  <c r="ET31" i="2"/>
  <c r="AX31" i="2"/>
  <c r="BF31" i="2"/>
  <c r="CL31" i="2"/>
  <c r="CX31" i="2"/>
  <c r="DF31" i="2"/>
  <c r="AT31" i="2"/>
  <c r="N31" i="2"/>
  <c r="DR31" i="2"/>
  <c r="DV31" i="2"/>
  <c r="BB31" i="2"/>
  <c r="AP31" i="2"/>
  <c r="DB31" i="2"/>
  <c r="ED31" i="2"/>
  <c r="DJ31" i="2"/>
  <c r="EL31" i="2"/>
  <c r="EH31" i="2"/>
  <c r="AD31" i="2"/>
  <c r="AH31" i="2"/>
  <c r="Z31" i="2"/>
  <c r="J31" i="2"/>
  <c r="R31" i="2"/>
  <c r="AL31" i="2"/>
  <c r="CD31" i="2"/>
  <c r="EV32" i="2"/>
  <c r="DN32" i="2" s="1"/>
  <c r="EP31" i="2"/>
  <c r="DZ31" i="2"/>
  <c r="CT31" i="2"/>
  <c r="BJ31" i="2"/>
  <c r="BZ31" i="2"/>
  <c r="CP31" i="2"/>
  <c r="V31" i="2"/>
  <c r="EO33" i="2"/>
  <c r="BE38" i="2"/>
  <c r="AS35" i="2"/>
  <c r="BA34" i="2"/>
  <c r="AO36" i="2"/>
  <c r="Z32" i="2"/>
  <c r="EC35" i="2"/>
  <c r="CS36" i="2"/>
  <c r="U34" i="2"/>
  <c r="M34" i="2"/>
  <c r="EG33" i="2"/>
  <c r="DA34" i="2"/>
  <c r="ES37" i="2"/>
  <c r="DU34" i="2"/>
  <c r="DE37" i="2"/>
  <c r="AC36" i="2"/>
  <c r="DI34" i="2"/>
  <c r="BI35" i="2"/>
  <c r="AW37" i="2"/>
  <c r="EK34" i="2"/>
  <c r="I36" i="2"/>
  <c r="Q34" i="2"/>
  <c r="AK36" i="2"/>
  <c r="BY36" i="2"/>
  <c r="DY35" i="2"/>
  <c r="CW36" i="2"/>
  <c r="AG34" i="2"/>
  <c r="DQ36" i="2"/>
  <c r="Y38" i="2"/>
  <c r="EP32" i="2" l="1"/>
  <c r="CT32" i="2"/>
  <c r="AL32" i="2"/>
  <c r="AD32" i="2"/>
  <c r="BF32" i="2"/>
  <c r="N32" i="2"/>
  <c r="EV33" i="2"/>
  <c r="DN33" i="2" s="1"/>
  <c r="CH32" i="2"/>
  <c r="CD32" i="2"/>
  <c r="BJ32" i="2"/>
  <c r="DV32" i="2"/>
  <c r="DJ32" i="2"/>
  <c r="ED32" i="2"/>
  <c r="AP32" i="2"/>
  <c r="EH32" i="2"/>
  <c r="AH32" i="2"/>
  <c r="BB32" i="2"/>
  <c r="CP32" i="2"/>
  <c r="CX32" i="2"/>
  <c r="J32" i="2"/>
  <c r="V32" i="2"/>
  <c r="DB32" i="2"/>
  <c r="AT32" i="2"/>
  <c r="DZ32" i="2"/>
  <c r="EL32" i="2"/>
  <c r="ET32" i="2"/>
  <c r="R32" i="2"/>
  <c r="DR32" i="2"/>
  <c r="AX32" i="2"/>
  <c r="BZ32" i="2"/>
  <c r="DF32" i="2"/>
  <c r="CL32" i="2"/>
  <c r="DQ37" i="2"/>
  <c r="EK35" i="2"/>
  <c r="U35" i="2"/>
  <c r="EC36" i="2"/>
  <c r="DA35" i="2"/>
  <c r="BA35" i="2"/>
  <c r="DE38" i="2"/>
  <c r="CS37" i="2"/>
  <c r="AS36" i="2"/>
  <c r="AW38" i="2"/>
  <c r="AK37" i="2"/>
  <c r="CW37" i="2"/>
  <c r="Q35" i="2"/>
  <c r="EG34" i="2"/>
  <c r="AG35" i="2"/>
  <c r="DY36" i="2"/>
  <c r="I37" i="2"/>
  <c r="BI36" i="2"/>
  <c r="DU35" i="2"/>
  <c r="BE39" i="2"/>
  <c r="BE40" i="2" s="1"/>
  <c r="Y39" i="2"/>
  <c r="Y40" i="2" s="1"/>
  <c r="ES38" i="2"/>
  <c r="M35" i="2"/>
  <c r="AC37" i="2"/>
  <c r="BY37" i="2"/>
  <c r="DI35" i="2"/>
  <c r="AO37" i="2"/>
  <c r="EO34" i="2"/>
  <c r="BB33" i="2" l="1"/>
  <c r="V33" i="2"/>
  <c r="EL33" i="2"/>
  <c r="BF33" i="2"/>
  <c r="ET33" i="2"/>
  <c r="CT33" i="2"/>
  <c r="CP33" i="2"/>
  <c r="EV34" i="2"/>
  <c r="DN34" i="2" s="1"/>
  <c r="DZ33" i="2"/>
  <c r="CX33" i="2"/>
  <c r="AL33" i="2"/>
  <c r="DJ33" i="2"/>
  <c r="EH33" i="2"/>
  <c r="BZ33" i="2"/>
  <c r="CD33" i="2"/>
  <c r="DR33" i="2"/>
  <c r="R33" i="2"/>
  <c r="AT33" i="2"/>
  <c r="EP33" i="2"/>
  <c r="ED33" i="2"/>
  <c r="J33" i="2"/>
  <c r="BJ33" i="2"/>
  <c r="AX33" i="2"/>
  <c r="CL33" i="2"/>
  <c r="DB33" i="2"/>
  <c r="AP33" i="2"/>
  <c r="DF33" i="2"/>
  <c r="CH33" i="2"/>
  <c r="N33" i="2"/>
  <c r="AH33" i="2"/>
  <c r="AD33" i="2"/>
  <c r="Z33" i="2"/>
  <c r="DV33" i="2"/>
  <c r="EG35" i="2"/>
  <c r="CS38" i="2"/>
  <c r="EC37" i="2"/>
  <c r="M36" i="2"/>
  <c r="DI36" i="2"/>
  <c r="DY37" i="2"/>
  <c r="Q36" i="2"/>
  <c r="AG36" i="2"/>
  <c r="DE39" i="2"/>
  <c r="DE40" i="2" s="1"/>
  <c r="U36" i="2"/>
  <c r="DU36" i="2"/>
  <c r="CW38" i="2"/>
  <c r="AW39" i="2"/>
  <c r="AW40" i="2" s="1"/>
  <c r="EO35" i="2"/>
  <c r="BA36" i="2"/>
  <c r="EK36" i="2"/>
  <c r="ES39" i="2"/>
  <c r="ES40" i="2" s="1"/>
  <c r="BY38" i="2"/>
  <c r="BI37" i="2"/>
  <c r="AK38" i="2"/>
  <c r="DQ38" i="2"/>
  <c r="AO38" i="2"/>
  <c r="AC38" i="2"/>
  <c r="I38" i="2"/>
  <c r="AS37" i="2"/>
  <c r="DA36" i="2"/>
  <c r="CX34" i="2" l="1"/>
  <c r="ED34" i="2"/>
  <c r="EL34" i="2"/>
  <c r="DB34" i="2"/>
  <c r="BB34" i="2"/>
  <c r="BZ34" i="2"/>
  <c r="EP34" i="2"/>
  <c r="AX34" i="2"/>
  <c r="DZ34" i="2"/>
  <c r="N34" i="2"/>
  <c r="EH34" i="2"/>
  <c r="DJ34" i="2"/>
  <c r="ET34" i="2"/>
  <c r="Z34" i="2"/>
  <c r="CT34" i="2"/>
  <c r="CP34" i="2"/>
  <c r="CH34" i="2"/>
  <c r="DF34" i="2"/>
  <c r="AL34" i="2"/>
  <c r="EV35" i="2"/>
  <c r="DN35" i="2" s="1"/>
  <c r="CL34" i="2"/>
  <c r="V34" i="2"/>
  <c r="AP34" i="2"/>
  <c r="R34" i="2"/>
  <c r="AH34" i="2"/>
  <c r="AD34" i="2"/>
  <c r="BJ34" i="2"/>
  <c r="J34" i="2"/>
  <c r="CD34" i="2"/>
  <c r="AT34" i="2"/>
  <c r="DR34" i="2"/>
  <c r="BF34" i="2"/>
  <c r="DV34" i="2"/>
  <c r="DI37" i="2"/>
  <c r="EO36" i="2"/>
  <c r="DQ39" i="2"/>
  <c r="DQ40" i="2" s="1"/>
  <c r="BY39" i="2"/>
  <c r="BY40" i="2" s="1"/>
  <c r="AG37" i="2"/>
  <c r="EC38" i="2"/>
  <c r="I39" i="2"/>
  <c r="I40" i="2" s="1"/>
  <c r="DU37" i="2"/>
  <c r="M37" i="2"/>
  <c r="AC39" i="2"/>
  <c r="AC40" i="2" s="1"/>
  <c r="AO39" i="2"/>
  <c r="AO40" i="2" s="1"/>
  <c r="Q37" i="2"/>
  <c r="CS39" i="2"/>
  <c r="CS40" i="2" s="1"/>
  <c r="BI38" i="2"/>
  <c r="DA37" i="2"/>
  <c r="AS38" i="2"/>
  <c r="EG36" i="2"/>
  <c r="BA37" i="2"/>
  <c r="CW39" i="2"/>
  <c r="CW40" i="2" s="1"/>
  <c r="AK39" i="2"/>
  <c r="AK40" i="2" s="1"/>
  <c r="EK37" i="2"/>
  <c r="U37" i="2"/>
  <c r="DY38" i="2"/>
  <c r="AP35" i="2" l="1"/>
  <c r="DZ35" i="2"/>
  <c r="DR35" i="2"/>
  <c r="EV36" i="2"/>
  <c r="DN36" i="2" s="1"/>
  <c r="CP35" i="2"/>
  <c r="BB35" i="2"/>
  <c r="EH35" i="2"/>
  <c r="EL35" i="2"/>
  <c r="EP35" i="2"/>
  <c r="DB35" i="2"/>
  <c r="DJ35" i="2"/>
  <c r="CT35" i="2"/>
  <c r="CX35" i="2"/>
  <c r="J35" i="2"/>
  <c r="ET35" i="2"/>
  <c r="BJ35" i="2"/>
  <c r="CH35" i="2"/>
  <c r="R35" i="2"/>
  <c r="DV35" i="2"/>
  <c r="AT35" i="2"/>
  <c r="DF35" i="2"/>
  <c r="AH35" i="2"/>
  <c r="N35" i="2"/>
  <c r="V35" i="2"/>
  <c r="BZ35" i="2"/>
  <c r="BF35" i="2"/>
  <c r="AD35" i="2"/>
  <c r="AX35" i="2"/>
  <c r="CL35" i="2"/>
  <c r="ED35" i="2"/>
  <c r="AL35" i="2"/>
  <c r="Z35" i="2"/>
  <c r="CD35" i="2"/>
  <c r="DU38" i="2"/>
  <c r="DI38" i="2"/>
  <c r="BI39" i="2"/>
  <c r="BI40" i="2" s="1"/>
  <c r="AP36" i="2"/>
  <c r="DY39" i="2"/>
  <c r="DY40" i="2" s="1"/>
  <c r="EC39" i="2"/>
  <c r="EC40" i="2" s="1"/>
  <c r="M38" i="2"/>
  <c r="EO37" i="2"/>
  <c r="DA38" i="2"/>
  <c r="U38" i="2"/>
  <c r="EG37" i="2"/>
  <c r="BA38" i="2"/>
  <c r="EK38" i="2"/>
  <c r="AS39" i="2"/>
  <c r="AS40" i="2" s="1"/>
  <c r="Q38" i="2"/>
  <c r="AG38" i="2"/>
  <c r="AT36" i="2" l="1"/>
  <c r="BF36" i="2"/>
  <c r="DZ36" i="2"/>
  <c r="EH36" i="2"/>
  <c r="BB36" i="2"/>
  <c r="ED36" i="2"/>
  <c r="AH36" i="2"/>
  <c r="EL36" i="2"/>
  <c r="AD36" i="2"/>
  <c r="DR36" i="2"/>
  <c r="Z36" i="2"/>
  <c r="BJ36" i="2"/>
  <c r="EV37" i="2"/>
  <c r="DN37" i="2" s="1"/>
  <c r="CH36" i="2"/>
  <c r="DV36" i="2"/>
  <c r="AL36" i="2"/>
  <c r="CP36" i="2"/>
  <c r="CL36" i="2"/>
  <c r="BZ36" i="2"/>
  <c r="AX36" i="2"/>
  <c r="CD36" i="2"/>
  <c r="EP36" i="2"/>
  <c r="CT36" i="2"/>
  <c r="DF36" i="2"/>
  <c r="DB36" i="2"/>
  <c r="J36" i="2"/>
  <c r="N36" i="2"/>
  <c r="DJ36" i="2"/>
  <c r="R36" i="2"/>
  <c r="CX36" i="2"/>
  <c r="ET36" i="2"/>
  <c r="V36" i="2"/>
  <c r="AG39" i="2"/>
  <c r="AG40" i="2" s="1"/>
  <c r="DA39" i="2"/>
  <c r="DA40" i="2" s="1"/>
  <c r="EO38" i="2"/>
  <c r="Q39" i="2"/>
  <c r="Q40" i="2" s="1"/>
  <c r="DI39" i="2"/>
  <c r="DI40" i="2" s="1"/>
  <c r="M39" i="2"/>
  <c r="M40" i="2" s="1"/>
  <c r="DU39" i="2"/>
  <c r="DU40" i="2" s="1"/>
  <c r="BA39" i="2"/>
  <c r="BA40" i="2" s="1"/>
  <c r="EG38" i="2"/>
  <c r="EK39" i="2"/>
  <c r="EK40" i="2" s="1"/>
  <c r="U39" i="2"/>
  <c r="U40" i="2" s="1"/>
  <c r="AL37" i="2" l="1"/>
  <c r="DV37" i="2"/>
  <c r="BB37" i="2"/>
  <c r="AT37" i="2"/>
  <c r="V37" i="2"/>
  <c r="DR37" i="2"/>
  <c r="J37" i="2"/>
  <c r="N37" i="2"/>
  <c r="R37" i="2"/>
  <c r="ET37" i="2"/>
  <c r="CX37" i="2"/>
  <c r="Z37" i="2"/>
  <c r="DF37" i="2"/>
  <c r="EL37" i="2"/>
  <c r="CT37" i="2"/>
  <c r="CH37" i="2"/>
  <c r="AH37" i="2"/>
  <c r="CD37" i="2"/>
  <c r="AD37" i="2"/>
  <c r="DJ37" i="2"/>
  <c r="BZ37" i="2"/>
  <c r="EV38" i="2"/>
  <c r="DN38" i="2" s="1"/>
  <c r="EP37" i="2"/>
  <c r="CL37" i="2"/>
  <c r="AX37" i="2"/>
  <c r="BF37" i="2"/>
  <c r="EH37" i="2"/>
  <c r="DZ37" i="2"/>
  <c r="DB37" i="2"/>
  <c r="BJ37" i="2"/>
  <c r="ED37" i="2"/>
  <c r="AP37" i="2"/>
  <c r="CP37" i="2"/>
  <c r="EO39" i="2"/>
  <c r="EO40" i="2" s="1"/>
  <c r="EG39" i="2"/>
  <c r="EG40" i="2" s="1"/>
  <c r="EV39" i="2" l="1"/>
  <c r="EV40" i="2" s="1"/>
  <c r="CD40" i="2" s="1"/>
  <c r="R38" i="2"/>
  <c r="DZ38" i="2"/>
  <c r="CT38" i="2"/>
  <c r="CH38" i="2"/>
  <c r="AL38" i="2"/>
  <c r="CP38" i="2"/>
  <c r="DJ38" i="2"/>
  <c r="AP38" i="2"/>
  <c r="DB38" i="2"/>
  <c r="BB38" i="2"/>
  <c r="EL38" i="2"/>
  <c r="J38" i="2"/>
  <c r="DR38" i="2"/>
  <c r="N38" i="2"/>
  <c r="DF38" i="2"/>
  <c r="CD38" i="2"/>
  <c r="CX38" i="2"/>
  <c r="V38" i="2"/>
  <c r="EP38" i="2"/>
  <c r="BZ38" i="2"/>
  <c r="Z38" i="2"/>
  <c r="DV38" i="2"/>
  <c r="AT38" i="2"/>
  <c r="ED38" i="2"/>
  <c r="CL38" i="2"/>
  <c r="EH38" i="2"/>
  <c r="ET38" i="2"/>
  <c r="AX38" i="2"/>
  <c r="BJ38" i="2"/>
  <c r="AD38" i="2"/>
  <c r="BF38" i="2"/>
  <c r="AH38" i="2"/>
  <c r="DR39" i="2"/>
  <c r="R39" i="2"/>
  <c r="DF39" i="2" l="1"/>
  <c r="AH39" i="2"/>
  <c r="AX39" i="2"/>
  <c r="Z39" i="2"/>
  <c r="DB39" i="2"/>
  <c r="BB39" i="2"/>
  <c r="J39" i="2"/>
  <c r="EP39" i="2"/>
  <c r="AT39" i="2"/>
  <c r="CH39" i="2"/>
  <c r="EL39" i="2"/>
  <c r="DZ39" i="2"/>
  <c r="CP39" i="2"/>
  <c r="DJ39" i="2"/>
  <c r="CL39" i="2"/>
  <c r="DV39" i="2"/>
  <c r="EH39" i="2"/>
  <c r="AD39" i="2"/>
  <c r="CT39" i="2"/>
  <c r="CX39" i="2"/>
  <c r="BJ39" i="2"/>
  <c r="AP39" i="2"/>
  <c r="ED39" i="2"/>
  <c r="AL39" i="2"/>
  <c r="CD39" i="2"/>
  <c r="V39" i="2"/>
  <c r="BZ39" i="2"/>
  <c r="ET39" i="2"/>
  <c r="N39" i="2"/>
  <c r="DN39" i="2"/>
  <c r="BF39" i="2"/>
  <c r="CP40" i="2"/>
  <c r="V40" i="2"/>
  <c r="AD40" i="2"/>
  <c r="ET40" i="2"/>
  <c r="EP40" i="2"/>
  <c r="CT40" i="2"/>
  <c r="DF40" i="2"/>
  <c r="DB40" i="2"/>
  <c r="EL40" i="2"/>
  <c r="EH40" i="2"/>
  <c r="AL40" i="2"/>
  <c r="BF40" i="2"/>
  <c r="BB40" i="2"/>
  <c r="BJ40" i="2"/>
  <c r="AP40" i="2"/>
  <c r="Z40" i="2"/>
  <c r="R40" i="2"/>
  <c r="ED40" i="2"/>
  <c r="CL40" i="2"/>
  <c r="N40" i="2"/>
  <c r="AX40" i="2"/>
  <c r="BZ40" i="2"/>
  <c r="DZ40" i="2"/>
  <c r="CX40" i="2"/>
  <c r="CH40" i="2"/>
  <c r="DJ40" i="2"/>
  <c r="AH40" i="2"/>
  <c r="DR40" i="2"/>
  <c r="AT40" i="2"/>
  <c r="J40" i="2"/>
  <c r="DV40" i="2"/>
  <c r="DN40" i="2"/>
  <c r="AF39" i="50" l="1"/>
  <c r="AE39" i="50"/>
  <c r="AD39" i="50"/>
  <c r="AC39" i="50"/>
  <c r="AB39" i="50"/>
  <c r="AA39" i="50"/>
  <c r="Z39" i="50"/>
  <c r="Y39" i="50"/>
  <c r="X39" i="50"/>
  <c r="W39" i="50"/>
  <c r="V39" i="50"/>
  <c r="U39" i="50"/>
  <c r="T39" i="50"/>
  <c r="S39" i="50"/>
  <c r="R39" i="50"/>
  <c r="Q39" i="50"/>
  <c r="P39" i="50"/>
  <c r="O39" i="50"/>
  <c r="N39" i="50"/>
  <c r="M39" i="50"/>
  <c r="L39" i="50"/>
  <c r="K39" i="50"/>
  <c r="J39" i="50"/>
  <c r="I39" i="50"/>
  <c r="H39" i="50"/>
  <c r="G39" i="50"/>
  <c r="F39" i="50"/>
  <c r="E39" i="50"/>
  <c r="D39" i="50"/>
  <c r="C39" i="50"/>
  <c r="B39" i="50"/>
  <c r="AG37" i="50"/>
  <c r="AG36" i="50"/>
  <c r="AG35" i="50"/>
  <c r="AG34" i="50"/>
  <c r="AG33" i="50"/>
  <c r="AG32" i="50"/>
  <c r="AG31" i="50"/>
  <c r="AG30" i="50"/>
  <c r="AG29" i="50"/>
  <c r="AG28" i="50"/>
  <c r="AG27" i="50"/>
  <c r="AG26" i="50"/>
  <c r="AG25" i="50"/>
  <c r="AG24" i="50"/>
  <c r="AG23" i="50"/>
  <c r="AG22" i="50"/>
  <c r="AG21" i="50"/>
  <c r="AG20" i="50"/>
  <c r="AG19" i="50"/>
  <c r="AG18" i="50"/>
  <c r="AG17" i="50"/>
  <c r="AG16" i="50"/>
  <c r="AG15" i="50"/>
  <c r="AG14" i="50"/>
  <c r="AG13" i="50"/>
  <c r="AG12" i="50"/>
  <c r="AG11" i="50"/>
  <c r="AG10" i="50"/>
  <c r="AG9" i="50"/>
  <c r="AG8" i="50"/>
  <c r="AG7" i="50"/>
  <c r="AG6" i="50"/>
  <c r="AG39" i="50" l="1"/>
  <c r="AH21" i="50" s="1"/>
  <c r="AH19" i="50" l="1"/>
  <c r="AH33" i="50"/>
  <c r="AH35" i="50"/>
  <c r="AH13" i="50"/>
  <c r="AH9" i="50"/>
  <c r="AH12" i="50"/>
  <c r="AH16" i="50"/>
  <c r="AH28" i="50"/>
  <c r="AH14" i="50"/>
  <c r="AH22" i="50"/>
  <c r="AH29" i="50"/>
  <c r="AH11" i="50"/>
  <c r="AH30" i="50"/>
  <c r="AH27" i="50"/>
  <c r="AH34" i="50"/>
  <c r="AH32" i="50"/>
  <c r="AH17" i="50"/>
  <c r="AH25" i="50"/>
  <c r="AH37" i="50"/>
  <c r="AH10" i="50"/>
  <c r="AH15" i="50"/>
  <c r="AH23" i="50"/>
  <c r="AH31" i="50"/>
  <c r="AH7" i="50"/>
  <c r="AH24" i="50"/>
  <c r="AH36" i="50"/>
  <c r="AH8" i="50"/>
  <c r="AH20" i="50"/>
  <c r="AH6" i="50"/>
  <c r="AH18" i="50"/>
  <c r="AH26" i="50"/>
  <c r="AH39" i="50" l="1"/>
  <c r="C43" i="9" l="1"/>
  <c r="G42" i="11" l="1"/>
  <c r="I37" i="11" s="1"/>
  <c r="F42" i="11"/>
  <c r="C43" i="11"/>
  <c r="C43" i="12" l="1"/>
  <c r="C43" i="15" l="1"/>
  <c r="C43" i="19" l="1"/>
  <c r="C43" i="20" l="1"/>
  <c r="C43" i="23" l="1"/>
  <c r="C43" i="26" l="1"/>
  <c r="C38" i="24"/>
  <c r="C43" i="25"/>
  <c r="C43" i="28" l="1"/>
  <c r="C43" i="30" l="1"/>
  <c r="C43" i="33" l="1"/>
  <c r="D9" i="39"/>
  <c r="E9" i="39" l="1"/>
  <c r="F9" i="39" s="1"/>
  <c r="C43" i="31" l="1"/>
  <c r="K40" i="39" l="1"/>
  <c r="M8" i="33" l="1"/>
  <c r="D39" i="39"/>
  <c r="G42" i="4"/>
  <c r="I37" i="4" s="1"/>
  <c r="F42" i="4"/>
  <c r="D38" i="39" s="1"/>
  <c r="F32" i="4"/>
  <c r="K34" i="37"/>
  <c r="D37" i="39"/>
  <c r="D36" i="39"/>
  <c r="D35" i="39"/>
  <c r="G42" i="9"/>
  <c r="I37" i="9" s="1"/>
  <c r="F42" i="9"/>
  <c r="D33" i="39" s="1"/>
  <c r="D32" i="39"/>
  <c r="G42" i="12"/>
  <c r="I37" i="12" s="1"/>
  <c r="F42" i="12"/>
  <c r="D30" i="39" s="1"/>
  <c r="G42" i="14"/>
  <c r="I37" i="14" s="1"/>
  <c r="F42" i="14"/>
  <c r="D28" i="39" s="1"/>
  <c r="J40" i="39"/>
  <c r="P28" i="39"/>
  <c r="P29" i="39"/>
  <c r="B28" i="45" s="1"/>
  <c r="P30" i="39"/>
  <c r="B29" i="45" s="1"/>
  <c r="P31" i="39"/>
  <c r="H31" i="39" s="1"/>
  <c r="P32" i="39"/>
  <c r="B31" i="45" s="1"/>
  <c r="P33" i="39"/>
  <c r="B32" i="45" s="1"/>
  <c r="P34" i="39"/>
  <c r="B33" i="45" s="1"/>
  <c r="P35" i="39"/>
  <c r="B34" i="45" s="1"/>
  <c r="P36" i="39"/>
  <c r="P37" i="39"/>
  <c r="B36" i="45" s="1"/>
  <c r="BB37" i="39"/>
  <c r="P38" i="39"/>
  <c r="P39" i="39"/>
  <c r="BB39" i="39"/>
  <c r="E27" i="39"/>
  <c r="D24" i="39"/>
  <c r="E35" i="39"/>
  <c r="E34" i="39"/>
  <c r="D34" i="39"/>
  <c r="E32" i="39"/>
  <c r="D31" i="39"/>
  <c r="E29" i="39"/>
  <c r="D29" i="39"/>
  <c r="D27" i="39"/>
  <c r="D26" i="39"/>
  <c r="E25" i="39"/>
  <c r="D25" i="39"/>
  <c r="E24" i="39"/>
  <c r="E14" i="39"/>
  <c r="D14" i="39"/>
  <c r="D23" i="39"/>
  <c r="E22" i="39"/>
  <c r="D22" i="39"/>
  <c r="AT22" i="39"/>
  <c r="E21" i="39"/>
  <c r="D21" i="39"/>
  <c r="E20" i="39"/>
  <c r="D20" i="39"/>
  <c r="E19" i="39"/>
  <c r="D19" i="39"/>
  <c r="E18" i="39"/>
  <c r="D18" i="39"/>
  <c r="D17" i="39"/>
  <c r="L34" i="26"/>
  <c r="K34" i="26"/>
  <c r="D16" i="39"/>
  <c r="E15" i="39"/>
  <c r="D15" i="39"/>
  <c r="E13" i="39"/>
  <c r="D13" i="39"/>
  <c r="D12" i="39"/>
  <c r="E11" i="39"/>
  <c r="D11" i="39"/>
  <c r="C10" i="1"/>
  <c r="C11" i="2" s="1"/>
  <c r="C11" i="1"/>
  <c r="C12" i="2" s="1"/>
  <c r="C12" i="1"/>
  <c r="C13" i="2" s="1"/>
  <c r="C13" i="1"/>
  <c r="C14" i="2" s="1"/>
  <c r="C14" i="1"/>
  <c r="C15" i="2" s="1"/>
  <c r="C15" i="1"/>
  <c r="C16" i="2" s="1"/>
  <c r="C16" i="1"/>
  <c r="C17" i="2" s="1"/>
  <c r="C17" i="1"/>
  <c r="C18" i="2" s="1"/>
  <c r="C18" i="1"/>
  <c r="C19" i="2" s="1"/>
  <c r="C19" i="1"/>
  <c r="C20" i="2" s="1"/>
  <c r="C20" i="1"/>
  <c r="C21" i="2" s="1"/>
  <c r="C21" i="1"/>
  <c r="C22" i="2" s="1"/>
  <c r="C22" i="1"/>
  <c r="C23" i="2" s="1"/>
  <c r="C23" i="1"/>
  <c r="C24" i="2" s="1"/>
  <c r="C24" i="1"/>
  <c r="C25" i="2" s="1"/>
  <c r="C25" i="1"/>
  <c r="C26" i="2" s="1"/>
  <c r="C26" i="1"/>
  <c r="C27" i="2" s="1"/>
  <c r="C27" i="1"/>
  <c r="C28" i="2" s="1"/>
  <c r="C28" i="1"/>
  <c r="C29" i="2" s="1"/>
  <c r="C29" i="1"/>
  <c r="C30" i="2" s="1"/>
  <c r="C30" i="1"/>
  <c r="C31" i="2" s="1"/>
  <c r="C31" i="1"/>
  <c r="C32" i="2" s="1"/>
  <c r="C32" i="1"/>
  <c r="C33" i="2" s="1"/>
  <c r="C33" i="1"/>
  <c r="C34" i="2" s="1"/>
  <c r="C34" i="1"/>
  <c r="C35" i="2" s="1"/>
  <c r="C35" i="1"/>
  <c r="C36" i="2" s="1"/>
  <c r="C36" i="1"/>
  <c r="C37" i="2" s="1"/>
  <c r="C37" i="1"/>
  <c r="C38" i="2" s="1"/>
  <c r="C38" i="1"/>
  <c r="C39" i="2" s="1"/>
  <c r="C39" i="1"/>
  <c r="C40" i="2" s="1"/>
  <c r="C9" i="1"/>
  <c r="C10" i="2" s="1"/>
  <c r="B10" i="1"/>
  <c r="B11" i="2" s="1"/>
  <c r="B11" i="1"/>
  <c r="B12" i="1"/>
  <c r="B13" i="1"/>
  <c r="B14" i="2" s="1"/>
  <c r="B14" i="1"/>
  <c r="B15" i="2" s="1"/>
  <c r="B15" i="1"/>
  <c r="B16" i="2" s="1"/>
  <c r="B16" i="1"/>
  <c r="B17" i="1"/>
  <c r="B18" i="2" s="1"/>
  <c r="B18" i="1"/>
  <c r="B19" i="1"/>
  <c r="B20" i="2" s="1"/>
  <c r="B20" i="1"/>
  <c r="B21" i="1"/>
  <c r="B22" i="2" s="1"/>
  <c r="B22" i="1"/>
  <c r="B23" i="2" s="1"/>
  <c r="B23" i="1"/>
  <c r="B24" i="2" s="1"/>
  <c r="B24" i="1"/>
  <c r="B25" i="1"/>
  <c r="B26" i="2" s="1"/>
  <c r="B26" i="1"/>
  <c r="B27" i="2" s="1"/>
  <c r="B27" i="1"/>
  <c r="B28" i="2" s="1"/>
  <c r="B28" i="1"/>
  <c r="B29" i="1"/>
  <c r="B30" i="2" s="1"/>
  <c r="B30" i="1"/>
  <c r="B31" i="2" s="1"/>
  <c r="B31" i="1"/>
  <c r="B32" i="2" s="1"/>
  <c r="B32" i="1"/>
  <c r="B33" i="1"/>
  <c r="B34" i="2" s="1"/>
  <c r="B34" i="1"/>
  <c r="B35" i="2" s="1"/>
  <c r="B35" i="1"/>
  <c r="B36" i="2" s="1"/>
  <c r="B36" i="1"/>
  <c r="B37" i="1"/>
  <c r="B38" i="2" s="1"/>
  <c r="B38" i="1"/>
  <c r="B39" i="2" s="1"/>
  <c r="B39" i="1"/>
  <c r="B40" i="2" s="1"/>
  <c r="B9" i="1"/>
  <c r="E10" i="39"/>
  <c r="D10" i="39"/>
  <c r="L46" i="43"/>
  <c r="L47" i="43" s="1"/>
  <c r="L43" i="43"/>
  <c r="L44" i="43" s="1"/>
  <c r="L43" i="4"/>
  <c r="L44" i="4" s="1"/>
  <c r="L43" i="37"/>
  <c r="L44" i="37" s="1"/>
  <c r="L43" i="6"/>
  <c r="L44" i="6" s="1"/>
  <c r="L43" i="7"/>
  <c r="L44" i="7" s="1"/>
  <c r="L43" i="8"/>
  <c r="L44" i="8" s="1"/>
  <c r="L43" i="9"/>
  <c r="L44" i="9" s="1"/>
  <c r="L43" i="10"/>
  <c r="L44" i="10" s="1"/>
  <c r="L43" i="11"/>
  <c r="L43" i="12"/>
  <c r="L44" i="12" s="1"/>
  <c r="L43" i="13"/>
  <c r="L44" i="13" s="1"/>
  <c r="L43" i="14"/>
  <c r="L44" i="14" s="1"/>
  <c r="L43" i="15"/>
  <c r="L44" i="15" s="1"/>
  <c r="L43" i="16"/>
  <c r="L44" i="16" s="1"/>
  <c r="L43" i="17"/>
  <c r="L44" i="17" s="1"/>
  <c r="L43" i="18"/>
  <c r="L44" i="18" s="1"/>
  <c r="L43" i="19"/>
  <c r="L44" i="19" s="1"/>
  <c r="L43" i="20"/>
  <c r="L44" i="20" s="1"/>
  <c r="L43" i="22"/>
  <c r="L44" i="22" s="1"/>
  <c r="L43" i="21"/>
  <c r="L44" i="21" s="1"/>
  <c r="L43" i="23"/>
  <c r="L44" i="23" s="1"/>
  <c r="L43" i="24"/>
  <c r="L44" i="24" s="1"/>
  <c r="L43" i="25"/>
  <c r="L44" i="25" s="1"/>
  <c r="L43" i="26"/>
  <c r="L44" i="26" s="1"/>
  <c r="L43" i="28"/>
  <c r="L44" i="28" s="1"/>
  <c r="L43" i="27"/>
  <c r="L44" i="27" s="1"/>
  <c r="L43" i="29"/>
  <c r="L44" i="29" s="1"/>
  <c r="L43" i="30"/>
  <c r="L44" i="30" s="1"/>
  <c r="L43" i="31"/>
  <c r="L44" i="31" s="1"/>
  <c r="L43" i="32"/>
  <c r="L44" i="32" s="1"/>
  <c r="L46" i="33"/>
  <c r="L48" i="33" s="1"/>
  <c r="L43" i="33"/>
  <c r="L44" i="33" s="1"/>
  <c r="BA10" i="39"/>
  <c r="BA11" i="39" s="1"/>
  <c r="BA12" i="39" s="1"/>
  <c r="BA13" i="39" s="1"/>
  <c r="BA14" i="39" s="1"/>
  <c r="BA15" i="39" s="1"/>
  <c r="BA16" i="39" s="1"/>
  <c r="BA17" i="39" s="1"/>
  <c r="BA18" i="39" s="1"/>
  <c r="BA19" i="39" s="1"/>
  <c r="BA20" i="39" s="1"/>
  <c r="BA21" i="39" s="1"/>
  <c r="BA22" i="39" s="1"/>
  <c r="BA23" i="39" s="1"/>
  <c r="BA24" i="39" s="1"/>
  <c r="BA25" i="39" s="1"/>
  <c r="BA26" i="39" s="1"/>
  <c r="BA27" i="39" s="1"/>
  <c r="BA28" i="39" s="1"/>
  <c r="BA29" i="39" s="1"/>
  <c r="BA30" i="39" s="1"/>
  <c r="BA31" i="39" s="1"/>
  <c r="BA32" i="39" s="1"/>
  <c r="BA33" i="39" s="1"/>
  <c r="BA34" i="39" s="1"/>
  <c r="BA35" i="39" s="1"/>
  <c r="BA36" i="39" s="1"/>
  <c r="BA37" i="39" s="1"/>
  <c r="BA38" i="39" s="1"/>
  <c r="BA39" i="39" s="1"/>
  <c r="L46" i="4"/>
  <c r="L48" i="4" s="1"/>
  <c r="L46" i="37"/>
  <c r="L48" i="37" s="1"/>
  <c r="L46" i="6"/>
  <c r="L48" i="6" s="1"/>
  <c r="L46" i="7"/>
  <c r="L48" i="7" s="1"/>
  <c r="L46" i="8"/>
  <c r="L48" i="8" s="1"/>
  <c r="L46" i="9"/>
  <c r="L48" i="9" s="1"/>
  <c r="L46" i="10"/>
  <c r="L48" i="10" s="1"/>
  <c r="L46" i="11"/>
  <c r="L48" i="11" s="1"/>
  <c r="L46" i="12"/>
  <c r="L48" i="12" s="1"/>
  <c r="L46" i="13"/>
  <c r="L48" i="13" s="1"/>
  <c r="L46" i="14"/>
  <c r="L48" i="14" s="1"/>
  <c r="L46" i="15"/>
  <c r="L48" i="15" s="1"/>
  <c r="L46" i="16"/>
  <c r="L48" i="16" s="1"/>
  <c r="L46" i="17"/>
  <c r="L48" i="17" s="1"/>
  <c r="L46" i="18"/>
  <c r="L48" i="18" s="1"/>
  <c r="L46" i="19"/>
  <c r="L48" i="19" s="1"/>
  <c r="L46" i="20"/>
  <c r="L48" i="20" s="1"/>
  <c r="L46" i="22"/>
  <c r="L46" i="21"/>
  <c r="L47" i="21" s="1"/>
  <c r="L46" i="23"/>
  <c r="L48" i="23" s="1"/>
  <c r="L46" i="24"/>
  <c r="L48" i="24" s="1"/>
  <c r="L46" i="25"/>
  <c r="L48" i="25" s="1"/>
  <c r="L46" i="26"/>
  <c r="L48" i="26" s="1"/>
  <c r="L46" i="28"/>
  <c r="L48" i="28" s="1"/>
  <c r="L46" i="27"/>
  <c r="L48" i="27" s="1"/>
  <c r="L46" i="29"/>
  <c r="L48" i="29" s="1"/>
  <c r="L46" i="30"/>
  <c r="L48" i="30" s="1"/>
  <c r="L46" i="31"/>
  <c r="L48" i="31" s="1"/>
  <c r="L46" i="32"/>
  <c r="L48" i="32" s="1"/>
  <c r="I47" i="32"/>
  <c r="I47" i="31"/>
  <c r="I47" i="27"/>
  <c r="AT15" i="39"/>
  <c r="AT17" i="39"/>
  <c r="I47" i="21"/>
  <c r="I47" i="22"/>
  <c r="AT24" i="39"/>
  <c r="I47" i="17"/>
  <c r="I47" i="16"/>
  <c r="I47" i="12"/>
  <c r="AT31" i="39"/>
  <c r="AV31" i="39" s="1"/>
  <c r="I47" i="9"/>
  <c r="AT34" i="39"/>
  <c r="I47" i="7"/>
  <c r="AT36" i="39"/>
  <c r="AV36" i="39" s="1"/>
  <c r="I47" i="37"/>
  <c r="AT38" i="39"/>
  <c r="I43" i="31"/>
  <c r="I44" i="31" s="1"/>
  <c r="I43" i="33"/>
  <c r="I44" i="33" s="1"/>
  <c r="H4" i="43"/>
  <c r="C14" i="43"/>
  <c r="D14" i="43"/>
  <c r="E14" i="43"/>
  <c r="F14" i="43"/>
  <c r="C23" i="43"/>
  <c r="D23" i="43"/>
  <c r="E23" i="43"/>
  <c r="F23" i="43"/>
  <c r="C32" i="43"/>
  <c r="D32" i="43"/>
  <c r="E32" i="43"/>
  <c r="F32" i="43"/>
  <c r="L34" i="43"/>
  <c r="C38" i="43"/>
  <c r="C39" i="43"/>
  <c r="C40" i="43"/>
  <c r="C41" i="43"/>
  <c r="C42" i="43"/>
  <c r="C43" i="43"/>
  <c r="I43" i="43"/>
  <c r="I44" i="43" s="1"/>
  <c r="C44" i="43"/>
  <c r="C45" i="43"/>
  <c r="C46" i="43"/>
  <c r="C47" i="43"/>
  <c r="C48" i="43"/>
  <c r="C49" i="43"/>
  <c r="C50" i="43"/>
  <c r="C51" i="43"/>
  <c r="H4" i="4"/>
  <c r="C14" i="4"/>
  <c r="D14" i="4"/>
  <c r="E14" i="4"/>
  <c r="F14" i="4"/>
  <c r="C23" i="4"/>
  <c r="D23" i="4"/>
  <c r="E23" i="4"/>
  <c r="F23" i="4"/>
  <c r="C32" i="4"/>
  <c r="D32" i="4"/>
  <c r="E32" i="4"/>
  <c r="L34" i="4"/>
  <c r="C39" i="4"/>
  <c r="C40" i="4"/>
  <c r="C41" i="4"/>
  <c r="C42" i="4"/>
  <c r="C43" i="4"/>
  <c r="I43" i="4"/>
  <c r="I44" i="4" s="1"/>
  <c r="C44" i="4"/>
  <c r="C45" i="4"/>
  <c r="C46" i="4"/>
  <c r="C47" i="4"/>
  <c r="C48" i="4"/>
  <c r="C49" i="4"/>
  <c r="C50" i="4"/>
  <c r="C51" i="4"/>
  <c r="H4" i="37"/>
  <c r="L34" i="37"/>
  <c r="C39" i="37"/>
  <c r="C40" i="37"/>
  <c r="C41" i="37"/>
  <c r="C42" i="37"/>
  <c r="C43" i="37"/>
  <c r="I43" i="37"/>
  <c r="I44" i="37" s="1"/>
  <c r="C44" i="37"/>
  <c r="C45" i="37"/>
  <c r="C46" i="37"/>
  <c r="C47" i="37"/>
  <c r="C48" i="37"/>
  <c r="C49" i="37"/>
  <c r="C50" i="37"/>
  <c r="C51" i="37"/>
  <c r="H4" i="6"/>
  <c r="L34" i="6"/>
  <c r="C38" i="6"/>
  <c r="C39" i="6"/>
  <c r="C40" i="6"/>
  <c r="C41" i="6"/>
  <c r="C42" i="6"/>
  <c r="C43" i="6"/>
  <c r="I43" i="6"/>
  <c r="I44" i="6" s="1"/>
  <c r="C44" i="6"/>
  <c r="C45" i="6"/>
  <c r="C46" i="6"/>
  <c r="C47" i="6"/>
  <c r="C48" i="6"/>
  <c r="C49" i="6"/>
  <c r="C50" i="6"/>
  <c r="C51" i="6"/>
  <c r="H4" i="7"/>
  <c r="L34" i="7"/>
  <c r="C38" i="7"/>
  <c r="C39" i="7"/>
  <c r="C40" i="7"/>
  <c r="C41" i="7"/>
  <c r="C42" i="7"/>
  <c r="C43" i="7"/>
  <c r="I43" i="7"/>
  <c r="I44" i="7" s="1"/>
  <c r="C44" i="7"/>
  <c r="C45" i="7"/>
  <c r="C46" i="7"/>
  <c r="C47" i="7"/>
  <c r="C48" i="7"/>
  <c r="C49" i="7"/>
  <c r="C50" i="7"/>
  <c r="C51" i="7"/>
  <c r="H4" i="8"/>
  <c r="L34" i="8"/>
  <c r="C38" i="8"/>
  <c r="C39" i="8"/>
  <c r="C40" i="8"/>
  <c r="C41" i="8"/>
  <c r="C42" i="8"/>
  <c r="C43" i="8"/>
  <c r="I43" i="8"/>
  <c r="I44" i="8" s="1"/>
  <c r="C44" i="8"/>
  <c r="C45" i="8"/>
  <c r="C46" i="8"/>
  <c r="C47" i="8"/>
  <c r="C48" i="8"/>
  <c r="C49" i="8"/>
  <c r="C50" i="8"/>
  <c r="C51" i="8"/>
  <c r="H4" i="9"/>
  <c r="K34" i="9"/>
  <c r="L34" i="9"/>
  <c r="C38" i="9"/>
  <c r="C39" i="9"/>
  <c r="C40" i="9"/>
  <c r="C41" i="9"/>
  <c r="C42" i="9"/>
  <c r="I43" i="9"/>
  <c r="I44" i="9" s="1"/>
  <c r="C44" i="9"/>
  <c r="C45" i="9"/>
  <c r="C46" i="9"/>
  <c r="C47" i="9"/>
  <c r="C48" i="9"/>
  <c r="C49" i="9"/>
  <c r="C50" i="9"/>
  <c r="C51" i="9"/>
  <c r="H4" i="10"/>
  <c r="L34" i="10"/>
  <c r="C38" i="10"/>
  <c r="C39" i="10"/>
  <c r="C40" i="10"/>
  <c r="C41" i="10"/>
  <c r="C42" i="10"/>
  <c r="C43" i="10"/>
  <c r="I43" i="10"/>
  <c r="I44" i="10" s="1"/>
  <c r="C44" i="10"/>
  <c r="C45" i="10"/>
  <c r="C46" i="10"/>
  <c r="C47" i="10"/>
  <c r="C48" i="10"/>
  <c r="C49" i="10"/>
  <c r="C50" i="10"/>
  <c r="C51" i="10"/>
  <c r="H4" i="11"/>
  <c r="L34" i="11"/>
  <c r="C38" i="11"/>
  <c r="C39" i="11"/>
  <c r="C40" i="11"/>
  <c r="C41" i="11"/>
  <c r="C42" i="11"/>
  <c r="I43" i="11"/>
  <c r="I44" i="11" s="1"/>
  <c r="C44" i="11"/>
  <c r="C45" i="11"/>
  <c r="C46" i="11"/>
  <c r="C47" i="11"/>
  <c r="C48" i="11"/>
  <c r="C49" i="11"/>
  <c r="C50" i="11"/>
  <c r="C51" i="11"/>
  <c r="H4" i="12"/>
  <c r="K34" i="12"/>
  <c r="L34" i="12"/>
  <c r="C38" i="12"/>
  <c r="C39" i="12"/>
  <c r="C40" i="12"/>
  <c r="C41" i="12"/>
  <c r="C42" i="12"/>
  <c r="I43" i="12"/>
  <c r="I44" i="12" s="1"/>
  <c r="C44" i="12"/>
  <c r="C45" i="12"/>
  <c r="C46" i="12"/>
  <c r="C47" i="12"/>
  <c r="C48" i="12"/>
  <c r="C49" i="12"/>
  <c r="C50" i="12"/>
  <c r="C51" i="12"/>
  <c r="H4" i="13"/>
  <c r="L34" i="13"/>
  <c r="C38" i="13"/>
  <c r="C39" i="13"/>
  <c r="C40" i="13"/>
  <c r="C41" i="13"/>
  <c r="C42" i="13"/>
  <c r="C43" i="13"/>
  <c r="I43" i="13"/>
  <c r="I44" i="13" s="1"/>
  <c r="C44" i="13"/>
  <c r="C45" i="13"/>
  <c r="C46" i="13"/>
  <c r="C47" i="13"/>
  <c r="C48" i="13"/>
  <c r="C49" i="13"/>
  <c r="C50" i="13"/>
  <c r="C51" i="13"/>
  <c r="H4" i="14"/>
  <c r="K34" i="14"/>
  <c r="L34" i="14"/>
  <c r="C38" i="14"/>
  <c r="C39" i="14"/>
  <c r="C40" i="14"/>
  <c r="C41" i="14"/>
  <c r="C42" i="14"/>
  <c r="C43" i="14"/>
  <c r="I43" i="14"/>
  <c r="I44" i="14" s="1"/>
  <c r="C44" i="14"/>
  <c r="C45" i="14"/>
  <c r="C46" i="14"/>
  <c r="C47" i="14"/>
  <c r="C48" i="14"/>
  <c r="C49" i="14"/>
  <c r="C50" i="14"/>
  <c r="C51" i="14"/>
  <c r="H4" i="15"/>
  <c r="K34" i="15"/>
  <c r="W105" i="54" s="1"/>
  <c r="X105" i="54" s="1"/>
  <c r="L34" i="15"/>
  <c r="C38" i="15"/>
  <c r="C39" i="15"/>
  <c r="C40" i="15"/>
  <c r="C41" i="15"/>
  <c r="C42" i="15"/>
  <c r="I43" i="15"/>
  <c r="I44" i="15" s="1"/>
  <c r="C44" i="15"/>
  <c r="C45" i="15"/>
  <c r="C46" i="15"/>
  <c r="C47" i="15"/>
  <c r="C48" i="15"/>
  <c r="C49" i="15"/>
  <c r="C50" i="15"/>
  <c r="C51" i="15"/>
  <c r="H4" i="16"/>
  <c r="L34" i="16"/>
  <c r="C38" i="16"/>
  <c r="C39" i="16"/>
  <c r="C40" i="16"/>
  <c r="C41" i="16"/>
  <c r="C42" i="16"/>
  <c r="C43" i="16"/>
  <c r="I43" i="16"/>
  <c r="I44" i="16" s="1"/>
  <c r="C44" i="16"/>
  <c r="C45" i="16"/>
  <c r="C46" i="16"/>
  <c r="C47" i="16"/>
  <c r="C48" i="16"/>
  <c r="C49" i="16"/>
  <c r="C50" i="16"/>
  <c r="C51" i="16"/>
  <c r="H4" i="17"/>
  <c r="L34" i="17"/>
  <c r="C38" i="17"/>
  <c r="C39" i="17"/>
  <c r="C40" i="17"/>
  <c r="C41" i="17"/>
  <c r="C42" i="17"/>
  <c r="C43" i="17"/>
  <c r="I43" i="17"/>
  <c r="I44" i="17" s="1"/>
  <c r="C44" i="17"/>
  <c r="C45" i="17"/>
  <c r="C46" i="17"/>
  <c r="C47" i="17"/>
  <c r="C48" i="17"/>
  <c r="C49" i="17"/>
  <c r="C50" i="17"/>
  <c r="C51" i="17"/>
  <c r="H4" i="18"/>
  <c r="L34" i="18"/>
  <c r="C38" i="18"/>
  <c r="C39" i="18"/>
  <c r="C40" i="18"/>
  <c r="C41" i="18"/>
  <c r="C42" i="18"/>
  <c r="C43" i="18"/>
  <c r="I43" i="18"/>
  <c r="I44" i="18" s="1"/>
  <c r="C44" i="18"/>
  <c r="C45" i="18"/>
  <c r="C46" i="18"/>
  <c r="C47" i="18"/>
  <c r="C48" i="18"/>
  <c r="C49" i="18"/>
  <c r="C50" i="18"/>
  <c r="C51" i="18"/>
  <c r="H4" i="19"/>
  <c r="L34" i="19"/>
  <c r="C38" i="19"/>
  <c r="C39" i="19"/>
  <c r="C40" i="19"/>
  <c r="C41" i="19"/>
  <c r="C42" i="19"/>
  <c r="I43" i="19"/>
  <c r="C44" i="19"/>
  <c r="C45" i="19"/>
  <c r="C46" i="19"/>
  <c r="C47" i="19"/>
  <c r="C48" i="19"/>
  <c r="C49" i="19"/>
  <c r="C50" i="19"/>
  <c r="C51" i="19"/>
  <c r="H4" i="20"/>
  <c r="K34" i="20"/>
  <c r="L34" i="20"/>
  <c r="C38" i="20"/>
  <c r="C39" i="20"/>
  <c r="C40" i="20"/>
  <c r="C41" i="20"/>
  <c r="C42" i="20"/>
  <c r="I43" i="20"/>
  <c r="I44" i="20" s="1"/>
  <c r="C44" i="20"/>
  <c r="C45" i="20"/>
  <c r="C46" i="20"/>
  <c r="C47" i="20"/>
  <c r="C48" i="20"/>
  <c r="C49" i="20"/>
  <c r="C50" i="20"/>
  <c r="C51" i="20"/>
  <c r="H4" i="22"/>
  <c r="K34" i="22"/>
  <c r="L34" i="22"/>
  <c r="C38" i="22"/>
  <c r="C39" i="22"/>
  <c r="C40" i="22"/>
  <c r="C41" i="22"/>
  <c r="C42" i="22"/>
  <c r="C43" i="22"/>
  <c r="I43" i="22"/>
  <c r="I44" i="22" s="1"/>
  <c r="C44" i="22"/>
  <c r="C45" i="22"/>
  <c r="C46" i="22"/>
  <c r="C47" i="22"/>
  <c r="C48" i="22"/>
  <c r="C49" i="22"/>
  <c r="C50" i="22"/>
  <c r="C51" i="22"/>
  <c r="H4" i="21"/>
  <c r="J32" i="21"/>
  <c r="J32" i="22" s="1"/>
  <c r="J32" i="20" s="1"/>
  <c r="J32" i="19" s="1"/>
  <c r="J32" i="18" s="1"/>
  <c r="J32" i="17" s="1"/>
  <c r="J32" i="16" s="1"/>
  <c r="J32" i="15" s="1"/>
  <c r="J32" i="14" s="1"/>
  <c r="J32" i="13" s="1"/>
  <c r="J32" i="12" s="1"/>
  <c r="L34" i="21"/>
  <c r="C39" i="21"/>
  <c r="C40" i="21"/>
  <c r="C41" i="21"/>
  <c r="C42" i="21"/>
  <c r="C43" i="21"/>
  <c r="C44" i="21"/>
  <c r="C45" i="21"/>
  <c r="C46" i="21"/>
  <c r="C47" i="21"/>
  <c r="C48" i="21"/>
  <c r="C49" i="21"/>
  <c r="C50" i="21"/>
  <c r="C51" i="21"/>
  <c r="H4" i="23"/>
  <c r="L34" i="23"/>
  <c r="K34" i="23"/>
  <c r="C38" i="23"/>
  <c r="C39" i="23"/>
  <c r="C40" i="23"/>
  <c r="C41" i="23"/>
  <c r="C42" i="23"/>
  <c r="I43" i="23"/>
  <c r="I44" i="23" s="1"/>
  <c r="C44" i="23"/>
  <c r="C45" i="23"/>
  <c r="C46" i="23"/>
  <c r="C47" i="23"/>
  <c r="C48" i="23"/>
  <c r="C49" i="23"/>
  <c r="C50" i="23"/>
  <c r="C51" i="23"/>
  <c r="H4" i="24"/>
  <c r="L34" i="24"/>
  <c r="C39" i="24"/>
  <c r="C40" i="24"/>
  <c r="C42" i="24"/>
  <c r="C43" i="24"/>
  <c r="I43" i="24"/>
  <c r="I44" i="24" s="1"/>
  <c r="C44" i="24"/>
  <c r="C45" i="24"/>
  <c r="C46" i="24"/>
  <c r="C47" i="24"/>
  <c r="C48" i="24"/>
  <c r="C49" i="24"/>
  <c r="C50" i="24"/>
  <c r="C51" i="24"/>
  <c r="H4" i="25"/>
  <c r="K34" i="25"/>
  <c r="L34" i="25"/>
  <c r="C38" i="25"/>
  <c r="C39" i="25"/>
  <c r="C40" i="25"/>
  <c r="C41" i="25"/>
  <c r="C42" i="25"/>
  <c r="I43" i="25"/>
  <c r="I44" i="25" s="1"/>
  <c r="C44" i="25"/>
  <c r="C45" i="25"/>
  <c r="C46" i="25"/>
  <c r="C47" i="25"/>
  <c r="C48" i="25"/>
  <c r="C49" i="25"/>
  <c r="C50" i="25"/>
  <c r="C51" i="25"/>
  <c r="H4" i="26"/>
  <c r="C38" i="26"/>
  <c r="C39" i="26"/>
  <c r="C40" i="26"/>
  <c r="C41" i="26"/>
  <c r="C42" i="26"/>
  <c r="I43" i="26"/>
  <c r="C44" i="26"/>
  <c r="C45" i="26"/>
  <c r="C46" i="26"/>
  <c r="C47" i="26"/>
  <c r="C48" i="26"/>
  <c r="C49" i="26"/>
  <c r="C50" i="26"/>
  <c r="C51" i="26"/>
  <c r="H4" i="28"/>
  <c r="K34" i="28"/>
  <c r="L34" i="28"/>
  <c r="C38" i="28"/>
  <c r="C39" i="28"/>
  <c r="C40" i="28"/>
  <c r="C41" i="28"/>
  <c r="C42" i="28"/>
  <c r="I43" i="28"/>
  <c r="I44" i="28" s="1"/>
  <c r="C44" i="28"/>
  <c r="C45" i="28"/>
  <c r="C46" i="28"/>
  <c r="C47" i="28"/>
  <c r="C48" i="28"/>
  <c r="C49" i="28"/>
  <c r="C50" i="28"/>
  <c r="C51" i="28"/>
  <c r="H4" i="27"/>
  <c r="L34" i="27"/>
  <c r="C38" i="27"/>
  <c r="C39" i="27"/>
  <c r="C40" i="27"/>
  <c r="C41" i="27"/>
  <c r="C42" i="27"/>
  <c r="C43" i="27"/>
  <c r="I43" i="27"/>
  <c r="I44" i="27" s="1"/>
  <c r="C44" i="27"/>
  <c r="C45" i="27"/>
  <c r="C46" i="27"/>
  <c r="C47" i="27"/>
  <c r="C48" i="27"/>
  <c r="C49" i="27"/>
  <c r="C50" i="27"/>
  <c r="C51" i="27"/>
  <c r="H4" i="29"/>
  <c r="H4" i="30" s="1"/>
  <c r="L34" i="29"/>
  <c r="C38" i="29"/>
  <c r="C39" i="29"/>
  <c r="C40" i="29"/>
  <c r="C41" i="29"/>
  <c r="C42" i="29"/>
  <c r="C43" i="29"/>
  <c r="I43" i="29"/>
  <c r="I44" i="29" s="1"/>
  <c r="C44" i="29"/>
  <c r="C45" i="29"/>
  <c r="C46" i="29"/>
  <c r="C47" i="29"/>
  <c r="C48" i="29"/>
  <c r="C49" i="29"/>
  <c r="C50" i="29"/>
  <c r="C51" i="29"/>
  <c r="L34" i="30"/>
  <c r="C38" i="30"/>
  <c r="C39" i="30"/>
  <c r="C40" i="30"/>
  <c r="C41" i="30"/>
  <c r="C42" i="30"/>
  <c r="I43" i="30"/>
  <c r="I44" i="30" s="1"/>
  <c r="C44" i="30"/>
  <c r="C45" i="30"/>
  <c r="C46" i="30"/>
  <c r="C47" i="30"/>
  <c r="C48" i="30"/>
  <c r="C49" i="30"/>
  <c r="C50" i="30"/>
  <c r="C51" i="30"/>
  <c r="H4" i="31"/>
  <c r="L34" i="31"/>
  <c r="C38" i="31"/>
  <c r="C39" i="31"/>
  <c r="C40" i="31"/>
  <c r="C41" i="31"/>
  <c r="C42" i="31"/>
  <c r="C44" i="31"/>
  <c r="C45" i="31"/>
  <c r="C46" i="31"/>
  <c r="C47" i="31"/>
  <c r="C48" i="31"/>
  <c r="C49" i="31"/>
  <c r="C50" i="31"/>
  <c r="C51" i="31"/>
  <c r="H4" i="32"/>
  <c r="J7" i="31"/>
  <c r="J7" i="30"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8" i="29"/>
  <c r="J9" i="32"/>
  <c r="J10" i="32"/>
  <c r="J11" i="32"/>
  <c r="J12" i="32"/>
  <c r="J12" i="31" s="1"/>
  <c r="J13" i="32"/>
  <c r="J13" i="31" s="1"/>
  <c r="J14" i="32"/>
  <c r="J14" i="31" s="1"/>
  <c r="J15" i="32"/>
  <c r="J16" i="32"/>
  <c r="J17" i="32"/>
  <c r="J17" i="31" s="1"/>
  <c r="J17" i="30" s="1"/>
  <c r="J18" i="32"/>
  <c r="J18" i="31" s="1"/>
  <c r="J19" i="32"/>
  <c r="J19" i="31" s="1"/>
  <c r="J20" i="32"/>
  <c r="J20" i="31" s="1"/>
  <c r="J21" i="32"/>
  <c r="J21" i="31" s="1"/>
  <c r="J22" i="32"/>
  <c r="J22" i="31" s="1"/>
  <c r="J23" i="32"/>
  <c r="J23" i="31" s="1"/>
  <c r="J24" i="32"/>
  <c r="J24" i="31" s="1"/>
  <c r="J25" i="32"/>
  <c r="J25" i="31" s="1"/>
  <c r="J26" i="32"/>
  <c r="J26" i="31" s="1"/>
  <c r="J27" i="32"/>
  <c r="J27" i="31" s="1"/>
  <c r="J28" i="32"/>
  <c r="J28" i="31" s="1"/>
  <c r="J29" i="32"/>
  <c r="J29" i="31" s="1"/>
  <c r="J30" i="32"/>
  <c r="J30" i="31" s="1"/>
  <c r="J31" i="32"/>
  <c r="J31" i="31" s="1"/>
  <c r="J32" i="32"/>
  <c r="J32" i="31" s="1"/>
  <c r="J32" i="30" s="1"/>
  <c r="J32" i="29" s="1"/>
  <c r="J32" i="27" s="1"/>
  <c r="J32" i="28" s="1"/>
  <c r="J32" i="26" s="1"/>
  <c r="J32" i="25" s="1"/>
  <c r="J32" i="24" s="1"/>
  <c r="J32" i="23" s="1"/>
  <c r="L34" i="32"/>
  <c r="C38" i="32"/>
  <c r="C39" i="32"/>
  <c r="C40" i="32"/>
  <c r="C41" i="32"/>
  <c r="C42" i="32"/>
  <c r="C43" i="32"/>
  <c r="I43" i="32"/>
  <c r="I44" i="32" s="1"/>
  <c r="C44" i="32"/>
  <c r="C45" i="32"/>
  <c r="C46" i="32"/>
  <c r="C47" i="32"/>
  <c r="C48" i="32"/>
  <c r="C49" i="32"/>
  <c r="C50" i="32"/>
  <c r="C51" i="32"/>
  <c r="M9" i="33"/>
  <c r="M10" i="33"/>
  <c r="M10" i="32" s="1"/>
  <c r="M10" i="31" s="1"/>
  <c r="M10" i="30"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3" i="33"/>
  <c r="M13" i="32" s="1"/>
  <c r="M13" i="31" s="1"/>
  <c r="M13" i="30"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C14" i="33"/>
  <c r="D14" i="33"/>
  <c r="E14" i="33"/>
  <c r="M14" i="33"/>
  <c r="M14" i="32" s="1"/>
  <c r="M14" i="31" s="1"/>
  <c r="M14" i="30" s="1"/>
  <c r="M14" i="29" s="1"/>
  <c r="M14" i="27" s="1"/>
  <c r="M14" i="28" s="1"/>
  <c r="M14" i="26" s="1"/>
  <c r="M14" i="25" s="1"/>
  <c r="M14" i="24" s="1"/>
  <c r="M14" i="23" s="1"/>
  <c r="M14" i="21" s="1"/>
  <c r="M14" i="22" s="1"/>
  <c r="M14" i="20" s="1"/>
  <c r="M14" i="19" s="1"/>
  <c r="M14" i="18"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7" i="33"/>
  <c r="M17" i="32" s="1"/>
  <c r="M17" i="31" s="1"/>
  <c r="M17" i="30" s="1"/>
  <c r="M17" i="29" s="1"/>
  <c r="M17" i="27" s="1"/>
  <c r="M17" i="28" s="1"/>
  <c r="M17" i="26" s="1"/>
  <c r="M17" i="25" s="1"/>
  <c r="M17" i="24" s="1"/>
  <c r="M17" i="23" s="1"/>
  <c r="M17" i="21" s="1"/>
  <c r="M17" i="22" s="1"/>
  <c r="M17" i="20" s="1"/>
  <c r="M17" i="19" s="1"/>
  <c r="M18" i="33"/>
  <c r="M18" i="32" s="1"/>
  <c r="M18" i="31" s="1"/>
  <c r="M18" i="30" s="1"/>
  <c r="M18" i="29" s="1"/>
  <c r="M18" i="27" s="1"/>
  <c r="M18" i="28" s="1"/>
  <c r="M18" i="26" s="1"/>
  <c r="M18" i="25" s="1"/>
  <c r="M18" i="24" s="1"/>
  <c r="M18" i="23" s="1"/>
  <c r="M18" i="21" s="1"/>
  <c r="M18" i="22" s="1"/>
  <c r="M18" i="20" s="1"/>
  <c r="M19" i="33"/>
  <c r="M19" i="32" s="1"/>
  <c r="M19" i="31" s="1"/>
  <c r="M19" i="30"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0" i="11" s="1"/>
  <c r="M20" i="10" s="1"/>
  <c r="M20" i="9" s="1"/>
  <c r="M20" i="8" s="1"/>
  <c r="M20" i="7" s="1"/>
  <c r="M20" i="6" s="1"/>
  <c r="M21" i="33"/>
  <c r="M21" i="32" s="1"/>
  <c r="M21" i="31" s="1"/>
  <c r="M21" i="30" s="1"/>
  <c r="M21" i="29" s="1"/>
  <c r="M21" i="27" s="1"/>
  <c r="M21" i="28" s="1"/>
  <c r="M21" i="26" s="1"/>
  <c r="M21" i="25" s="1"/>
  <c r="M21" i="24" s="1"/>
  <c r="M21" i="23" s="1"/>
  <c r="M21" i="21" s="1"/>
  <c r="M21" i="22" s="1"/>
  <c r="M21" i="20" s="1"/>
  <c r="M21" i="19" s="1"/>
  <c r="M21" i="18" s="1"/>
  <c r="M21" i="17" s="1"/>
  <c r="M21" i="16" s="1"/>
  <c r="M21" i="15" s="1"/>
  <c r="M22" i="33"/>
  <c r="M22" i="32" s="1"/>
  <c r="M22" i="31" s="1"/>
  <c r="M22" i="30" s="1"/>
  <c r="M22" i="29" s="1"/>
  <c r="M22" i="27" s="1"/>
  <c r="M22" i="28" s="1"/>
  <c r="M22" i="26" s="1"/>
  <c r="M22" i="25" s="1"/>
  <c r="M22" i="24" s="1"/>
  <c r="M22" i="23" s="1"/>
  <c r="M22" i="21" s="1"/>
  <c r="M22" i="22" s="1"/>
  <c r="M22" i="20" s="1"/>
  <c r="M22" i="19" s="1"/>
  <c r="M22" i="18" s="1"/>
  <c r="M22" i="17" s="1"/>
  <c r="M22" i="16" s="1"/>
  <c r="M22" i="15"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4" i="33"/>
  <c r="M24" i="32" s="1"/>
  <c r="M24" i="31" s="1"/>
  <c r="M24" i="30" s="1"/>
  <c r="M24" i="29" s="1"/>
  <c r="M24" i="27" s="1"/>
  <c r="M24" i="28" s="1"/>
  <c r="M24" i="26" s="1"/>
  <c r="M24" i="25" s="1"/>
  <c r="M24" i="24" s="1"/>
  <c r="M24" i="23" s="1"/>
  <c r="M24" i="21" s="1"/>
  <c r="M24" i="22" s="1"/>
  <c r="M24" i="20" s="1"/>
  <c r="M24" i="19" s="1"/>
  <c r="M24" i="18" s="1"/>
  <c r="M24" i="17" s="1"/>
  <c r="M24" i="16" s="1"/>
  <c r="M24" i="15" s="1"/>
  <c r="M25" i="33"/>
  <c r="M25" i="32" s="1"/>
  <c r="M25" i="31" s="1"/>
  <c r="M25" i="30" s="1"/>
  <c r="M25" i="29" s="1"/>
  <c r="M25" i="27" s="1"/>
  <c r="M25" i="28" s="1"/>
  <c r="M25" i="26" s="1"/>
  <c r="M25" i="25" s="1"/>
  <c r="M25" i="24" s="1"/>
  <c r="M25" i="23" s="1"/>
  <c r="M25" i="21" s="1"/>
  <c r="M25" i="22" s="1"/>
  <c r="M25" i="20" s="1"/>
  <c r="M25" i="19" s="1"/>
  <c r="M25" i="18" s="1"/>
  <c r="M25" i="17" s="1"/>
  <c r="M25" i="16" s="1"/>
  <c r="M25" i="15" s="1"/>
  <c r="M26" i="33"/>
  <c r="M26" i="32" s="1"/>
  <c r="M26" i="31" s="1"/>
  <c r="M26" i="30" s="1"/>
  <c r="M26" i="29" s="1"/>
  <c r="M26" i="27" s="1"/>
  <c r="M26" i="28" s="1"/>
  <c r="M26" i="26" s="1"/>
  <c r="M26" i="25" s="1"/>
  <c r="M26" i="24" s="1"/>
  <c r="M26" i="23" s="1"/>
  <c r="M26" i="21" s="1"/>
  <c r="M26" i="22" s="1"/>
  <c r="M26" i="20" s="1"/>
  <c r="M26" i="19" s="1"/>
  <c r="M26" i="18" s="1"/>
  <c r="M26" i="17" s="1"/>
  <c r="M26" i="16" s="1"/>
  <c r="M26" i="15" s="1"/>
  <c r="M27" i="33"/>
  <c r="M27" i="32" s="1"/>
  <c r="M27" i="31" s="1"/>
  <c r="M27" i="30" s="1"/>
  <c r="M27" i="29" s="1"/>
  <c r="M27" i="27" s="1"/>
  <c r="M27" i="28" s="1"/>
  <c r="M27" i="26" s="1"/>
  <c r="M27" i="25" s="1"/>
  <c r="M27" i="24" s="1"/>
  <c r="M27" i="23" s="1"/>
  <c r="M27" i="21" s="1"/>
  <c r="M27" i="22" s="1"/>
  <c r="M27" i="20" s="1"/>
  <c r="M27" i="19" s="1"/>
  <c r="M27" i="18" s="1"/>
  <c r="M27" i="17" s="1"/>
  <c r="M27" i="16" s="1"/>
  <c r="M27" i="15" s="1"/>
  <c r="M28" i="33"/>
  <c r="M28" i="32" s="1"/>
  <c r="M28" i="31" s="1"/>
  <c r="M28" i="30" s="1"/>
  <c r="M28" i="29" s="1"/>
  <c r="M28" i="27" s="1"/>
  <c r="M28" i="28" s="1"/>
  <c r="M28" i="26" s="1"/>
  <c r="M28" i="25" s="1"/>
  <c r="M28" i="24" s="1"/>
  <c r="M28" i="23" s="1"/>
  <c r="M28" i="21" s="1"/>
  <c r="M28" i="22" s="1"/>
  <c r="M28" i="20" s="1"/>
  <c r="M28" i="19" s="1"/>
  <c r="M28" i="18" s="1"/>
  <c r="M28" i="17" s="1"/>
  <c r="M28" i="16" s="1"/>
  <c r="M28" i="15" s="1"/>
  <c r="M29" i="33"/>
  <c r="M29" i="32" s="1"/>
  <c r="M29" i="31" s="1"/>
  <c r="M29" i="30" s="1"/>
  <c r="M29" i="29" s="1"/>
  <c r="M29" i="27" s="1"/>
  <c r="M29" i="28" s="1"/>
  <c r="M29" i="26" s="1"/>
  <c r="M29" i="25" s="1"/>
  <c r="M29" i="24" s="1"/>
  <c r="M29" i="23" s="1"/>
  <c r="M29" i="21" s="1"/>
  <c r="M29" i="22" s="1"/>
  <c r="M29" i="20" s="1"/>
  <c r="M29" i="19" s="1"/>
  <c r="M29" i="18" s="1"/>
  <c r="M29" i="17" s="1"/>
  <c r="M29" i="16" s="1"/>
  <c r="M29" i="15"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E39" i="33" s="1"/>
  <c r="C40" i="33"/>
  <c r="D40" i="33" s="1"/>
  <c r="C41" i="33"/>
  <c r="D41" i="33" s="1"/>
  <c r="E41" i="33" s="1"/>
  <c r="C42" i="33"/>
  <c r="D42" i="33" s="1"/>
  <c r="E42" i="33" s="1"/>
  <c r="D43" i="33"/>
  <c r="C44" i="33"/>
  <c r="D44" i="33" s="1"/>
  <c r="C45" i="33"/>
  <c r="D45" i="33" s="1"/>
  <c r="E45" i="33" s="1"/>
  <c r="C46" i="33"/>
  <c r="D46" i="33" s="1"/>
  <c r="C47" i="33"/>
  <c r="D47" i="33" s="1"/>
  <c r="E47" i="33" s="1"/>
  <c r="C48" i="33"/>
  <c r="D48" i="33" s="1"/>
  <c r="E48" i="33" s="1"/>
  <c r="C49" i="33"/>
  <c r="D49" i="33" s="1"/>
  <c r="J49" i="33"/>
  <c r="C50" i="33"/>
  <c r="D50" i="33" s="1"/>
  <c r="E50" i="33" s="1"/>
  <c r="C51" i="33"/>
  <c r="D51" i="33" s="1"/>
  <c r="E51" i="33" s="1"/>
  <c r="A10" i="2"/>
  <c r="A10" i="39"/>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I10" i="39"/>
  <c r="AI11" i="39" s="1"/>
  <c r="AI12" i="39" s="1"/>
  <c r="AI13" i="39" s="1"/>
  <c r="AI14" i="39" s="1"/>
  <c r="AI15" i="39" s="1"/>
  <c r="AI16" i="39" s="1"/>
  <c r="AI17" i="39" s="1"/>
  <c r="AI18" i="39" s="1"/>
  <c r="AI19" i="39" s="1"/>
  <c r="AI20" i="39" s="1"/>
  <c r="AI21" i="39" s="1"/>
  <c r="AI22" i="39" s="1"/>
  <c r="AI23" i="39" s="1"/>
  <c r="AI24" i="39" s="1"/>
  <c r="AI25" i="39" s="1"/>
  <c r="AI26" i="39" s="1"/>
  <c r="AI27" i="39" s="1"/>
  <c r="AI28" i="39" s="1"/>
  <c r="AI29" i="39" s="1"/>
  <c r="AI30" i="39" s="1"/>
  <c r="AI31" i="39" s="1"/>
  <c r="AI32" i="39" s="1"/>
  <c r="AI33" i="39" s="1"/>
  <c r="AI34" i="39" s="1"/>
  <c r="AI35" i="39" s="1"/>
  <c r="AI36" i="39" s="1"/>
  <c r="AI37" i="39" s="1"/>
  <c r="P10" i="39"/>
  <c r="B9" i="45" s="1"/>
  <c r="P11" i="39"/>
  <c r="B10" i="45" s="1"/>
  <c r="P12" i="39"/>
  <c r="B11" i="45" s="1"/>
  <c r="P13" i="39"/>
  <c r="P14" i="39"/>
  <c r="BB14" i="39" s="1"/>
  <c r="P15" i="39"/>
  <c r="B14" i="45" s="1"/>
  <c r="P16" i="39"/>
  <c r="B15" i="45" s="1"/>
  <c r="P17" i="39"/>
  <c r="B16" i="45" s="1"/>
  <c r="P18" i="39"/>
  <c r="P19" i="39"/>
  <c r="B18" i="45" s="1"/>
  <c r="P21" i="39"/>
  <c r="B20" i="45" s="1"/>
  <c r="P22" i="39"/>
  <c r="B21" i="45" s="1"/>
  <c r="P23" i="39"/>
  <c r="B22" i="45" s="1"/>
  <c r="P24" i="39"/>
  <c r="B23" i="45" s="1"/>
  <c r="P25" i="39"/>
  <c r="B24" i="45" s="1"/>
  <c r="P26" i="39"/>
  <c r="B25" i="45" s="1"/>
  <c r="P27" i="39"/>
  <c r="B26" i="45" s="1"/>
  <c r="Y41" i="39"/>
  <c r="AA41" i="39" s="1"/>
  <c r="AT39" i="39"/>
  <c r="AV39" i="39" s="1"/>
  <c r="L44" i="11"/>
  <c r="AO10" i="39"/>
  <c r="AO11" i="39" s="1"/>
  <c r="AO12" i="39" s="1"/>
  <c r="AO13" i="39" s="1"/>
  <c r="AO14" i="39" s="1"/>
  <c r="AO15" i="39" s="1"/>
  <c r="AO16" i="39" s="1"/>
  <c r="AO17" i="39" s="1"/>
  <c r="AO18" i="39" s="1"/>
  <c r="AO19" i="39" s="1"/>
  <c r="AO20" i="39" s="1"/>
  <c r="AO21" i="39" s="1"/>
  <c r="AO22" i="39" s="1"/>
  <c r="AO23" i="39" s="1"/>
  <c r="AO24" i="39" s="1"/>
  <c r="AO25" i="39" s="1"/>
  <c r="AO26" i="39" s="1"/>
  <c r="AO27" i="39" s="1"/>
  <c r="AO28" i="39" s="1"/>
  <c r="AO29" i="39" s="1"/>
  <c r="AO30" i="39" s="1"/>
  <c r="AO31" i="39" s="1"/>
  <c r="AO32" i="39" s="1"/>
  <c r="AO33" i="39" s="1"/>
  <c r="AO34" i="39" s="1"/>
  <c r="AO35" i="39" s="1"/>
  <c r="AO36" i="39" s="1"/>
  <c r="AO37" i="39" s="1"/>
  <c r="AO38" i="39" s="1"/>
  <c r="AO39" i="39" s="1"/>
  <c r="AN41" i="39"/>
  <c r="AT12" i="39"/>
  <c r="I43" i="21"/>
  <c r="I44" i="21" s="1"/>
  <c r="K34" i="21"/>
  <c r="C38" i="21"/>
  <c r="AH41" i="39"/>
  <c r="AT23" i="39"/>
  <c r="E26" i="39"/>
  <c r="BB28" i="39"/>
  <c r="BB31" i="39"/>
  <c r="BB35" i="39"/>
  <c r="H35" i="39"/>
  <c r="G35" i="39"/>
  <c r="G28" i="39"/>
  <c r="H28" i="39"/>
  <c r="BB34" i="39"/>
  <c r="BB20" i="39"/>
  <c r="G34" i="39"/>
  <c r="E12" i="39"/>
  <c r="G36" i="39"/>
  <c r="BB38" i="39"/>
  <c r="H36" i="39"/>
  <c r="BB36" i="39"/>
  <c r="E39" i="39"/>
  <c r="K34" i="43"/>
  <c r="I40" i="43" s="1"/>
  <c r="C38" i="4"/>
  <c r="E37" i="39"/>
  <c r="F37" i="39" s="1"/>
  <c r="C38" i="37"/>
  <c r="H34" i="39"/>
  <c r="K34" i="16"/>
  <c r="E23" i="39"/>
  <c r="E16" i="39"/>
  <c r="I50" i="33"/>
  <c r="J37" i="33"/>
  <c r="J39" i="33" s="1"/>
  <c r="C38" i="33"/>
  <c r="D38" i="33" s="1"/>
  <c r="E38" i="33" s="1"/>
  <c r="BB30" i="39"/>
  <c r="AZ41" i="39"/>
  <c r="AT19" i="39"/>
  <c r="I47" i="15"/>
  <c r="I47" i="13"/>
  <c r="AT32" i="39"/>
  <c r="AT18" i="39"/>
  <c r="I47" i="26"/>
  <c r="I47" i="29"/>
  <c r="AV34" i="39" l="1"/>
  <c r="F14" i="39"/>
  <c r="R39" i="39"/>
  <c r="J39" i="39" s="1"/>
  <c r="AA105" i="54"/>
  <c r="AB105" i="54" s="1"/>
  <c r="BB25" i="39"/>
  <c r="BB26" i="39"/>
  <c r="BB16" i="39"/>
  <c r="W105" i="46"/>
  <c r="AA105" i="46" s="1"/>
  <c r="G29" i="39"/>
  <c r="BB24" i="39"/>
  <c r="BB17" i="39"/>
  <c r="F32" i="39"/>
  <c r="G30" i="39"/>
  <c r="I44" i="26"/>
  <c r="I32" i="47"/>
  <c r="H30" i="39"/>
  <c r="E43" i="33"/>
  <c r="AB32" i="46"/>
  <c r="J8" i="27"/>
  <c r="J8" i="28" s="1"/>
  <c r="J8" i="26" s="1"/>
  <c r="J8" i="25" s="1"/>
  <c r="J8" i="24" s="1"/>
  <c r="J8" i="23" s="1"/>
  <c r="J8" i="21" s="1"/>
  <c r="J8" i="22" s="1"/>
  <c r="J8" i="20" s="1"/>
  <c r="J8" i="19" s="1"/>
  <c r="J8" i="18" s="1"/>
  <c r="J8" i="17" s="1"/>
  <c r="J8" i="16" s="1"/>
  <c r="J8" i="15" s="1"/>
  <c r="J8" i="14" s="1"/>
  <c r="J8" i="13" s="1"/>
  <c r="J8" i="12" s="1"/>
  <c r="J8" i="11" s="1"/>
  <c r="J8" i="10" s="1"/>
  <c r="J8" i="9" s="1"/>
  <c r="J8" i="8" s="1"/>
  <c r="J8" i="7" s="1"/>
  <c r="J8" i="6" s="1"/>
  <c r="J8" i="37" s="1"/>
  <c r="J8" i="4" s="1"/>
  <c r="J8" i="43" s="1"/>
  <c r="E49" i="33"/>
  <c r="AB38" i="46"/>
  <c r="J28" i="30"/>
  <c r="J28" i="29" s="1"/>
  <c r="J20" i="30"/>
  <c r="J20" i="29" s="1"/>
  <c r="J12" i="30"/>
  <c r="J12" i="29" s="1"/>
  <c r="J27" i="30"/>
  <c r="J27" i="29" s="1"/>
  <c r="J19" i="30"/>
  <c r="J19" i="29" s="1"/>
  <c r="J26" i="30"/>
  <c r="J26" i="29" s="1"/>
  <c r="J18" i="30"/>
  <c r="J18" i="29" s="1"/>
  <c r="J25" i="30"/>
  <c r="J25" i="29" s="1"/>
  <c r="J24" i="30"/>
  <c r="J24" i="29" s="1"/>
  <c r="J31" i="30"/>
  <c r="J31" i="29" s="1"/>
  <c r="J23" i="30"/>
  <c r="J23" i="29" s="1"/>
  <c r="J30" i="30"/>
  <c r="J30" i="29" s="1"/>
  <c r="J22" i="30"/>
  <c r="J22" i="29" s="1"/>
  <c r="J14" i="30"/>
  <c r="J14" i="29" s="1"/>
  <c r="J29" i="30"/>
  <c r="J29" i="29" s="1"/>
  <c r="J21" i="30"/>
  <c r="J21" i="29" s="1"/>
  <c r="J13" i="30"/>
  <c r="J13" i="29" s="1"/>
  <c r="I40" i="37"/>
  <c r="L45" i="37" s="1"/>
  <c r="H14" i="39"/>
  <c r="B13" i="45"/>
  <c r="BN39" i="39"/>
  <c r="F21" i="45"/>
  <c r="N21" i="45"/>
  <c r="J21" i="45"/>
  <c r="T21" i="45"/>
  <c r="Q21" i="45"/>
  <c r="H13" i="39"/>
  <c r="B12" i="45"/>
  <c r="H38" i="39"/>
  <c r="B37" i="45"/>
  <c r="AJ31" i="39"/>
  <c r="B30" i="45"/>
  <c r="J20" i="45"/>
  <c r="T20" i="45"/>
  <c r="Q20" i="45"/>
  <c r="F20" i="45"/>
  <c r="N20" i="45"/>
  <c r="F11" i="45"/>
  <c r="N11" i="45"/>
  <c r="J11" i="45"/>
  <c r="T11" i="45"/>
  <c r="Q11" i="45"/>
  <c r="J29" i="45"/>
  <c r="T29" i="45"/>
  <c r="Q29" i="45"/>
  <c r="F29" i="45"/>
  <c r="N29" i="45"/>
  <c r="T31" i="45"/>
  <c r="F31" i="45"/>
  <c r="N31" i="45"/>
  <c r="J31" i="45"/>
  <c r="Q31" i="45"/>
  <c r="N18" i="45"/>
  <c r="T18" i="45"/>
  <c r="F18" i="45"/>
  <c r="J18" i="45"/>
  <c r="Q18" i="45"/>
  <c r="T10" i="45"/>
  <c r="J10" i="45"/>
  <c r="N10" i="45"/>
  <c r="F10" i="45"/>
  <c r="Q10" i="45"/>
  <c r="J36" i="45"/>
  <c r="N36" i="45"/>
  <c r="Q36" i="45"/>
  <c r="T36" i="45"/>
  <c r="F36" i="45"/>
  <c r="J28" i="45"/>
  <c r="T28" i="45"/>
  <c r="F28" i="45"/>
  <c r="Q28" i="45"/>
  <c r="N28" i="45"/>
  <c r="J26" i="45"/>
  <c r="T26" i="45"/>
  <c r="N26" i="45"/>
  <c r="Q26" i="45"/>
  <c r="F26" i="45"/>
  <c r="AJ18" i="39"/>
  <c r="B17" i="45"/>
  <c r="J9" i="45"/>
  <c r="T9" i="45"/>
  <c r="N9" i="45"/>
  <c r="F9" i="45"/>
  <c r="Q9" i="45"/>
  <c r="B35" i="45"/>
  <c r="B27" i="45"/>
  <c r="J25" i="45"/>
  <c r="N25" i="45"/>
  <c r="T25" i="45"/>
  <c r="Q25" i="45"/>
  <c r="F25" i="45"/>
  <c r="F16" i="45"/>
  <c r="N16" i="45"/>
  <c r="J16" i="45"/>
  <c r="T16" i="45"/>
  <c r="Q16" i="45"/>
  <c r="F34" i="45"/>
  <c r="T34" i="45"/>
  <c r="N34" i="45"/>
  <c r="Q34" i="45"/>
  <c r="J34" i="45"/>
  <c r="N22" i="45"/>
  <c r="J22" i="45"/>
  <c r="Q22" i="45"/>
  <c r="T22" i="45"/>
  <c r="F22" i="45"/>
  <c r="B38" i="45"/>
  <c r="N24" i="45"/>
  <c r="F24" i="45"/>
  <c r="J24" i="45"/>
  <c r="T24" i="45"/>
  <c r="Q24" i="45"/>
  <c r="F15" i="45"/>
  <c r="T15" i="45"/>
  <c r="J15" i="45"/>
  <c r="Q15" i="45"/>
  <c r="N15" i="45"/>
  <c r="N33" i="45"/>
  <c r="J33" i="45"/>
  <c r="F33" i="45"/>
  <c r="T33" i="45"/>
  <c r="Q33" i="45"/>
  <c r="T23" i="45"/>
  <c r="Q23" i="45"/>
  <c r="J23" i="45"/>
  <c r="F23" i="45"/>
  <c r="N23" i="45"/>
  <c r="J14" i="45"/>
  <c r="F14" i="45"/>
  <c r="N14" i="45"/>
  <c r="Q14" i="45"/>
  <c r="T14" i="45"/>
  <c r="N32" i="45"/>
  <c r="F32" i="45"/>
  <c r="T32" i="45"/>
  <c r="Q32" i="45"/>
  <c r="J32" i="45"/>
  <c r="E46" i="33"/>
  <c r="G38" i="39"/>
  <c r="M28" i="14"/>
  <c r="M28" i="13" s="1"/>
  <c r="M28" i="12" s="1"/>
  <c r="M28" i="11" s="1"/>
  <c r="M28" i="10" s="1"/>
  <c r="M28" i="9" s="1"/>
  <c r="M28" i="8" s="1"/>
  <c r="M28" i="7" s="1"/>
  <c r="M28" i="6" s="1"/>
  <c r="M15" i="37"/>
  <c r="M15" i="4" s="1"/>
  <c r="M15" i="43" s="1"/>
  <c r="J11" i="31"/>
  <c r="G31" i="39"/>
  <c r="M27" i="14"/>
  <c r="M27" i="13" s="1"/>
  <c r="M27" i="12" s="1"/>
  <c r="M27" i="11" s="1"/>
  <c r="M27" i="10" s="1"/>
  <c r="M27" i="9" s="1"/>
  <c r="M27" i="8" s="1"/>
  <c r="M27" i="7" s="1"/>
  <c r="M27" i="6" s="1"/>
  <c r="M22" i="14"/>
  <c r="M22" i="13" s="1"/>
  <c r="M22" i="12" s="1"/>
  <c r="M22" i="11" s="1"/>
  <c r="M22" i="10" s="1"/>
  <c r="M22" i="9" s="1"/>
  <c r="M22" i="8" s="1"/>
  <c r="M22" i="7" s="1"/>
  <c r="M22" i="6" s="1"/>
  <c r="J10" i="31"/>
  <c r="M29" i="14"/>
  <c r="M29" i="13" s="1"/>
  <c r="M29" i="12" s="1"/>
  <c r="M29" i="11" s="1"/>
  <c r="M29" i="10" s="1"/>
  <c r="M29" i="9" s="1"/>
  <c r="M29" i="8" s="1"/>
  <c r="M29" i="7" s="1"/>
  <c r="M29" i="6" s="1"/>
  <c r="M26" i="14"/>
  <c r="M26" i="13" s="1"/>
  <c r="M26" i="12" s="1"/>
  <c r="M26" i="11" s="1"/>
  <c r="M26" i="10" s="1"/>
  <c r="M26" i="9" s="1"/>
  <c r="M26" i="8" s="1"/>
  <c r="M26" i="7" s="1"/>
  <c r="M26" i="6" s="1"/>
  <c r="M21" i="14"/>
  <c r="M21" i="13" s="1"/>
  <c r="M21" i="12" s="1"/>
  <c r="M21" i="11" s="1"/>
  <c r="M21" i="10" s="1"/>
  <c r="M21" i="9" s="1"/>
  <c r="M21" i="8" s="1"/>
  <c r="M21" i="7" s="1"/>
  <c r="M21" i="6" s="1"/>
  <c r="J17" i="29"/>
  <c r="J9" i="31"/>
  <c r="M25" i="14"/>
  <c r="M25" i="13" s="1"/>
  <c r="M25" i="12" s="1"/>
  <c r="M25" i="11" s="1"/>
  <c r="M25" i="10" s="1"/>
  <c r="M25" i="9" s="1"/>
  <c r="M25" i="8" s="1"/>
  <c r="M25" i="7" s="1"/>
  <c r="M25" i="6" s="1"/>
  <c r="M20" i="37"/>
  <c r="M20" i="4" s="1"/>
  <c r="M20" i="43" s="1"/>
  <c r="J16" i="31"/>
  <c r="M16" i="37"/>
  <c r="M16" i="4" s="1"/>
  <c r="M16" i="43" s="1"/>
  <c r="M24" i="14"/>
  <c r="M24" i="13" s="1"/>
  <c r="M24" i="12" s="1"/>
  <c r="M24" i="11" s="1"/>
  <c r="M24" i="10" s="1"/>
  <c r="M24" i="9" s="1"/>
  <c r="M24" i="8" s="1"/>
  <c r="M24" i="7" s="1"/>
  <c r="M24" i="6" s="1"/>
  <c r="M19" i="37"/>
  <c r="M19" i="4" s="1"/>
  <c r="M19" i="43" s="1"/>
  <c r="J15" i="31"/>
  <c r="M23" i="14"/>
  <c r="M23" i="13" s="1"/>
  <c r="M23" i="12" s="1"/>
  <c r="I47" i="33"/>
  <c r="AT9" i="39"/>
  <c r="BB22" i="39"/>
  <c r="BB33" i="39"/>
  <c r="I40" i="9"/>
  <c r="I48" i="9" s="1"/>
  <c r="L47" i="10"/>
  <c r="H29" i="39"/>
  <c r="AV32" i="39"/>
  <c r="F39" i="39"/>
  <c r="AJ37" i="39"/>
  <c r="J32" i="11"/>
  <c r="J32" i="10" s="1"/>
  <c r="J32" i="9" s="1"/>
  <c r="BB32" i="39"/>
  <c r="BB19" i="39"/>
  <c r="BB27" i="39"/>
  <c r="K34" i="6"/>
  <c r="L47" i="33"/>
  <c r="AV24" i="39"/>
  <c r="AV23" i="39"/>
  <c r="E36" i="39"/>
  <c r="F36" i="39" s="1"/>
  <c r="BB23" i="39"/>
  <c r="F34" i="39"/>
  <c r="K34" i="30"/>
  <c r="I40" i="30" s="1"/>
  <c r="M18" i="19"/>
  <c r="M18" i="18" s="1"/>
  <c r="M18" i="17" s="1"/>
  <c r="M18" i="16" s="1"/>
  <c r="M18" i="15" s="1"/>
  <c r="M18" i="14" s="1"/>
  <c r="M18" i="13" s="1"/>
  <c r="M18" i="12" s="1"/>
  <c r="M18" i="11" s="1"/>
  <c r="M18" i="10" s="1"/>
  <c r="M18" i="9" s="1"/>
  <c r="M18" i="8" s="1"/>
  <c r="M18" i="7" s="1"/>
  <c r="M18" i="6" s="1"/>
  <c r="K34" i="19"/>
  <c r="I40" i="19" s="1"/>
  <c r="L45" i="19" s="1"/>
  <c r="L47" i="6"/>
  <c r="F21" i="39"/>
  <c r="AV22" i="39"/>
  <c r="K34" i="8"/>
  <c r="I40" i="8" s="1"/>
  <c r="C34" i="4"/>
  <c r="K8" i="4" s="1"/>
  <c r="W160" i="54" s="1"/>
  <c r="X160" i="54" s="1"/>
  <c r="F13" i="39"/>
  <c r="F34" i="17"/>
  <c r="J43" i="33"/>
  <c r="J43" i="32" s="1"/>
  <c r="J43" i="31" s="1"/>
  <c r="J43" i="30" s="1"/>
  <c r="J43" i="29" s="1"/>
  <c r="J43" i="27" s="1"/>
  <c r="J43" i="28" s="1"/>
  <c r="J43" i="26" s="1"/>
  <c r="J43" i="25" s="1"/>
  <c r="J43" i="24" s="1"/>
  <c r="J43" i="23" s="1"/>
  <c r="J43" i="21" s="1"/>
  <c r="J43" i="22" s="1"/>
  <c r="J43" i="20" s="1"/>
  <c r="J43" i="19" s="1"/>
  <c r="J43" i="18" s="1"/>
  <c r="J43" i="17" s="1"/>
  <c r="J43" i="16" s="1"/>
  <c r="J43" i="15" s="1"/>
  <c r="J43" i="14" s="1"/>
  <c r="J43" i="13" s="1"/>
  <c r="J43" i="12" s="1"/>
  <c r="J43" i="11" s="1"/>
  <c r="J43" i="10" s="1"/>
  <c r="J43" i="9" s="1"/>
  <c r="J43" i="8" s="1"/>
  <c r="J43" i="7" s="1"/>
  <c r="J43" i="6" s="1"/>
  <c r="J43" i="37" s="1"/>
  <c r="J43" i="4" s="1"/>
  <c r="J43" i="43" s="1"/>
  <c r="BB21" i="39"/>
  <c r="BB18" i="39"/>
  <c r="G13" i="39"/>
  <c r="BB13" i="39"/>
  <c r="H32" i="39"/>
  <c r="AJ13" i="39"/>
  <c r="I40" i="25"/>
  <c r="R17" i="39" s="1"/>
  <c r="C34" i="24"/>
  <c r="C33" i="43"/>
  <c r="C34" i="43"/>
  <c r="AV15" i="39"/>
  <c r="F19" i="39"/>
  <c r="BB11" i="39"/>
  <c r="AV18" i="39"/>
  <c r="E33" i="43"/>
  <c r="BB15" i="39"/>
  <c r="H26" i="39"/>
  <c r="G32" i="39"/>
  <c r="L47" i="4"/>
  <c r="L47" i="20"/>
  <c r="L47" i="12"/>
  <c r="G16" i="39"/>
  <c r="AV12" i="39"/>
  <c r="G12" i="39"/>
  <c r="BB12" i="39"/>
  <c r="H12" i="39"/>
  <c r="I40" i="28"/>
  <c r="I45" i="28" s="1"/>
  <c r="C34" i="32"/>
  <c r="K8" i="32" s="1"/>
  <c r="W12" i="54" s="1"/>
  <c r="X12" i="54" s="1"/>
  <c r="K34" i="27"/>
  <c r="C33" i="4"/>
  <c r="G25" i="39"/>
  <c r="AJ25" i="39"/>
  <c r="H25" i="39"/>
  <c r="G17" i="39"/>
  <c r="I47" i="6"/>
  <c r="F34" i="43"/>
  <c r="F34" i="4"/>
  <c r="E33" i="33"/>
  <c r="D34" i="24"/>
  <c r="AT33" i="39"/>
  <c r="AV33" i="39" s="1"/>
  <c r="L47" i="37"/>
  <c r="L47" i="13"/>
  <c r="C34" i="17"/>
  <c r="K14" i="17" s="1"/>
  <c r="W95" i="54" s="1"/>
  <c r="X95" i="54" s="1"/>
  <c r="E34" i="4"/>
  <c r="E15" i="43"/>
  <c r="G15" i="39"/>
  <c r="AJ15" i="39"/>
  <c r="L47" i="17"/>
  <c r="L47" i="9"/>
  <c r="I47" i="8"/>
  <c r="E34" i="13"/>
  <c r="F23" i="39"/>
  <c r="AT37" i="39"/>
  <c r="AV37" i="39" s="1"/>
  <c r="AT30" i="39"/>
  <c r="AV30" i="39" s="1"/>
  <c r="L47" i="28"/>
  <c r="AT35" i="39"/>
  <c r="AV35" i="39" s="1"/>
  <c r="L47" i="19"/>
  <c r="L47" i="11"/>
  <c r="G21" i="39"/>
  <c r="G27" i="39"/>
  <c r="AJ21" i="39"/>
  <c r="H20" i="39"/>
  <c r="C34" i="26"/>
  <c r="D15" i="43"/>
  <c r="F34" i="26"/>
  <c r="A10" i="1"/>
  <c r="A11" i="2" s="1"/>
  <c r="H21" i="39"/>
  <c r="L47" i="24"/>
  <c r="L47" i="8"/>
  <c r="L47" i="16"/>
  <c r="L47" i="26"/>
  <c r="I47" i="4"/>
  <c r="D34" i="17"/>
  <c r="H11" i="39"/>
  <c r="H24" i="39"/>
  <c r="AJ27" i="39"/>
  <c r="I40" i="14"/>
  <c r="I48" i="14" s="1"/>
  <c r="C52" i="43"/>
  <c r="C53" i="43" s="1"/>
  <c r="AJ23" i="39"/>
  <c r="H27" i="39"/>
  <c r="G26" i="39"/>
  <c r="K34" i="10"/>
  <c r="I40" i="10" s="1"/>
  <c r="L45" i="10" s="1"/>
  <c r="AJ11" i="39"/>
  <c r="G23" i="39"/>
  <c r="H15" i="39"/>
  <c r="H23" i="39"/>
  <c r="G19" i="39"/>
  <c r="D34" i="26"/>
  <c r="E34" i="43"/>
  <c r="C52" i="37"/>
  <c r="C53" i="37" s="1"/>
  <c r="G11" i="39"/>
  <c r="H17" i="39"/>
  <c r="K34" i="29"/>
  <c r="C52" i="14"/>
  <c r="C53" i="14" s="1"/>
  <c r="C52" i="13"/>
  <c r="C53" i="13" s="1"/>
  <c r="C52" i="9"/>
  <c r="C53" i="9" s="1"/>
  <c r="D34" i="32"/>
  <c r="E34" i="17"/>
  <c r="V39" i="39"/>
  <c r="AX39" i="39"/>
  <c r="AJ14" i="39"/>
  <c r="L47" i="23"/>
  <c r="E34" i="26"/>
  <c r="C24" i="43"/>
  <c r="G39" i="39"/>
  <c r="D38" i="1"/>
  <c r="D39" i="2" s="1"/>
  <c r="I47" i="43"/>
  <c r="C15" i="43"/>
  <c r="H22" i="39"/>
  <c r="L47" i="7"/>
  <c r="I40" i="12"/>
  <c r="C15" i="4"/>
  <c r="E24" i="43"/>
  <c r="D34" i="43"/>
  <c r="C34" i="13"/>
  <c r="K7" i="13" s="1"/>
  <c r="W115" i="54" s="1"/>
  <c r="X115" i="54" s="1"/>
  <c r="AJ12" i="39"/>
  <c r="D24" i="43"/>
  <c r="G14" i="39"/>
  <c r="AJ22" i="39"/>
  <c r="D33" i="43"/>
  <c r="D36" i="1"/>
  <c r="D37" i="2" s="1"/>
  <c r="AP28" i="39"/>
  <c r="G22" i="39"/>
  <c r="E34" i="33"/>
  <c r="J57" i="33" s="1"/>
  <c r="E34" i="24"/>
  <c r="L47" i="15"/>
  <c r="F34" i="13"/>
  <c r="I47" i="10"/>
  <c r="D34" i="13"/>
  <c r="Z115" i="54" s="1"/>
  <c r="AV38" i="39"/>
  <c r="I47" i="11"/>
  <c r="L48" i="43"/>
  <c r="M43" i="33"/>
  <c r="M44" i="33" s="1"/>
  <c r="AJ10" i="39"/>
  <c r="K34" i="24"/>
  <c r="I40" i="24" s="1"/>
  <c r="L45" i="43"/>
  <c r="AR39" i="39"/>
  <c r="AL39" i="39"/>
  <c r="I45" i="43"/>
  <c r="D33" i="4"/>
  <c r="E33" i="4"/>
  <c r="D24" i="4"/>
  <c r="E15" i="4"/>
  <c r="D15" i="4"/>
  <c r="D34" i="4"/>
  <c r="AP37" i="39"/>
  <c r="H37" i="39"/>
  <c r="D37" i="1"/>
  <c r="D38" i="2" s="1"/>
  <c r="H33" i="39"/>
  <c r="G33" i="39"/>
  <c r="AJ29" i="39"/>
  <c r="E38" i="39"/>
  <c r="F38" i="39" s="1"/>
  <c r="BD39" i="39"/>
  <c r="T39" i="39"/>
  <c r="I48" i="43"/>
  <c r="AJ24" i="39"/>
  <c r="G24" i="39"/>
  <c r="AJ20" i="39"/>
  <c r="G20" i="39"/>
  <c r="AJ16" i="39"/>
  <c r="H16" i="39"/>
  <c r="F29" i="39"/>
  <c r="L48" i="22"/>
  <c r="L47" i="22"/>
  <c r="B10" i="2"/>
  <c r="B37" i="2"/>
  <c r="B33" i="2"/>
  <c r="B29" i="2"/>
  <c r="B25" i="2"/>
  <c r="B21" i="2"/>
  <c r="B17" i="2"/>
  <c r="B13" i="2"/>
  <c r="C52" i="4"/>
  <c r="C53" i="4" s="1"/>
  <c r="H18" i="39"/>
  <c r="D15" i="33"/>
  <c r="E28" i="39"/>
  <c r="F28" i="39" s="1"/>
  <c r="E30" i="39"/>
  <c r="F30" i="39" s="1"/>
  <c r="B12" i="2"/>
  <c r="AJ28" i="39"/>
  <c r="B19" i="2"/>
  <c r="D39" i="1"/>
  <c r="D40" i="2" s="1"/>
  <c r="D28" i="1"/>
  <c r="D29" i="2" s="1"/>
  <c r="C33" i="33"/>
  <c r="D34" i="33"/>
  <c r="C52" i="6"/>
  <c r="C53" i="6" s="1"/>
  <c r="C24" i="4"/>
  <c r="F20" i="39"/>
  <c r="C24" i="33"/>
  <c r="F34" i="33"/>
  <c r="D24" i="33"/>
  <c r="M9" i="32"/>
  <c r="D12" i="1"/>
  <c r="D13" i="2" s="1"/>
  <c r="C52" i="27"/>
  <c r="C53" i="27" s="1"/>
  <c r="D16" i="1"/>
  <c r="D17" i="2" s="1"/>
  <c r="AJ17" i="39"/>
  <c r="E17" i="39"/>
  <c r="F17" i="39" s="1"/>
  <c r="F18" i="39"/>
  <c r="D19" i="1"/>
  <c r="D20" i="2" s="1"/>
  <c r="H19" i="39"/>
  <c r="AJ19" i="39"/>
  <c r="D20" i="1"/>
  <c r="D21" i="2" s="1"/>
  <c r="D22" i="1"/>
  <c r="D23" i="2" s="1"/>
  <c r="F22" i="39"/>
  <c r="D24" i="1"/>
  <c r="D25" i="2" s="1"/>
  <c r="F24" i="39"/>
  <c r="D26" i="1"/>
  <c r="D27" i="2" s="1"/>
  <c r="F27" i="39"/>
  <c r="D29" i="1"/>
  <c r="D30" i="2" s="1"/>
  <c r="D35" i="1"/>
  <c r="D36" i="2" s="1"/>
  <c r="K34" i="7"/>
  <c r="I40" i="7" s="1"/>
  <c r="C52" i="7"/>
  <c r="C53" i="7" s="1"/>
  <c r="M30" i="8"/>
  <c r="C52" i="8"/>
  <c r="C53" i="8" s="1"/>
  <c r="D34" i="1"/>
  <c r="D35" i="2" s="1"/>
  <c r="AT29" i="39"/>
  <c r="AV29" i="39" s="1"/>
  <c r="E33" i="39"/>
  <c r="D33" i="1"/>
  <c r="D34" i="2" s="1"/>
  <c r="D32" i="1"/>
  <c r="D33" i="2" s="1"/>
  <c r="AP31" i="39"/>
  <c r="D31" i="1"/>
  <c r="D32" i="2" s="1"/>
  <c r="E31" i="39"/>
  <c r="C52" i="10"/>
  <c r="C53" i="10" s="1"/>
  <c r="C52" i="11"/>
  <c r="C53" i="11" s="1"/>
  <c r="AP30" i="39"/>
  <c r="AJ30" i="39"/>
  <c r="D30" i="1"/>
  <c r="D31" i="2" s="1"/>
  <c r="BB29" i="39"/>
  <c r="C52" i="12"/>
  <c r="C53" i="12" s="1"/>
  <c r="L47" i="14"/>
  <c r="AP29" i="39"/>
  <c r="AT28" i="39"/>
  <c r="I47" i="14"/>
  <c r="AT27" i="39"/>
  <c r="AV27" i="39" s="1"/>
  <c r="AT21" i="39"/>
  <c r="AV21" i="39" s="1"/>
  <c r="AT25" i="39"/>
  <c r="AV25" i="39" s="1"/>
  <c r="I40" i="15"/>
  <c r="L45" i="15" s="1"/>
  <c r="AP27" i="39"/>
  <c r="D27" i="1"/>
  <c r="D28" i="2" s="1"/>
  <c r="C52" i="15"/>
  <c r="C53" i="15" s="1"/>
  <c r="L47" i="18"/>
  <c r="L48" i="21"/>
  <c r="L47" i="32"/>
  <c r="L47" i="30"/>
  <c r="L47" i="27"/>
  <c r="AT26" i="39"/>
  <c r="AV26" i="39" s="1"/>
  <c r="I47" i="18"/>
  <c r="I40" i="16"/>
  <c r="I45" i="16" s="1"/>
  <c r="C52" i="16"/>
  <c r="C53" i="16" s="1"/>
  <c r="AP26" i="39"/>
  <c r="K34" i="18"/>
  <c r="I40" i="18" s="1"/>
  <c r="L45" i="18" s="1"/>
  <c r="F25" i="39"/>
  <c r="AP25" i="39"/>
  <c r="D25" i="1"/>
  <c r="D26" i="2" s="1"/>
  <c r="C52" i="17"/>
  <c r="C53" i="17" s="1"/>
  <c r="C52" i="18"/>
  <c r="C53" i="18" s="1"/>
  <c r="AP24" i="39"/>
  <c r="C52" i="19"/>
  <c r="C53" i="19" s="1"/>
  <c r="AP23" i="39"/>
  <c r="D23" i="1"/>
  <c r="D24" i="2" s="1"/>
  <c r="I47" i="20"/>
  <c r="I40" i="20"/>
  <c r="L45" i="20" s="1"/>
  <c r="C52" i="20"/>
  <c r="C53" i="20" s="1"/>
  <c r="AP22" i="39"/>
  <c r="I47" i="23"/>
  <c r="AT20" i="39"/>
  <c r="AV20" i="39" s="1"/>
  <c r="I40" i="22"/>
  <c r="L45" i="22" s="1"/>
  <c r="C52" i="22"/>
  <c r="C53" i="22" s="1"/>
  <c r="AP21" i="39"/>
  <c r="D21" i="1"/>
  <c r="D22" i="2" s="1"/>
  <c r="I40" i="21"/>
  <c r="C52" i="21"/>
  <c r="C53" i="21" s="1"/>
  <c r="AP20" i="39"/>
  <c r="M46" i="33"/>
  <c r="M46" i="32" s="1"/>
  <c r="M47" i="32" s="1"/>
  <c r="L47" i="25"/>
  <c r="I40" i="23"/>
  <c r="C52" i="23"/>
  <c r="C53" i="23" s="1"/>
  <c r="AP19" i="39"/>
  <c r="AV17" i="39"/>
  <c r="AT14" i="39"/>
  <c r="AV14" i="39" s="1"/>
  <c r="I47" i="25"/>
  <c r="AT16" i="39"/>
  <c r="AV16" i="39" s="1"/>
  <c r="I47" i="24"/>
  <c r="I47" i="28"/>
  <c r="F34" i="24"/>
  <c r="C52" i="24"/>
  <c r="C53" i="24" s="1"/>
  <c r="AP18" i="39"/>
  <c r="D18" i="1"/>
  <c r="D19" i="2" s="1"/>
  <c r="G18" i="39"/>
  <c r="C52" i="25"/>
  <c r="C53" i="25" s="1"/>
  <c r="AP17" i="39"/>
  <c r="D17" i="1"/>
  <c r="D18" i="2" s="1"/>
  <c r="L47" i="29"/>
  <c r="I40" i="26"/>
  <c r="F16" i="39"/>
  <c r="C52" i="26"/>
  <c r="C53" i="26" s="1"/>
  <c r="AP16" i="39"/>
  <c r="AP15" i="39"/>
  <c r="D15" i="1"/>
  <c r="D16" i="2" s="1"/>
  <c r="C52" i="28"/>
  <c r="C53" i="28" s="1"/>
  <c r="AT11" i="39"/>
  <c r="AV11" i="39" s="1"/>
  <c r="AT13" i="39"/>
  <c r="AV13" i="39" s="1"/>
  <c r="J46" i="33"/>
  <c r="J47" i="33" s="1"/>
  <c r="AP14" i="39"/>
  <c r="D14" i="1"/>
  <c r="D15" i="2" s="1"/>
  <c r="AT10" i="39"/>
  <c r="AP13" i="39"/>
  <c r="D13" i="1"/>
  <c r="D14" i="2" s="1"/>
  <c r="C52" i="29"/>
  <c r="C53" i="29" s="1"/>
  <c r="L47" i="31"/>
  <c r="D33" i="33"/>
  <c r="C15" i="33"/>
  <c r="C34" i="33"/>
  <c r="E24" i="33"/>
  <c r="E15" i="33"/>
  <c r="J38" i="31"/>
  <c r="E34" i="32"/>
  <c r="AP11" i="39"/>
  <c r="D11" i="1"/>
  <c r="D12" i="2" s="1"/>
  <c r="AP10" i="39"/>
  <c r="I47" i="30"/>
  <c r="F12" i="39"/>
  <c r="C52" i="30"/>
  <c r="C53" i="30" s="1"/>
  <c r="AP12" i="39"/>
  <c r="F10" i="39"/>
  <c r="P41" i="39"/>
  <c r="AJ41" i="39" s="1"/>
  <c r="D10" i="1"/>
  <c r="D11" i="2" s="1"/>
  <c r="J50" i="33"/>
  <c r="D9" i="1"/>
  <c r="D10" i="2" s="1"/>
  <c r="D40" i="32"/>
  <c r="D48" i="32"/>
  <c r="E48" i="32" s="1"/>
  <c r="C52" i="33"/>
  <c r="C53" i="33" s="1"/>
  <c r="E40" i="33"/>
  <c r="D42" i="32"/>
  <c r="E42" i="32" s="1"/>
  <c r="E44" i="33"/>
  <c r="D52" i="33"/>
  <c r="D51" i="32"/>
  <c r="E51" i="32" s="1"/>
  <c r="D46" i="32"/>
  <c r="D38" i="32"/>
  <c r="D38" i="31" s="1"/>
  <c r="D47" i="32"/>
  <c r="E47" i="32" s="1"/>
  <c r="D45" i="32"/>
  <c r="E45" i="32" s="1"/>
  <c r="D44" i="32"/>
  <c r="E44" i="32" s="1"/>
  <c r="D43" i="32"/>
  <c r="E43" i="32" s="1"/>
  <c r="F34" i="32"/>
  <c r="C52" i="32"/>
  <c r="C53" i="32" s="1"/>
  <c r="D39" i="32"/>
  <c r="E39" i="32" s="1"/>
  <c r="F11" i="39"/>
  <c r="C52" i="31"/>
  <c r="C53" i="31" s="1"/>
  <c r="AI38" i="39"/>
  <c r="D50" i="32"/>
  <c r="D49" i="32"/>
  <c r="D41" i="32"/>
  <c r="E24" i="4"/>
  <c r="J37" i="32"/>
  <c r="F35" i="39"/>
  <c r="I44" i="19"/>
  <c r="F15" i="39"/>
  <c r="H39" i="39"/>
  <c r="AV19" i="39"/>
  <c r="I47" i="19"/>
  <c r="F26" i="39"/>
  <c r="AJ26" i="39"/>
  <c r="AP38" i="39"/>
  <c r="AJ38" i="39"/>
  <c r="AP32" i="39"/>
  <c r="AJ32" i="39"/>
  <c r="AJ39" i="39"/>
  <c r="AP39" i="39"/>
  <c r="AP36" i="39"/>
  <c r="AJ36" i="39"/>
  <c r="AP35" i="39"/>
  <c r="AJ35" i="39"/>
  <c r="AP34" i="39"/>
  <c r="AJ34" i="39"/>
  <c r="AP33" i="39"/>
  <c r="AJ33" i="39"/>
  <c r="G37" i="39"/>
  <c r="I39" i="39" l="1"/>
  <c r="C38" i="45"/>
  <c r="E39" i="1"/>
  <c r="W160" i="46"/>
  <c r="K34" i="4"/>
  <c r="I40" i="4" s="1"/>
  <c r="AA115" i="54"/>
  <c r="AB115" i="54" s="1"/>
  <c r="AA12" i="54"/>
  <c r="AB12" i="54" s="1"/>
  <c r="AA95" i="54"/>
  <c r="AB95" i="54" s="1"/>
  <c r="W115" i="46"/>
  <c r="K34" i="13"/>
  <c r="I40" i="13" s="1"/>
  <c r="Z115" i="46"/>
  <c r="W95" i="46"/>
  <c r="AA95" i="46" s="1"/>
  <c r="K34" i="17"/>
  <c r="I40" i="17" s="1"/>
  <c r="M14" i="17"/>
  <c r="M14" i="16" s="1"/>
  <c r="M14" i="15" s="1"/>
  <c r="M14" i="14" s="1"/>
  <c r="M14" i="13" s="1"/>
  <c r="M14" i="12" s="1"/>
  <c r="M14" i="11" s="1"/>
  <c r="M14" i="10" s="1"/>
  <c r="M14" i="9" s="1"/>
  <c r="M14" i="8" s="1"/>
  <c r="M14" i="7" s="1"/>
  <c r="M14" i="6" s="1"/>
  <c r="M14" i="37" s="1"/>
  <c r="M14" i="4" s="1"/>
  <c r="M14" i="43" s="1"/>
  <c r="AB105" i="46"/>
  <c r="X105" i="46"/>
  <c r="L45" i="23"/>
  <c r="I40" i="47"/>
  <c r="I48" i="37"/>
  <c r="R37" i="39"/>
  <c r="E37" i="1" s="1"/>
  <c r="DN37" i="1" s="1"/>
  <c r="I45" i="37"/>
  <c r="J29" i="27"/>
  <c r="J29" i="28" s="1"/>
  <c r="J29" i="26" s="1"/>
  <c r="J29" i="25" s="1"/>
  <c r="J29" i="24" s="1"/>
  <c r="J29" i="23" s="1"/>
  <c r="J29" i="21" s="1"/>
  <c r="J29" i="22" s="1"/>
  <c r="J29" i="20" s="1"/>
  <c r="J29" i="19" s="1"/>
  <c r="J29" i="18" s="1"/>
  <c r="J29" i="17" s="1"/>
  <c r="J29" i="16" s="1"/>
  <c r="J29" i="15" s="1"/>
  <c r="J29" i="14" s="1"/>
  <c r="J29" i="13" s="1"/>
  <c r="J29" i="12" s="1"/>
  <c r="J29" i="11" s="1"/>
  <c r="J29" i="10" s="1"/>
  <c r="J29" i="9" s="1"/>
  <c r="J29" i="8" s="1"/>
  <c r="J29" i="7" s="1"/>
  <c r="J29" i="6" s="1"/>
  <c r="J29" i="37" s="1"/>
  <c r="J29" i="4" s="1"/>
  <c r="J29" i="43" s="1"/>
  <c r="J18" i="27"/>
  <c r="J18" i="28" s="1"/>
  <c r="J18" i="26" s="1"/>
  <c r="J18" i="25" s="1"/>
  <c r="J18" i="24" s="1"/>
  <c r="J18" i="23" s="1"/>
  <c r="J18" i="21" s="1"/>
  <c r="J18" i="22" s="1"/>
  <c r="J18" i="20" s="1"/>
  <c r="J18" i="19" s="1"/>
  <c r="J18" i="18" s="1"/>
  <c r="J18" i="17" s="1"/>
  <c r="J14" i="27"/>
  <c r="J14" i="28" s="1"/>
  <c r="J14" i="26" s="1"/>
  <c r="J14" i="25" s="1"/>
  <c r="J14" i="23" s="1"/>
  <c r="J14" i="21" s="1"/>
  <c r="J14" i="22" s="1"/>
  <c r="J14" i="20" s="1"/>
  <c r="J14" i="19" s="1"/>
  <c r="J26" i="27"/>
  <c r="J26" i="28" s="1"/>
  <c r="J26" i="26" s="1"/>
  <c r="J26" i="25" s="1"/>
  <c r="J26" i="24" s="1"/>
  <c r="J26" i="23" s="1"/>
  <c r="J26" i="21" s="1"/>
  <c r="J26" i="22" s="1"/>
  <c r="J26" i="20" s="1"/>
  <c r="J26" i="19" s="1"/>
  <c r="J26" i="18" s="1"/>
  <c r="J26" i="17" s="1"/>
  <c r="J26" i="16" s="1"/>
  <c r="J26" i="15" s="1"/>
  <c r="J26" i="14" s="1"/>
  <c r="J26" i="13" s="1"/>
  <c r="J26" i="12" s="1"/>
  <c r="J26" i="11" s="1"/>
  <c r="J26" i="10" s="1"/>
  <c r="J26" i="9" s="1"/>
  <c r="J26" i="8" s="1"/>
  <c r="J26" i="7" s="1"/>
  <c r="J26" i="6" s="1"/>
  <c r="J26" i="37" s="1"/>
  <c r="J17" i="27"/>
  <c r="J17" i="28" s="1"/>
  <c r="J17" i="26" s="1"/>
  <c r="J17" i="25" s="1"/>
  <c r="J17" i="24" s="1"/>
  <c r="J17" i="23" s="1"/>
  <c r="J17" i="21" s="1"/>
  <c r="J17" i="22" s="1"/>
  <c r="J17" i="20" s="1"/>
  <c r="J17" i="19" s="1"/>
  <c r="J17" i="18" s="1"/>
  <c r="J17" i="17" s="1"/>
  <c r="J17" i="16" s="1"/>
  <c r="J22" i="27"/>
  <c r="J22" i="28" s="1"/>
  <c r="J22" i="26" s="1"/>
  <c r="J22" i="25" s="1"/>
  <c r="J22" i="24" s="1"/>
  <c r="J22" i="23" s="1"/>
  <c r="J22" i="21" s="1"/>
  <c r="J22" i="22" s="1"/>
  <c r="J22" i="20" s="1"/>
  <c r="J22" i="19" s="1"/>
  <c r="J22" i="18" s="1"/>
  <c r="J22" i="17" s="1"/>
  <c r="J19" i="27"/>
  <c r="J19" i="28" s="1"/>
  <c r="J19" i="26" s="1"/>
  <c r="J19" i="25" s="1"/>
  <c r="J19" i="24" s="1"/>
  <c r="J19" i="23" s="1"/>
  <c r="J19" i="21" s="1"/>
  <c r="J19" i="22" s="1"/>
  <c r="J19" i="20" s="1"/>
  <c r="J19" i="19" s="1"/>
  <c r="J19" i="18" s="1"/>
  <c r="J19" i="17" s="1"/>
  <c r="J19" i="16" s="1"/>
  <c r="J19" i="15" s="1"/>
  <c r="J30" i="27"/>
  <c r="J30" i="28" s="1"/>
  <c r="J30" i="26" s="1"/>
  <c r="J30" i="25" s="1"/>
  <c r="J30" i="24" s="1"/>
  <c r="J30" i="23" s="1"/>
  <c r="J30" i="21" s="1"/>
  <c r="J30" i="22" s="1"/>
  <c r="J30" i="20" s="1"/>
  <c r="J30" i="19" s="1"/>
  <c r="J30" i="18" s="1"/>
  <c r="J30" i="17" s="1"/>
  <c r="J30" i="16" s="1"/>
  <c r="J30" i="15" s="1"/>
  <c r="J30" i="14" s="1"/>
  <c r="J30" i="13" s="1"/>
  <c r="J30" i="12" s="1"/>
  <c r="J30" i="11" s="1"/>
  <c r="J30" i="10" s="1"/>
  <c r="J30" i="9" s="1"/>
  <c r="J30" i="8" s="1"/>
  <c r="J30" i="7" s="1"/>
  <c r="J30" i="6" s="1"/>
  <c r="J30" i="37" s="1"/>
  <c r="J30" i="4" s="1"/>
  <c r="J30" i="43" s="1"/>
  <c r="J27" i="27"/>
  <c r="J27" i="28" s="1"/>
  <c r="J27" i="26" s="1"/>
  <c r="J27" i="25" s="1"/>
  <c r="J27" i="24" s="1"/>
  <c r="J27" i="23" s="1"/>
  <c r="J27" i="21" s="1"/>
  <c r="J27" i="22" s="1"/>
  <c r="J27" i="20" s="1"/>
  <c r="J27" i="19" s="1"/>
  <c r="J27" i="18" s="1"/>
  <c r="J27" i="17" s="1"/>
  <c r="J27" i="16" s="1"/>
  <c r="J27" i="15" s="1"/>
  <c r="J27" i="14" s="1"/>
  <c r="J27" i="13" s="1"/>
  <c r="J27" i="12" s="1"/>
  <c r="J23" i="27"/>
  <c r="J23" i="28" s="1"/>
  <c r="J23" i="26" s="1"/>
  <c r="J23" i="25" s="1"/>
  <c r="J23" i="24" s="1"/>
  <c r="J23" i="23" s="1"/>
  <c r="J23" i="21" s="1"/>
  <c r="J23" i="22" s="1"/>
  <c r="J23" i="20" s="1"/>
  <c r="J12" i="27"/>
  <c r="J12" i="28" s="1"/>
  <c r="J12" i="25" s="1"/>
  <c r="J12" i="24" s="1"/>
  <c r="J12" i="23" s="1"/>
  <c r="J12" i="21" s="1"/>
  <c r="J12" i="22" s="1"/>
  <c r="J12" i="20" s="1"/>
  <c r="J12" i="19" s="1"/>
  <c r="J12" i="18" s="1"/>
  <c r="J12" i="17" s="1"/>
  <c r="J12" i="16" s="1"/>
  <c r="J12" i="15" s="1"/>
  <c r="J12" i="14" s="1"/>
  <c r="J12" i="13" s="1"/>
  <c r="J12" i="12" s="1"/>
  <c r="J12" i="11" s="1"/>
  <c r="J12" i="10" s="1"/>
  <c r="J21" i="27"/>
  <c r="J21" i="28" s="1"/>
  <c r="J21" i="26" s="1"/>
  <c r="J21" i="25" s="1"/>
  <c r="J21" i="24" s="1"/>
  <c r="J21" i="23" s="1"/>
  <c r="J21" i="21" s="1"/>
  <c r="J21" i="22" s="1"/>
  <c r="J21" i="20" s="1"/>
  <c r="J21" i="19" s="1"/>
  <c r="J21" i="18" s="1"/>
  <c r="J21" i="17" s="1"/>
  <c r="J31" i="27"/>
  <c r="J31" i="28" s="1"/>
  <c r="J31" i="26" s="1"/>
  <c r="J31" i="25" s="1"/>
  <c r="J31" i="24" s="1"/>
  <c r="J31" i="23" s="1"/>
  <c r="J31" i="21" s="1"/>
  <c r="J31" i="22" s="1"/>
  <c r="J31" i="20" s="1"/>
  <c r="J31" i="19" s="1"/>
  <c r="J31" i="18" s="1"/>
  <c r="J31" i="17" s="1"/>
  <c r="J31" i="16" s="1"/>
  <c r="J31" i="15" s="1"/>
  <c r="J31" i="14" s="1"/>
  <c r="J31" i="13" s="1"/>
  <c r="J31" i="12" s="1"/>
  <c r="J31" i="11" s="1"/>
  <c r="J31" i="10" s="1"/>
  <c r="J31" i="9" s="1"/>
  <c r="J31" i="8" s="1"/>
  <c r="J31" i="7" s="1"/>
  <c r="J31" i="6" s="1"/>
  <c r="J31" i="37" s="1"/>
  <c r="J31" i="4" s="1"/>
  <c r="J31" i="43" s="1"/>
  <c r="J20" i="27"/>
  <c r="J20" i="28" s="1"/>
  <c r="J20" i="26" s="1"/>
  <c r="J20" i="25" s="1"/>
  <c r="J20" i="24" s="1"/>
  <c r="J20" i="23" s="1"/>
  <c r="J20" i="21" s="1"/>
  <c r="J20" i="22" s="1"/>
  <c r="J20" i="20" s="1"/>
  <c r="J20" i="19" s="1"/>
  <c r="J20" i="18" s="1"/>
  <c r="J20" i="17" s="1"/>
  <c r="J25" i="27"/>
  <c r="J25" i="28" s="1"/>
  <c r="J25" i="26" s="1"/>
  <c r="J25" i="25" s="1"/>
  <c r="J25" i="24" s="1"/>
  <c r="J25" i="23" s="1"/>
  <c r="J25" i="21" s="1"/>
  <c r="J25" i="22" s="1"/>
  <c r="J25" i="20" s="1"/>
  <c r="J25" i="19" s="1"/>
  <c r="J25" i="18" s="1"/>
  <c r="J25" i="17" s="1"/>
  <c r="J25" i="16" s="1"/>
  <c r="J25" i="15" s="1"/>
  <c r="J25" i="14" s="1"/>
  <c r="J25" i="13" s="1"/>
  <c r="J25" i="12" s="1"/>
  <c r="J25" i="11" s="1"/>
  <c r="J25" i="10" s="1"/>
  <c r="J25" i="9" s="1"/>
  <c r="J25" i="8" s="1"/>
  <c r="J25" i="7" s="1"/>
  <c r="J25" i="6" s="1"/>
  <c r="J25" i="37" s="1"/>
  <c r="J13" i="27"/>
  <c r="J13" i="28" s="1"/>
  <c r="J13" i="26" s="1"/>
  <c r="J13" i="24" s="1"/>
  <c r="J13" i="23" s="1"/>
  <c r="J13" i="21" s="1"/>
  <c r="J13" i="22" s="1"/>
  <c r="J13" i="20" s="1"/>
  <c r="J13" i="19" s="1"/>
  <c r="J13" i="18" s="1"/>
  <c r="J13" i="17" s="1"/>
  <c r="J13" i="16" s="1"/>
  <c r="J13" i="15" s="1"/>
  <c r="J13" i="14" s="1"/>
  <c r="J13" i="13" s="1"/>
  <c r="J13" i="12" s="1"/>
  <c r="J13" i="11" s="1"/>
  <c r="J13" i="10" s="1"/>
  <c r="J24" i="27"/>
  <c r="J24" i="28" s="1"/>
  <c r="J24" i="26" s="1"/>
  <c r="J24" i="25" s="1"/>
  <c r="J24" i="24" s="1"/>
  <c r="J24" i="23" s="1"/>
  <c r="J24" i="21" s="1"/>
  <c r="J24" i="22" s="1"/>
  <c r="J24" i="20" s="1"/>
  <c r="J24" i="19" s="1"/>
  <c r="J24" i="18" s="1"/>
  <c r="J24" i="17" s="1"/>
  <c r="J24" i="16" s="1"/>
  <c r="J24" i="15" s="1"/>
  <c r="J24" i="14" s="1"/>
  <c r="J24" i="13" s="1"/>
  <c r="J24" i="12" s="1"/>
  <c r="J24" i="11" s="1"/>
  <c r="J24" i="10" s="1"/>
  <c r="J24" i="9" s="1"/>
  <c r="J24" i="8" s="1"/>
  <c r="J24" i="7" s="1"/>
  <c r="J24" i="6" s="1"/>
  <c r="J24" i="37" s="1"/>
  <c r="J28" i="27"/>
  <c r="J28" i="28" s="1"/>
  <c r="J28" i="26" s="1"/>
  <c r="J28" i="25" s="1"/>
  <c r="J28" i="24" s="1"/>
  <c r="J28" i="23" s="1"/>
  <c r="J28" i="21" s="1"/>
  <c r="J28" i="22" s="1"/>
  <c r="J28" i="20" s="1"/>
  <c r="J28" i="19" s="1"/>
  <c r="J28" i="18" s="1"/>
  <c r="J28" i="17" s="1"/>
  <c r="J28" i="16" s="1"/>
  <c r="J28" i="15" s="1"/>
  <c r="J28" i="14" s="1"/>
  <c r="J28" i="13" s="1"/>
  <c r="J28" i="12" s="1"/>
  <c r="J28" i="11" s="1"/>
  <c r="J28" i="10" s="1"/>
  <c r="J28" i="9" s="1"/>
  <c r="J28" i="8" s="1"/>
  <c r="J28" i="7" s="1"/>
  <c r="J28" i="6" s="1"/>
  <c r="J28" i="37" s="1"/>
  <c r="W12" i="46"/>
  <c r="J11" i="30"/>
  <c r="J11" i="29" s="1"/>
  <c r="J16" i="30"/>
  <c r="J16" i="29" s="1"/>
  <c r="J10" i="30"/>
  <c r="J10" i="29" s="1"/>
  <c r="J15" i="30"/>
  <c r="J15" i="29" s="1"/>
  <c r="J9" i="30"/>
  <c r="J9" i="28" s="1"/>
  <c r="J9" i="26" s="1"/>
  <c r="J9" i="25" s="1"/>
  <c r="J9" i="24" s="1"/>
  <c r="J9" i="23" s="1"/>
  <c r="C16" i="45"/>
  <c r="G16" i="45" s="1"/>
  <c r="E17" i="1"/>
  <c r="HR17" i="1" s="1"/>
  <c r="M8" i="32"/>
  <c r="M8" i="31" s="1"/>
  <c r="J38" i="45"/>
  <c r="T38" i="45"/>
  <c r="F38" i="45"/>
  <c r="Q38" i="45"/>
  <c r="N38" i="45"/>
  <c r="J17" i="45"/>
  <c r="T17" i="45"/>
  <c r="N17" i="45"/>
  <c r="F17" i="45"/>
  <c r="Q17" i="45"/>
  <c r="N30" i="45"/>
  <c r="F30" i="45"/>
  <c r="J30" i="45"/>
  <c r="T30" i="45"/>
  <c r="Q30" i="45"/>
  <c r="A11" i="1"/>
  <c r="A12" i="2" s="1"/>
  <c r="B40" i="45"/>
  <c r="J37" i="45"/>
  <c r="Q37" i="45"/>
  <c r="F37" i="45"/>
  <c r="N37" i="45"/>
  <c r="T37" i="45"/>
  <c r="V17" i="39"/>
  <c r="U38" i="45"/>
  <c r="O38" i="45"/>
  <c r="K38" i="45"/>
  <c r="R38" i="45"/>
  <c r="G38" i="45"/>
  <c r="T35" i="45"/>
  <c r="F35" i="45"/>
  <c r="N35" i="45"/>
  <c r="J35" i="45"/>
  <c r="Q35" i="45"/>
  <c r="T12" i="45"/>
  <c r="J12" i="45"/>
  <c r="N12" i="45"/>
  <c r="F12" i="45"/>
  <c r="Q12" i="45"/>
  <c r="T27" i="45"/>
  <c r="J27" i="45"/>
  <c r="N27" i="45"/>
  <c r="F27" i="45"/>
  <c r="Q27" i="45"/>
  <c r="F13" i="45"/>
  <c r="J13" i="45"/>
  <c r="T13" i="45"/>
  <c r="N13" i="45"/>
  <c r="Q13" i="45"/>
  <c r="AL17" i="39"/>
  <c r="AX17" i="39"/>
  <c r="D53" i="33"/>
  <c r="E46" i="32"/>
  <c r="E40" i="32"/>
  <c r="C35" i="32"/>
  <c r="M22" i="37"/>
  <c r="M22" i="4" s="1"/>
  <c r="M22" i="43" s="1"/>
  <c r="M27" i="37"/>
  <c r="M27" i="4" s="1"/>
  <c r="M27" i="43" s="1"/>
  <c r="M24" i="37"/>
  <c r="M24" i="4" s="1"/>
  <c r="M24" i="43" s="1"/>
  <c r="M21" i="37"/>
  <c r="M21" i="4" s="1"/>
  <c r="M21" i="43" s="1"/>
  <c r="M26" i="37"/>
  <c r="M26" i="4" s="1"/>
  <c r="M26" i="43" s="1"/>
  <c r="M29" i="37"/>
  <c r="M29" i="4" s="1"/>
  <c r="M29" i="43" s="1"/>
  <c r="M28" i="37"/>
  <c r="M28" i="4" s="1"/>
  <c r="M28" i="43" s="1"/>
  <c r="M25" i="37"/>
  <c r="M25" i="4" s="1"/>
  <c r="M25" i="43" s="1"/>
  <c r="I45" i="9"/>
  <c r="R33" i="39"/>
  <c r="E33" i="1" s="1"/>
  <c r="S33" i="1" s="1"/>
  <c r="L45" i="9"/>
  <c r="M18" i="37"/>
  <c r="M18" i="4" s="1"/>
  <c r="M18" i="43" s="1"/>
  <c r="I17" i="39"/>
  <c r="BD17" i="39"/>
  <c r="AU9" i="39"/>
  <c r="AU10" i="39" s="1"/>
  <c r="AU11" i="39" s="1"/>
  <c r="AU12" i="39" s="1"/>
  <c r="AU13" i="39" s="1"/>
  <c r="AU14" i="39" s="1"/>
  <c r="AU15" i="39" s="1"/>
  <c r="AU16" i="39" s="1"/>
  <c r="AV9" i="39"/>
  <c r="I40" i="6"/>
  <c r="J32" i="8"/>
  <c r="J32" i="7" s="1"/>
  <c r="J32" i="6" s="1"/>
  <c r="GN39" i="1"/>
  <c r="GK39" i="1"/>
  <c r="GQ39" i="1"/>
  <c r="GW39" i="1"/>
  <c r="GT39" i="1"/>
  <c r="E40" i="2"/>
  <c r="M23" i="11"/>
  <c r="M23" i="10" s="1"/>
  <c r="M23" i="9" s="1"/>
  <c r="M23" i="8" s="1"/>
  <c r="M23" i="7" s="1"/>
  <c r="M23" i="6" s="1"/>
  <c r="D35" i="17"/>
  <c r="R29" i="39"/>
  <c r="I45" i="13"/>
  <c r="L45" i="13"/>
  <c r="R15" i="39"/>
  <c r="I48" i="13"/>
  <c r="I48" i="28"/>
  <c r="E35" i="11"/>
  <c r="C35" i="12"/>
  <c r="D35" i="14"/>
  <c r="I48" i="30"/>
  <c r="R12" i="39"/>
  <c r="E12" i="1" s="1"/>
  <c r="I45" i="30"/>
  <c r="L45" i="30"/>
  <c r="J44" i="33"/>
  <c r="C35" i="17"/>
  <c r="E35" i="17"/>
  <c r="E35" i="13"/>
  <c r="L45" i="28"/>
  <c r="C35" i="14"/>
  <c r="BN17" i="39"/>
  <c r="J17" i="39"/>
  <c r="I48" i="25"/>
  <c r="C35" i="16"/>
  <c r="C35" i="24"/>
  <c r="AR17" i="39"/>
  <c r="T17" i="39"/>
  <c r="D35" i="25"/>
  <c r="E35" i="14"/>
  <c r="E35" i="12"/>
  <c r="C35" i="9"/>
  <c r="L45" i="25"/>
  <c r="I45" i="25"/>
  <c r="C35" i="8"/>
  <c r="Q10" i="39"/>
  <c r="AQ10" i="39" s="1"/>
  <c r="D35" i="9"/>
  <c r="C35" i="43"/>
  <c r="I40" i="27"/>
  <c r="I45" i="27" s="1"/>
  <c r="D35" i="12"/>
  <c r="E35" i="37"/>
  <c r="C35" i="15"/>
  <c r="D35" i="26"/>
  <c r="C35" i="26"/>
  <c r="C35" i="7"/>
  <c r="I45" i="10"/>
  <c r="D35" i="13"/>
  <c r="R32" i="39"/>
  <c r="E35" i="26"/>
  <c r="E35" i="10"/>
  <c r="D35" i="43"/>
  <c r="I48" i="10"/>
  <c r="M12" i="27"/>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E35" i="25"/>
  <c r="E35" i="9"/>
  <c r="C35" i="30"/>
  <c r="I40" i="29"/>
  <c r="I48" i="29" s="1"/>
  <c r="E35" i="27"/>
  <c r="D35" i="37"/>
  <c r="D35" i="27"/>
  <c r="I45" i="19"/>
  <c r="E35" i="30"/>
  <c r="I45" i="17"/>
  <c r="M30" i="7"/>
  <c r="M30" i="6" s="1"/>
  <c r="M30" i="37" s="1"/>
  <c r="M30" i="4" s="1"/>
  <c r="M30" i="43" s="1"/>
  <c r="D35" i="29"/>
  <c r="R25" i="39"/>
  <c r="M43" i="32"/>
  <c r="M44" i="32" s="1"/>
  <c r="C35" i="37"/>
  <c r="IY39" i="1"/>
  <c r="IM39" i="1"/>
  <c r="IA39" i="1"/>
  <c r="HO39" i="1"/>
  <c r="HC39" i="1"/>
  <c r="GE39" i="1"/>
  <c r="FS39" i="1"/>
  <c r="FG39" i="1"/>
  <c r="EU39" i="1"/>
  <c r="EI39" i="1"/>
  <c r="DW39" i="1"/>
  <c r="DK39" i="1"/>
  <c r="CY39" i="1"/>
  <c r="CM39" i="1"/>
  <c r="CA39" i="1"/>
  <c r="BO39" i="1"/>
  <c r="BC39" i="1"/>
  <c r="AQ39" i="1"/>
  <c r="AE39" i="1"/>
  <c r="S39" i="1"/>
  <c r="G39" i="1"/>
  <c r="JH39" i="1"/>
  <c r="IV39" i="1"/>
  <c r="IJ39" i="1"/>
  <c r="HX39" i="1"/>
  <c r="HL39" i="1"/>
  <c r="GZ39" i="1"/>
  <c r="GB39" i="1"/>
  <c r="FP39" i="1"/>
  <c r="FD39" i="1"/>
  <c r="ER39" i="1"/>
  <c r="EF39" i="1"/>
  <c r="DT39" i="1"/>
  <c r="DH39" i="1"/>
  <c r="CV39" i="1"/>
  <c r="CJ39" i="1"/>
  <c r="BX39" i="1"/>
  <c r="BL39" i="1"/>
  <c r="AZ39" i="1"/>
  <c r="AN39" i="1"/>
  <c r="AB39" i="1"/>
  <c r="P39" i="1"/>
  <c r="JB39" i="1"/>
  <c r="IP39" i="1"/>
  <c r="ID39" i="1"/>
  <c r="HR39" i="1"/>
  <c r="HF39" i="1"/>
  <c r="GH39" i="1"/>
  <c r="FV39" i="1"/>
  <c r="FJ39" i="1"/>
  <c r="EX39" i="1"/>
  <c r="EL39" i="1"/>
  <c r="DZ39" i="1"/>
  <c r="DN39" i="1"/>
  <c r="DB39" i="1"/>
  <c r="CP39" i="1"/>
  <c r="CD39" i="1"/>
  <c r="BR39" i="1"/>
  <c r="BF39" i="1"/>
  <c r="AT39" i="1"/>
  <c r="AH39" i="1"/>
  <c r="V39" i="1"/>
  <c r="J39" i="1"/>
  <c r="CS39" i="1"/>
  <c r="HU39" i="1"/>
  <c r="EC39" i="1"/>
  <c r="AK39" i="1"/>
  <c r="JE39" i="1"/>
  <c r="FM39" i="1"/>
  <c r="BU39" i="1"/>
  <c r="DE39" i="1"/>
  <c r="M39" i="1"/>
  <c r="IG39" i="1"/>
  <c r="EO39" i="1"/>
  <c r="AW39" i="1"/>
  <c r="HI39" i="1"/>
  <c r="DQ39" i="1"/>
  <c r="Y39" i="1"/>
  <c r="IS39" i="1"/>
  <c r="FY39" i="1"/>
  <c r="BI39" i="1"/>
  <c r="FA39" i="1"/>
  <c r="CG39" i="1"/>
  <c r="E35" i="43"/>
  <c r="E35" i="28"/>
  <c r="E35" i="8"/>
  <c r="D35" i="10"/>
  <c r="D35" i="8"/>
  <c r="D35" i="28"/>
  <c r="L45" i="14"/>
  <c r="R28" i="39"/>
  <c r="I45" i="14"/>
  <c r="C35" i="10"/>
  <c r="D35" i="15"/>
  <c r="M10" i="29"/>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C35" i="13"/>
  <c r="E35" i="32"/>
  <c r="E35" i="15"/>
  <c r="M46" i="31"/>
  <c r="M46" i="30" s="1"/>
  <c r="M46" i="29" s="1"/>
  <c r="M46" i="27" s="1"/>
  <c r="M46" i="28" s="1"/>
  <c r="M46" i="26" s="1"/>
  <c r="M46" i="25" s="1"/>
  <c r="M46" i="24" s="1"/>
  <c r="M46" i="23" s="1"/>
  <c r="M46" i="21" s="1"/>
  <c r="M46" i="22" s="1"/>
  <c r="M46" i="20" s="1"/>
  <c r="M46" i="19" s="1"/>
  <c r="M46" i="18" s="1"/>
  <c r="M46" i="17" s="1"/>
  <c r="M46" i="16" s="1"/>
  <c r="M46" i="15" s="1"/>
  <c r="M46" i="14" s="1"/>
  <c r="M46" i="13" s="1"/>
  <c r="M46" i="12" s="1"/>
  <c r="M46" i="11" s="1"/>
  <c r="M46" i="10" s="1"/>
  <c r="M46" i="9" s="1"/>
  <c r="M46" i="8" s="1"/>
  <c r="M46" i="7" s="1"/>
  <c r="M46" i="6" s="1"/>
  <c r="M46" i="37" s="1"/>
  <c r="M46" i="4" s="1"/>
  <c r="M46" i="43" s="1"/>
  <c r="C35" i="28"/>
  <c r="D35" i="24"/>
  <c r="E35" i="24"/>
  <c r="I45" i="12"/>
  <c r="L45" i="12"/>
  <c r="R30" i="39"/>
  <c r="I48" i="12"/>
  <c r="D35" i="16"/>
  <c r="E35" i="7"/>
  <c r="D35" i="7"/>
  <c r="D35" i="20"/>
  <c r="D35" i="32"/>
  <c r="K34" i="33"/>
  <c r="M7" i="33"/>
  <c r="I48" i="19"/>
  <c r="J57" i="32"/>
  <c r="J57" i="31" s="1"/>
  <c r="J57" i="30" s="1"/>
  <c r="J57" i="29" s="1"/>
  <c r="J57" i="27" s="1"/>
  <c r="J57" i="28" s="1"/>
  <c r="J57" i="26" s="1"/>
  <c r="J57" i="25" s="1"/>
  <c r="J44" i="31"/>
  <c r="E52" i="33"/>
  <c r="E53" i="33" s="1"/>
  <c r="D42" i="2"/>
  <c r="J56" i="33"/>
  <c r="J56" i="32" s="1"/>
  <c r="J56" i="31" s="1"/>
  <c r="J56" i="30" s="1"/>
  <c r="J56" i="29" s="1"/>
  <c r="J56" i="27" s="1"/>
  <c r="J56" i="28" s="1"/>
  <c r="J56" i="26" s="1"/>
  <c r="J56" i="25" s="1"/>
  <c r="J58" i="25" s="1"/>
  <c r="D35" i="4"/>
  <c r="E35" i="4"/>
  <c r="D35" i="30"/>
  <c r="E35" i="20"/>
  <c r="C35" i="27"/>
  <c r="J38" i="30"/>
  <c r="J44" i="30" s="1"/>
  <c r="C35" i="23"/>
  <c r="C35" i="20"/>
  <c r="E35" i="16"/>
  <c r="C35" i="4"/>
  <c r="D40" i="31"/>
  <c r="D40" i="30" s="1"/>
  <c r="E40" i="30" s="1"/>
  <c r="C35" i="29"/>
  <c r="E35" i="29"/>
  <c r="C35" i="25"/>
  <c r="C35" i="18"/>
  <c r="E35" i="18"/>
  <c r="I45" i="18"/>
  <c r="L45" i="17"/>
  <c r="I48" i="17"/>
  <c r="J44" i="32"/>
  <c r="L45" i="7"/>
  <c r="I45" i="7"/>
  <c r="R35" i="39"/>
  <c r="I48" i="7"/>
  <c r="R34" i="39"/>
  <c r="I45" i="8"/>
  <c r="I48" i="8"/>
  <c r="L45" i="8"/>
  <c r="M47" i="33"/>
  <c r="F33" i="39"/>
  <c r="D35" i="11"/>
  <c r="C35" i="11"/>
  <c r="F31" i="39"/>
  <c r="AV28" i="39"/>
  <c r="R27" i="39"/>
  <c r="I45" i="15"/>
  <c r="I48" i="15"/>
  <c r="L45" i="16"/>
  <c r="I48" i="16"/>
  <c r="R26" i="39"/>
  <c r="D35" i="18"/>
  <c r="M17" i="18"/>
  <c r="M17" i="17" s="1"/>
  <c r="M17" i="16" s="1"/>
  <c r="M17" i="15" s="1"/>
  <c r="M17" i="14" s="1"/>
  <c r="M17" i="13" s="1"/>
  <c r="M17" i="12" s="1"/>
  <c r="M17" i="11" s="1"/>
  <c r="M17" i="10" s="1"/>
  <c r="M17" i="9" s="1"/>
  <c r="M17" i="8" s="1"/>
  <c r="M17" i="7" s="1"/>
  <c r="M17" i="6" s="1"/>
  <c r="R24" i="39"/>
  <c r="I48" i="18"/>
  <c r="R23" i="39"/>
  <c r="I45" i="20"/>
  <c r="R22" i="39"/>
  <c r="I48" i="20"/>
  <c r="AT41" i="39"/>
  <c r="C35" i="22"/>
  <c r="E35" i="22"/>
  <c r="D35" i="22"/>
  <c r="R21" i="39"/>
  <c r="I45" i="22"/>
  <c r="I48" i="22"/>
  <c r="L45" i="21"/>
  <c r="I48" i="21"/>
  <c r="I45" i="21"/>
  <c r="R20" i="39"/>
  <c r="C35" i="21"/>
  <c r="E35" i="21"/>
  <c r="D35" i="21"/>
  <c r="J46" i="32"/>
  <c r="J47" i="32" s="1"/>
  <c r="I45" i="23"/>
  <c r="R19" i="39"/>
  <c r="I48" i="23"/>
  <c r="D35" i="23"/>
  <c r="E35" i="23"/>
  <c r="L45" i="24"/>
  <c r="I45" i="24"/>
  <c r="I48" i="24"/>
  <c r="R18" i="39"/>
  <c r="R16" i="39"/>
  <c r="I48" i="26"/>
  <c r="I45" i="26"/>
  <c r="L45" i="26"/>
  <c r="E35" i="31"/>
  <c r="E35" i="33"/>
  <c r="C35" i="33"/>
  <c r="D35" i="33"/>
  <c r="D47" i="31"/>
  <c r="E47" i="31" s="1"/>
  <c r="C35" i="31"/>
  <c r="D35" i="31"/>
  <c r="AP41" i="39"/>
  <c r="D46" i="31"/>
  <c r="E46" i="31" s="1"/>
  <c r="D48" i="31"/>
  <c r="D48" i="30" s="1"/>
  <c r="D45" i="31"/>
  <c r="D45" i="30" s="1"/>
  <c r="D39" i="31"/>
  <c r="D39" i="30" s="1"/>
  <c r="D42" i="31"/>
  <c r="D42" i="30" s="1"/>
  <c r="D42" i="29" s="1"/>
  <c r="E42" i="29" s="1"/>
  <c r="D43" i="31"/>
  <c r="D43" i="30" s="1"/>
  <c r="D44" i="31"/>
  <c r="E44" i="31" s="1"/>
  <c r="E38" i="32"/>
  <c r="D38" i="30"/>
  <c r="E38" i="31"/>
  <c r="D51" i="31"/>
  <c r="D41" i="31"/>
  <c r="E41" i="32"/>
  <c r="D52" i="32"/>
  <c r="E50" i="32"/>
  <c r="D50" i="31"/>
  <c r="J39" i="32"/>
  <c r="J37" i="31"/>
  <c r="E35" i="19"/>
  <c r="C35" i="19"/>
  <c r="D35" i="19"/>
  <c r="E49" i="32"/>
  <c r="D49" i="31"/>
  <c r="AI39" i="39"/>
  <c r="X12" i="46" l="1"/>
  <c r="AA12" i="46"/>
  <c r="AA115" i="46"/>
  <c r="R38" i="39"/>
  <c r="L45" i="4"/>
  <c r="I45" i="4"/>
  <c r="I48" i="4"/>
  <c r="AA160" i="46"/>
  <c r="AB160" i="46" s="1"/>
  <c r="X160" i="46"/>
  <c r="AA160" i="54"/>
  <c r="AB160" i="54" s="1"/>
  <c r="J32" i="37"/>
  <c r="J32" i="4" s="1"/>
  <c r="J32" i="43" s="1"/>
  <c r="BD37" i="39"/>
  <c r="FM37" i="1"/>
  <c r="J37" i="39"/>
  <c r="JH37" i="1"/>
  <c r="HR37" i="1"/>
  <c r="T37" i="39"/>
  <c r="AR37" i="39"/>
  <c r="C36" i="45"/>
  <c r="K36" i="45" s="1"/>
  <c r="AB115" i="46"/>
  <c r="X115" i="46"/>
  <c r="AB95" i="46"/>
  <c r="X95" i="46"/>
  <c r="GN17" i="1"/>
  <c r="V37" i="39"/>
  <c r="AL37" i="39"/>
  <c r="BN37" i="39"/>
  <c r="AT17" i="1"/>
  <c r="BU17" i="1"/>
  <c r="AX37" i="39"/>
  <c r="I37" i="39"/>
  <c r="CS17" i="1"/>
  <c r="HL17" i="1"/>
  <c r="BR17" i="1"/>
  <c r="FM17" i="1"/>
  <c r="S17" i="1"/>
  <c r="EL17" i="1"/>
  <c r="GK17" i="1"/>
  <c r="AQ17" i="1"/>
  <c r="FJ17" i="1"/>
  <c r="JE17" i="1"/>
  <c r="DK17" i="1"/>
  <c r="ID17" i="1"/>
  <c r="AB65" i="46"/>
  <c r="AB17" i="1"/>
  <c r="EI17" i="1"/>
  <c r="JB17" i="1"/>
  <c r="CV17" i="1"/>
  <c r="HC17" i="1"/>
  <c r="AB12" i="46"/>
  <c r="DT17" i="1"/>
  <c r="IA17" i="1"/>
  <c r="I33" i="39"/>
  <c r="BN33" i="39"/>
  <c r="CG17" i="1"/>
  <c r="FY17" i="1"/>
  <c r="P17" i="1"/>
  <c r="DH17" i="1"/>
  <c r="GZ17" i="1"/>
  <c r="AE17" i="1"/>
  <c r="DW17" i="1"/>
  <c r="HO17" i="1"/>
  <c r="BF17" i="1"/>
  <c r="EX17" i="1"/>
  <c r="IP17" i="1"/>
  <c r="ID33" i="1"/>
  <c r="HX17" i="1"/>
  <c r="Y17" i="1"/>
  <c r="DQ17" i="1"/>
  <c r="HI17" i="1"/>
  <c r="AZ17" i="1"/>
  <c r="ER17" i="1"/>
  <c r="IJ17" i="1"/>
  <c r="BO17" i="1"/>
  <c r="FG17" i="1"/>
  <c r="IY17" i="1"/>
  <c r="CP17" i="1"/>
  <c r="GH17" i="1"/>
  <c r="AX33" i="39"/>
  <c r="R16" i="45"/>
  <c r="DE17" i="1"/>
  <c r="EF17" i="1"/>
  <c r="IM17" i="1"/>
  <c r="AK17" i="1"/>
  <c r="EC17" i="1"/>
  <c r="HU17" i="1"/>
  <c r="BL17" i="1"/>
  <c r="FD17" i="1"/>
  <c r="IV17" i="1"/>
  <c r="CA17" i="1"/>
  <c r="FS17" i="1"/>
  <c r="J17" i="1"/>
  <c r="DB17" i="1"/>
  <c r="GT17" i="1"/>
  <c r="O16" i="45"/>
  <c r="GW17" i="1"/>
  <c r="BC17" i="1"/>
  <c r="FV17" i="1"/>
  <c r="AW17" i="1"/>
  <c r="EO17" i="1"/>
  <c r="IG17" i="1"/>
  <c r="BX17" i="1"/>
  <c r="FP17" i="1"/>
  <c r="JH17" i="1"/>
  <c r="CM17" i="1"/>
  <c r="GE17" i="1"/>
  <c r="V17" i="1"/>
  <c r="DN17" i="1"/>
  <c r="HF17" i="1"/>
  <c r="T33" i="39"/>
  <c r="BD33" i="39"/>
  <c r="V33" i="39"/>
  <c r="K16" i="45"/>
  <c r="M17" i="1"/>
  <c r="AN17" i="1"/>
  <c r="EU17" i="1"/>
  <c r="CD17" i="1"/>
  <c r="E18" i="2"/>
  <c r="EW18" i="2" s="1"/>
  <c r="BI17" i="1"/>
  <c r="FA17" i="1"/>
  <c r="IS17" i="1"/>
  <c r="CJ17" i="1"/>
  <c r="GB17" i="1"/>
  <c r="G17" i="1"/>
  <c r="CY17" i="1"/>
  <c r="GQ17" i="1"/>
  <c r="AH17" i="1"/>
  <c r="DZ17" i="1"/>
  <c r="U16" i="45"/>
  <c r="J10" i="27"/>
  <c r="J10" i="26" s="1"/>
  <c r="J10" i="25" s="1"/>
  <c r="J10" i="24" s="1"/>
  <c r="J10" i="23" s="1"/>
  <c r="J10" i="21" s="1"/>
  <c r="J10" i="22" s="1"/>
  <c r="J10" i="20" s="1"/>
  <c r="J10" i="19" s="1"/>
  <c r="J10" i="18" s="1"/>
  <c r="J10" i="17" s="1"/>
  <c r="J10" i="16" s="1"/>
  <c r="J10" i="15" s="1"/>
  <c r="J10" i="14" s="1"/>
  <c r="J10" i="13" s="1"/>
  <c r="J10" i="12" s="1"/>
  <c r="J10" i="11" s="1"/>
  <c r="J10" i="10" s="1"/>
  <c r="M43" i="31"/>
  <c r="M43" i="30" s="1"/>
  <c r="M43" i="29" s="1"/>
  <c r="M43" i="27" s="1"/>
  <c r="M43" i="28" s="1"/>
  <c r="M43" i="26" s="1"/>
  <c r="M43" i="25" s="1"/>
  <c r="M43" i="24" s="1"/>
  <c r="M43" i="23" s="1"/>
  <c r="M43" i="21" s="1"/>
  <c r="M43" i="22" s="1"/>
  <c r="M43" i="20" s="1"/>
  <c r="M43" i="19" s="1"/>
  <c r="M43" i="18" s="1"/>
  <c r="M43" i="17" s="1"/>
  <c r="M43" i="16" s="1"/>
  <c r="M43" i="15" s="1"/>
  <c r="M43" i="14" s="1"/>
  <c r="M43" i="13" s="1"/>
  <c r="M43" i="12" s="1"/>
  <c r="M43" i="11" s="1"/>
  <c r="M43" i="10" s="1"/>
  <c r="M43" i="9" s="1"/>
  <c r="M43" i="8" s="1"/>
  <c r="M43" i="7" s="1"/>
  <c r="M43" i="6" s="1"/>
  <c r="J16" i="27"/>
  <c r="J16" i="28" s="1"/>
  <c r="J16" i="26" s="1"/>
  <c r="J16" i="25" s="1"/>
  <c r="J16" i="24" s="1"/>
  <c r="J16" i="23" s="1"/>
  <c r="J16" i="21" s="1"/>
  <c r="J16" i="22" s="1"/>
  <c r="J16" i="20" s="1"/>
  <c r="J16" i="19" s="1"/>
  <c r="J16" i="18" s="1"/>
  <c r="J16" i="17" s="1"/>
  <c r="J16" i="16" s="1"/>
  <c r="J11" i="27"/>
  <c r="J11" i="28" s="1"/>
  <c r="J11" i="25" s="1"/>
  <c r="J11" i="24" s="1"/>
  <c r="J11" i="23" s="1"/>
  <c r="J11" i="21" s="1"/>
  <c r="J11" i="22" s="1"/>
  <c r="J15" i="27"/>
  <c r="J15" i="28" s="1"/>
  <c r="J15" i="26" s="1"/>
  <c r="J15" i="25" s="1"/>
  <c r="J15" i="24" s="1"/>
  <c r="J15" i="23" s="1"/>
  <c r="J15" i="21" s="1"/>
  <c r="J15" i="22" s="1"/>
  <c r="J15" i="20" s="1"/>
  <c r="J15" i="19" s="1"/>
  <c r="J15" i="18" s="1"/>
  <c r="J15" i="17" s="1"/>
  <c r="J15" i="16" s="1"/>
  <c r="J15" i="15" s="1"/>
  <c r="J15" i="14" s="1"/>
  <c r="J15" i="13" s="1"/>
  <c r="J15" i="11" s="1"/>
  <c r="J15" i="10" s="1"/>
  <c r="J15" i="9" s="1"/>
  <c r="J15" i="8" s="1"/>
  <c r="J15" i="7" s="1"/>
  <c r="J15" i="6" s="1"/>
  <c r="J15" i="37" s="1"/>
  <c r="C23" i="45"/>
  <c r="O23" i="45" s="1"/>
  <c r="E24" i="1"/>
  <c r="C29" i="45"/>
  <c r="K29" i="45" s="1"/>
  <c r="E30" i="1"/>
  <c r="C28" i="45"/>
  <c r="U28" i="45" s="1"/>
  <c r="E29" i="1"/>
  <c r="HI29" i="1" s="1"/>
  <c r="C26" i="45"/>
  <c r="O26" i="45" s="1"/>
  <c r="E27" i="1"/>
  <c r="C19" i="45"/>
  <c r="O19" i="45" s="1"/>
  <c r="E20" i="1"/>
  <c r="AR29" i="39"/>
  <c r="C17" i="45"/>
  <c r="U17" i="45" s="1"/>
  <c r="E18" i="1"/>
  <c r="C18" i="45"/>
  <c r="G18" i="45" s="1"/>
  <c r="E19" i="1"/>
  <c r="C22" i="45"/>
  <c r="G22" i="45" s="1"/>
  <c r="E23" i="1"/>
  <c r="C33" i="45"/>
  <c r="U33" i="45" s="1"/>
  <c r="E34" i="1"/>
  <c r="C31" i="45"/>
  <c r="G31" i="45" s="1"/>
  <c r="E32" i="1"/>
  <c r="IV32" i="1" s="1"/>
  <c r="C14" i="45"/>
  <c r="U14" i="45" s="1"/>
  <c r="E15" i="1"/>
  <c r="Y15" i="1" s="1"/>
  <c r="C24" i="45"/>
  <c r="K24" i="45" s="1"/>
  <c r="E25" i="1"/>
  <c r="FS25" i="1" s="1"/>
  <c r="C27" i="45"/>
  <c r="K27" i="45" s="1"/>
  <c r="E28" i="1"/>
  <c r="C21" i="45"/>
  <c r="G21" i="45" s="1"/>
  <c r="E22" i="1"/>
  <c r="C15" i="45"/>
  <c r="K15" i="45" s="1"/>
  <c r="E16" i="1"/>
  <c r="C20" i="45"/>
  <c r="R20" i="45" s="1"/>
  <c r="E21" i="1"/>
  <c r="C25" i="45"/>
  <c r="G25" i="45" s="1"/>
  <c r="E26" i="1"/>
  <c r="C34" i="45"/>
  <c r="K34" i="45" s="1"/>
  <c r="E35" i="1"/>
  <c r="C11" i="45"/>
  <c r="AR33" i="39"/>
  <c r="C32" i="45"/>
  <c r="A12" i="1"/>
  <c r="A13" i="2" s="1"/>
  <c r="T40" i="45"/>
  <c r="F40" i="45"/>
  <c r="J40" i="45"/>
  <c r="Q40" i="45"/>
  <c r="N40" i="45"/>
  <c r="FD37" i="1"/>
  <c r="JE37" i="1"/>
  <c r="DZ37" i="1"/>
  <c r="AB37" i="1"/>
  <c r="G37" i="1"/>
  <c r="GH37" i="1"/>
  <c r="DT37" i="1"/>
  <c r="BO37" i="1"/>
  <c r="DH37" i="1"/>
  <c r="CM37" i="1"/>
  <c r="AW37" i="1"/>
  <c r="CY37" i="1"/>
  <c r="BU37" i="1"/>
  <c r="V37" i="1"/>
  <c r="J33" i="39"/>
  <c r="E38" i="2"/>
  <c r="EY38" i="2" s="1"/>
  <c r="CV37" i="1"/>
  <c r="EO37" i="1"/>
  <c r="AH37" i="1"/>
  <c r="AL33" i="39"/>
  <c r="CP37" i="1"/>
  <c r="K34" i="32"/>
  <c r="I40" i="32" s="1"/>
  <c r="T29" i="39"/>
  <c r="IM33" i="1"/>
  <c r="AT33" i="1"/>
  <c r="AQ33" i="1"/>
  <c r="V29" i="39"/>
  <c r="AL29" i="39"/>
  <c r="I29" i="39"/>
  <c r="JB33" i="1"/>
  <c r="AX29" i="39"/>
  <c r="BD29" i="39"/>
  <c r="J29" i="39"/>
  <c r="HX33" i="1"/>
  <c r="AB6" i="46"/>
  <c r="X6" i="46"/>
  <c r="P33" i="1"/>
  <c r="J17" i="15"/>
  <c r="J17" i="14" s="1"/>
  <c r="J17" i="13" s="1"/>
  <c r="J17" i="12" s="1"/>
  <c r="J17" i="11" s="1"/>
  <c r="J17" i="9" s="1"/>
  <c r="J17" i="8" s="1"/>
  <c r="J17" i="7" s="1"/>
  <c r="J17" i="6" s="1"/>
  <c r="J17" i="37" s="1"/>
  <c r="M23" i="37"/>
  <c r="M23" i="4" s="1"/>
  <c r="M23" i="43" s="1"/>
  <c r="CG37" i="1"/>
  <c r="FG37" i="1"/>
  <c r="M17" i="37"/>
  <c r="M17" i="4" s="1"/>
  <c r="M17" i="43" s="1"/>
  <c r="ER37" i="1"/>
  <c r="FY37" i="1"/>
  <c r="GE37" i="1"/>
  <c r="HF37" i="1"/>
  <c r="P37" i="1"/>
  <c r="IG37" i="1"/>
  <c r="IY37" i="1"/>
  <c r="BX33" i="1"/>
  <c r="AW33" i="1"/>
  <c r="BC33" i="1"/>
  <c r="BR33" i="1"/>
  <c r="FA33" i="1"/>
  <c r="FD33" i="1"/>
  <c r="DK33" i="1"/>
  <c r="CD33" i="1"/>
  <c r="E34" i="2"/>
  <c r="EY34" i="2" s="1"/>
  <c r="JH33" i="1"/>
  <c r="IG33" i="1"/>
  <c r="EI33" i="1"/>
  <c r="EL33" i="1"/>
  <c r="AN33" i="1"/>
  <c r="CV33" i="1"/>
  <c r="EU33" i="1"/>
  <c r="FJ33" i="1"/>
  <c r="CJ33" i="1"/>
  <c r="ER33" i="1"/>
  <c r="HC33" i="1"/>
  <c r="FV33" i="1"/>
  <c r="DQ33" i="1"/>
  <c r="FY33" i="1"/>
  <c r="IA33" i="1"/>
  <c r="I32" i="39"/>
  <c r="V32" i="39"/>
  <c r="BN29" i="39"/>
  <c r="J28" i="4"/>
  <c r="J28" i="43" s="1"/>
  <c r="BN28" i="39"/>
  <c r="J25" i="39"/>
  <c r="BN12" i="39"/>
  <c r="AW9" i="39"/>
  <c r="L45" i="6"/>
  <c r="R36" i="39"/>
  <c r="I48" i="6"/>
  <c r="I45" i="6"/>
  <c r="AX32" i="39"/>
  <c r="I15" i="39"/>
  <c r="EY40" i="2"/>
  <c r="EW40" i="2"/>
  <c r="J32" i="39"/>
  <c r="T15" i="39"/>
  <c r="J12" i="9"/>
  <c r="J12" i="8" s="1"/>
  <c r="J12" i="7" s="1"/>
  <c r="J12" i="6" s="1"/>
  <c r="AL32" i="39"/>
  <c r="BD15" i="39"/>
  <c r="AX15" i="39"/>
  <c r="BD32" i="39"/>
  <c r="BN15" i="39"/>
  <c r="AR15" i="39"/>
  <c r="T32" i="39"/>
  <c r="V15" i="39"/>
  <c r="AL15" i="39"/>
  <c r="J13" i="9"/>
  <c r="J13" i="8" s="1"/>
  <c r="J13" i="7" s="1"/>
  <c r="J13" i="6" s="1"/>
  <c r="AR32" i="39"/>
  <c r="J15" i="39"/>
  <c r="HR33" i="1"/>
  <c r="GN33" i="1"/>
  <c r="GZ33" i="1"/>
  <c r="GQ33" i="1"/>
  <c r="GT33" i="1"/>
  <c r="GW33" i="1"/>
  <c r="GK33" i="1"/>
  <c r="FV37" i="1"/>
  <c r="GT37" i="1"/>
  <c r="GK37" i="1"/>
  <c r="GW37" i="1"/>
  <c r="GQ37" i="1"/>
  <c r="GN37" i="1"/>
  <c r="V12" i="39"/>
  <c r="BD12" i="39"/>
  <c r="GW29" i="1"/>
  <c r="AK10" i="39"/>
  <c r="AR12" i="39"/>
  <c r="AX12" i="39"/>
  <c r="T12" i="39"/>
  <c r="Q11" i="39"/>
  <c r="AQ11" i="39" s="1"/>
  <c r="J12" i="39"/>
  <c r="J27" i="11"/>
  <c r="J27" i="10" s="1"/>
  <c r="J27" i="9" s="1"/>
  <c r="J27" i="8" s="1"/>
  <c r="J27" i="7" s="1"/>
  <c r="J27" i="6" s="1"/>
  <c r="J27" i="37" s="1"/>
  <c r="K34" i="11"/>
  <c r="I12" i="39"/>
  <c r="AL12" i="39"/>
  <c r="BN32" i="39"/>
  <c r="BN30" i="39"/>
  <c r="J18" i="16"/>
  <c r="L45" i="29"/>
  <c r="J14" i="18"/>
  <c r="J56" i="24"/>
  <c r="J59" i="24" s="1"/>
  <c r="AL25" i="39"/>
  <c r="BD25" i="39"/>
  <c r="J23" i="19"/>
  <c r="J23" i="18" s="1"/>
  <c r="J23" i="17" s="1"/>
  <c r="T25" i="39"/>
  <c r="HL33" i="1"/>
  <c r="BU33" i="1"/>
  <c r="JE33" i="1"/>
  <c r="EC33" i="1"/>
  <c r="AE33" i="1"/>
  <c r="DW33" i="1"/>
  <c r="HO33" i="1"/>
  <c r="BF33" i="1"/>
  <c r="EX33" i="1"/>
  <c r="IP33" i="1"/>
  <c r="FP37" i="1"/>
  <c r="IV37" i="1"/>
  <c r="IJ37" i="1"/>
  <c r="BI37" i="1"/>
  <c r="FA37" i="1"/>
  <c r="IS37" i="1"/>
  <c r="CA37" i="1"/>
  <c r="FS37" i="1"/>
  <c r="J37" i="1"/>
  <c r="DB37" i="1"/>
  <c r="AR25" i="39"/>
  <c r="M33" i="1"/>
  <c r="BI33" i="1"/>
  <c r="EF33" i="1"/>
  <c r="BL33" i="1"/>
  <c r="IV33" i="1"/>
  <c r="BO33" i="1"/>
  <c r="FG33" i="1"/>
  <c r="IY33" i="1"/>
  <c r="CP33" i="1"/>
  <c r="GH33" i="1"/>
  <c r="AN37" i="1"/>
  <c r="HL37" i="1"/>
  <c r="GZ37" i="1"/>
  <c r="CS37" i="1"/>
  <c r="S37" i="1"/>
  <c r="DK37" i="1"/>
  <c r="HC37" i="1"/>
  <c r="AT37" i="1"/>
  <c r="EL37" i="1"/>
  <c r="ID37" i="1"/>
  <c r="AX25" i="39"/>
  <c r="DE33" i="1"/>
  <c r="DT33" i="1"/>
  <c r="FM33" i="1"/>
  <c r="CS33" i="1"/>
  <c r="AK33" i="1"/>
  <c r="HU33" i="1"/>
  <c r="CA33" i="1"/>
  <c r="FS33" i="1"/>
  <c r="J33" i="1"/>
  <c r="DB33" i="1"/>
  <c r="EF37" i="1"/>
  <c r="CJ37" i="1"/>
  <c r="M37" i="1"/>
  <c r="DE37" i="1"/>
  <c r="AE37" i="1"/>
  <c r="DW37" i="1"/>
  <c r="HO37" i="1"/>
  <c r="BF37" i="1"/>
  <c r="EX37" i="1"/>
  <c r="IP37" i="1"/>
  <c r="J9" i="21"/>
  <c r="I25" i="39"/>
  <c r="FP33" i="1"/>
  <c r="IS33" i="1"/>
  <c r="GB33" i="1"/>
  <c r="DH33" i="1"/>
  <c r="AZ33" i="1"/>
  <c r="IJ33" i="1"/>
  <c r="CM33" i="1"/>
  <c r="GE33" i="1"/>
  <c r="V33" i="1"/>
  <c r="DN33" i="1"/>
  <c r="HF33" i="1"/>
  <c r="BN25" i="39"/>
  <c r="HX37" i="1"/>
  <c r="GB37" i="1"/>
  <c r="Y37" i="1"/>
  <c r="DQ37" i="1"/>
  <c r="HI37" i="1"/>
  <c r="AQ37" i="1"/>
  <c r="EI37" i="1"/>
  <c r="IA37" i="1"/>
  <c r="BR37" i="1"/>
  <c r="FJ37" i="1"/>
  <c r="JB37" i="1"/>
  <c r="V25" i="39"/>
  <c r="AB33" i="1"/>
  <c r="Y33" i="1"/>
  <c r="HI33" i="1"/>
  <c r="EO33" i="1"/>
  <c r="G33" i="1"/>
  <c r="CY33" i="1"/>
  <c r="AH33" i="1"/>
  <c r="DZ33" i="1"/>
  <c r="BX37" i="1"/>
  <c r="BL37" i="1"/>
  <c r="AZ37" i="1"/>
  <c r="AK37" i="1"/>
  <c r="EC37" i="1"/>
  <c r="HU37" i="1"/>
  <c r="BC37" i="1"/>
  <c r="EU37" i="1"/>
  <c r="IM37" i="1"/>
  <c r="CD37" i="1"/>
  <c r="I48" i="27"/>
  <c r="R14" i="39"/>
  <c r="L45" i="27"/>
  <c r="AX28" i="39"/>
  <c r="R13" i="39"/>
  <c r="I45" i="29"/>
  <c r="J38" i="29"/>
  <c r="J38" i="27" s="1"/>
  <c r="BN26" i="39"/>
  <c r="BN35" i="39"/>
  <c r="BN24" i="39"/>
  <c r="BN16" i="39"/>
  <c r="BN21" i="39"/>
  <c r="D40" i="29"/>
  <c r="D40" i="27" s="1"/>
  <c r="D40" i="28" s="1"/>
  <c r="BN22" i="39"/>
  <c r="JB29" i="1"/>
  <c r="CV29" i="1"/>
  <c r="W173" i="54"/>
  <c r="BN34" i="39"/>
  <c r="JH12" i="1"/>
  <c r="IV12" i="1"/>
  <c r="IJ12" i="1"/>
  <c r="HX12" i="1"/>
  <c r="HL12" i="1"/>
  <c r="GZ12" i="1"/>
  <c r="GN12" i="1"/>
  <c r="GB12" i="1"/>
  <c r="FP12" i="1"/>
  <c r="FD12" i="1"/>
  <c r="EF12" i="1"/>
  <c r="DT12" i="1"/>
  <c r="DH12" i="1"/>
  <c r="CV12" i="1"/>
  <c r="CJ12" i="1"/>
  <c r="BX12" i="1"/>
  <c r="JE12" i="1"/>
  <c r="IS12" i="1"/>
  <c r="HR12" i="1"/>
  <c r="GQ12" i="1"/>
  <c r="FA12" i="1"/>
  <c r="DZ12" i="1"/>
  <c r="CY12" i="1"/>
  <c r="ID12" i="1"/>
  <c r="HC12" i="1"/>
  <c r="FM12" i="1"/>
  <c r="EL12" i="1"/>
  <c r="DK12" i="1"/>
  <c r="BU12" i="1"/>
  <c r="BI12" i="1"/>
  <c r="AW12" i="1"/>
  <c r="AK12" i="1"/>
  <c r="Y12" i="1"/>
  <c r="M12" i="1"/>
  <c r="IP12" i="1"/>
  <c r="HO12" i="1"/>
  <c r="FY12" i="1"/>
  <c r="EX12" i="1"/>
  <c r="DW12" i="1"/>
  <c r="CG12" i="1"/>
  <c r="IA12" i="1"/>
  <c r="GK12" i="1"/>
  <c r="FJ12" i="1"/>
  <c r="EI12" i="1"/>
  <c r="CS12" i="1"/>
  <c r="BR12" i="1"/>
  <c r="BF12" i="1"/>
  <c r="AT12" i="1"/>
  <c r="AH12" i="1"/>
  <c r="V12" i="1"/>
  <c r="J12" i="1"/>
  <c r="JB12" i="1"/>
  <c r="IM12" i="1"/>
  <c r="GW12" i="1"/>
  <c r="FV12" i="1"/>
  <c r="EU12" i="1"/>
  <c r="DE12" i="1"/>
  <c r="CD12" i="1"/>
  <c r="HI12" i="1"/>
  <c r="GH12" i="1"/>
  <c r="FG12" i="1"/>
  <c r="DQ12" i="1"/>
  <c r="CP12" i="1"/>
  <c r="BO12" i="1"/>
  <c r="BC12" i="1"/>
  <c r="AQ12" i="1"/>
  <c r="AE12" i="1"/>
  <c r="S12" i="1"/>
  <c r="G12" i="1"/>
  <c r="IY12" i="1"/>
  <c r="HU12" i="1"/>
  <c r="GT12" i="1"/>
  <c r="FS12" i="1"/>
  <c r="EC12" i="1"/>
  <c r="DB12" i="1"/>
  <c r="CA12" i="1"/>
  <c r="IG12" i="1"/>
  <c r="HF12" i="1"/>
  <c r="GE12" i="1"/>
  <c r="EO12" i="1"/>
  <c r="DN12" i="1"/>
  <c r="CM12" i="1"/>
  <c r="BL12" i="1"/>
  <c r="AZ12" i="1"/>
  <c r="AN12" i="1"/>
  <c r="AB12" i="1"/>
  <c r="P12" i="1"/>
  <c r="BN27" i="39"/>
  <c r="BN20" i="39"/>
  <c r="BN18" i="39"/>
  <c r="BN19" i="39"/>
  <c r="BN23" i="39"/>
  <c r="M47" i="31"/>
  <c r="T28" i="39"/>
  <c r="J28" i="39"/>
  <c r="AL28" i="39"/>
  <c r="I28" i="39"/>
  <c r="AR28" i="39"/>
  <c r="V28" i="39"/>
  <c r="BD28" i="39"/>
  <c r="D53" i="32"/>
  <c r="BD30" i="39"/>
  <c r="V30" i="39"/>
  <c r="I30" i="39"/>
  <c r="AX30" i="39"/>
  <c r="T30" i="39"/>
  <c r="AL30" i="39"/>
  <c r="J30" i="39"/>
  <c r="AR30" i="39"/>
  <c r="M47" i="30"/>
  <c r="M7" i="32"/>
  <c r="M34" i="33"/>
  <c r="J40" i="33" s="1"/>
  <c r="I40" i="33"/>
  <c r="R9" i="39" s="1"/>
  <c r="C8" i="45" s="1"/>
  <c r="E40" i="31"/>
  <c r="E13" i="2"/>
  <c r="D46" i="30"/>
  <c r="D46" i="29" s="1"/>
  <c r="E46" i="29" s="1"/>
  <c r="E48" i="31"/>
  <c r="E42" i="31"/>
  <c r="AR35" i="39"/>
  <c r="T35" i="39"/>
  <c r="V35" i="39"/>
  <c r="BD35" i="39"/>
  <c r="I35" i="39"/>
  <c r="AL35" i="39"/>
  <c r="J35" i="39"/>
  <c r="AX35" i="39"/>
  <c r="AR34" i="39"/>
  <c r="T34" i="39"/>
  <c r="V34" i="39"/>
  <c r="I34" i="39"/>
  <c r="BD34" i="39"/>
  <c r="J34" i="39"/>
  <c r="AL34" i="39"/>
  <c r="AX34" i="39"/>
  <c r="J46" i="31"/>
  <c r="J47" i="31" s="1"/>
  <c r="V27" i="39"/>
  <c r="AL27" i="39"/>
  <c r="BD27" i="39"/>
  <c r="I27" i="39"/>
  <c r="J27" i="39"/>
  <c r="AX27" i="39"/>
  <c r="AR27" i="39"/>
  <c r="T27" i="39"/>
  <c r="I26" i="39"/>
  <c r="J26" i="39"/>
  <c r="V26" i="39"/>
  <c r="AL26" i="39"/>
  <c r="T26" i="39"/>
  <c r="BD26" i="39"/>
  <c r="AR26" i="39"/>
  <c r="AX26" i="39"/>
  <c r="J24" i="39"/>
  <c r="AR24" i="39"/>
  <c r="BD24" i="39"/>
  <c r="I24" i="39"/>
  <c r="V24" i="39"/>
  <c r="AX24" i="39"/>
  <c r="T24" i="39"/>
  <c r="AL24" i="39"/>
  <c r="AR23" i="39"/>
  <c r="AL23" i="39"/>
  <c r="V23" i="39"/>
  <c r="I23" i="39"/>
  <c r="AX23" i="39"/>
  <c r="J23" i="39"/>
  <c r="BD23" i="39"/>
  <c r="T23" i="39"/>
  <c r="AV41" i="39"/>
  <c r="J22" i="39"/>
  <c r="V22" i="39"/>
  <c r="BD22" i="39"/>
  <c r="AX22" i="39"/>
  <c r="AL22" i="39"/>
  <c r="T22" i="39"/>
  <c r="I22" i="39"/>
  <c r="AR22" i="39"/>
  <c r="BD21" i="39"/>
  <c r="T21" i="39"/>
  <c r="V21" i="39"/>
  <c r="AX21" i="39"/>
  <c r="I21" i="39"/>
  <c r="AR21" i="39"/>
  <c r="AL21" i="39"/>
  <c r="J21" i="39"/>
  <c r="BD20" i="39"/>
  <c r="AR20" i="39"/>
  <c r="T20" i="39"/>
  <c r="V20" i="39"/>
  <c r="AX20" i="39"/>
  <c r="J20" i="39"/>
  <c r="AL20" i="39"/>
  <c r="I20" i="39"/>
  <c r="AR19" i="39"/>
  <c r="J19" i="39"/>
  <c r="BD19" i="39"/>
  <c r="AL19" i="39"/>
  <c r="I19" i="39"/>
  <c r="V19" i="39"/>
  <c r="T19" i="39"/>
  <c r="AX19" i="39"/>
  <c r="BD18" i="39"/>
  <c r="AL18" i="39"/>
  <c r="AX18" i="39"/>
  <c r="T18" i="39"/>
  <c r="V18" i="39"/>
  <c r="I18" i="39"/>
  <c r="J18" i="39"/>
  <c r="AR18" i="39"/>
  <c r="I16" i="39"/>
  <c r="J16" i="39"/>
  <c r="AX16" i="39"/>
  <c r="AR16" i="39"/>
  <c r="AL16" i="39"/>
  <c r="BD16" i="39"/>
  <c r="V16" i="39"/>
  <c r="T16" i="39"/>
  <c r="K34" i="31"/>
  <c r="M9" i="31"/>
  <c r="M9" i="30" s="1"/>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D47" i="30"/>
  <c r="E47" i="30" s="1"/>
  <c r="E39" i="31"/>
  <c r="E43" i="31"/>
  <c r="D48" i="29"/>
  <c r="E48" i="30"/>
  <c r="E45" i="31"/>
  <c r="E42" i="30"/>
  <c r="D42" i="27"/>
  <c r="D42" i="28" s="1"/>
  <c r="E42" i="28" s="1"/>
  <c r="D44" i="30"/>
  <c r="E44" i="30" s="1"/>
  <c r="D51" i="30"/>
  <c r="E51" i="31"/>
  <c r="E38" i="30"/>
  <c r="D38" i="29"/>
  <c r="D43" i="29"/>
  <c r="E43" i="30"/>
  <c r="D39" i="29"/>
  <c r="E39" i="30"/>
  <c r="E49" i="31"/>
  <c r="D49" i="30"/>
  <c r="J39" i="31"/>
  <c r="J37" i="30"/>
  <c r="D50" i="30"/>
  <c r="E50" i="31"/>
  <c r="D41" i="30"/>
  <c r="E41" i="31"/>
  <c r="D52" i="31"/>
  <c r="D53" i="31" s="1"/>
  <c r="E45" i="30"/>
  <c r="D45" i="29"/>
  <c r="E52" i="32"/>
  <c r="E53" i="32" s="1"/>
  <c r="M8" i="30"/>
  <c r="AU17" i="39"/>
  <c r="J57" i="24"/>
  <c r="D41" i="1"/>
  <c r="AA173" i="46" l="1"/>
  <c r="R33" i="45"/>
  <c r="O36" i="45"/>
  <c r="G36" i="45"/>
  <c r="U36" i="45"/>
  <c r="E38" i="1"/>
  <c r="C37" i="45"/>
  <c r="BN38" i="39"/>
  <c r="J38" i="39"/>
  <c r="AR38" i="39"/>
  <c r="AX38" i="39"/>
  <c r="AL38" i="39"/>
  <c r="BD38" i="39"/>
  <c r="T38" i="39"/>
  <c r="I38" i="39"/>
  <c r="V38" i="39"/>
  <c r="R36" i="45"/>
  <c r="EY18" i="2"/>
  <c r="R22" i="45"/>
  <c r="S25" i="1"/>
  <c r="HI25" i="1"/>
  <c r="GN32" i="1"/>
  <c r="U27" i="45"/>
  <c r="K33" i="45"/>
  <c r="G27" i="45"/>
  <c r="AW29" i="1"/>
  <c r="EO29" i="1"/>
  <c r="JE29" i="1"/>
  <c r="CM29" i="1"/>
  <c r="GE29" i="1"/>
  <c r="R25" i="45"/>
  <c r="AT29" i="1"/>
  <c r="O25" i="45"/>
  <c r="AZ29" i="1"/>
  <c r="EL29" i="1"/>
  <c r="U19" i="45"/>
  <c r="G19" i="45"/>
  <c r="R27" i="45"/>
  <c r="K25" i="45"/>
  <c r="O27" i="45"/>
  <c r="M44" i="30"/>
  <c r="R26" i="45"/>
  <c r="M44" i="31"/>
  <c r="U25" i="45"/>
  <c r="O17" i="45"/>
  <c r="G34" i="45"/>
  <c r="G33" i="45"/>
  <c r="R29" i="45"/>
  <c r="R31" i="45"/>
  <c r="O33" i="45"/>
  <c r="O29" i="45"/>
  <c r="U31" i="45"/>
  <c r="U23" i="45"/>
  <c r="R17" i="45"/>
  <c r="R28" i="45"/>
  <c r="K21" i="45"/>
  <c r="FD29" i="1"/>
  <c r="AB29" i="1"/>
  <c r="BI29" i="1"/>
  <c r="FA29" i="1"/>
  <c r="G29" i="1"/>
  <c r="CY29" i="1"/>
  <c r="HO29" i="1"/>
  <c r="BF29" i="1"/>
  <c r="EX29" i="1"/>
  <c r="HL29" i="1"/>
  <c r="G14" i="45"/>
  <c r="U15" i="45"/>
  <c r="IV29" i="1"/>
  <c r="JH29" i="1"/>
  <c r="DT29" i="1"/>
  <c r="BU29" i="1"/>
  <c r="FM29" i="1"/>
  <c r="S29" i="1"/>
  <c r="DK29" i="1"/>
  <c r="IA29" i="1"/>
  <c r="BR29" i="1"/>
  <c r="FJ29" i="1"/>
  <c r="HF29" i="1"/>
  <c r="K14" i="45"/>
  <c r="R23" i="45"/>
  <c r="ER29" i="1"/>
  <c r="P29" i="1"/>
  <c r="CJ29" i="1"/>
  <c r="CG29" i="1"/>
  <c r="FY29" i="1"/>
  <c r="AE29" i="1"/>
  <c r="DW29" i="1"/>
  <c r="IM29" i="1"/>
  <c r="CD29" i="1"/>
  <c r="FV29" i="1"/>
  <c r="GT29" i="1"/>
  <c r="G23" i="45"/>
  <c r="BX29" i="1"/>
  <c r="DH29" i="1"/>
  <c r="GB29" i="1"/>
  <c r="CS29" i="1"/>
  <c r="GK29" i="1"/>
  <c r="AQ29" i="1"/>
  <c r="EI29" i="1"/>
  <c r="IY29" i="1"/>
  <c r="CP29" i="1"/>
  <c r="GH29" i="1"/>
  <c r="HC29" i="1"/>
  <c r="R19" i="45"/>
  <c r="K23" i="45"/>
  <c r="E30" i="2"/>
  <c r="EW30" i="2" s="1"/>
  <c r="BL29" i="1"/>
  <c r="AN29" i="1"/>
  <c r="M29" i="1"/>
  <c r="DE29" i="1"/>
  <c r="HU29" i="1"/>
  <c r="BC29" i="1"/>
  <c r="EU29" i="1"/>
  <c r="J29" i="1"/>
  <c r="DB29" i="1"/>
  <c r="HR29" i="1"/>
  <c r="GZ29" i="1"/>
  <c r="GQ29" i="1"/>
  <c r="FP29" i="1"/>
  <c r="EF29" i="1"/>
  <c r="Y29" i="1"/>
  <c r="DQ29" i="1"/>
  <c r="IG29" i="1"/>
  <c r="BO29" i="1"/>
  <c r="FG29" i="1"/>
  <c r="V29" i="1"/>
  <c r="DN29" i="1"/>
  <c r="ID29" i="1"/>
  <c r="GN29" i="1"/>
  <c r="R18" i="45"/>
  <c r="K19" i="45"/>
  <c r="IJ29" i="1"/>
  <c r="HX29" i="1"/>
  <c r="AK29" i="1"/>
  <c r="EC29" i="1"/>
  <c r="IS29" i="1"/>
  <c r="CA29" i="1"/>
  <c r="FS29" i="1"/>
  <c r="AH29" i="1"/>
  <c r="DZ29" i="1"/>
  <c r="IP29" i="1"/>
  <c r="O34" i="45"/>
  <c r="K18" i="45"/>
  <c r="G28" i="45"/>
  <c r="R15" i="45"/>
  <c r="G15" i="45"/>
  <c r="O15" i="45"/>
  <c r="O28" i="45"/>
  <c r="R14" i="45"/>
  <c r="U18" i="45"/>
  <c r="K28" i="45"/>
  <c r="U29" i="45"/>
  <c r="O14" i="45"/>
  <c r="R21" i="45"/>
  <c r="K20" i="45"/>
  <c r="C12" i="45"/>
  <c r="R12" i="45" s="1"/>
  <c r="E13" i="1"/>
  <c r="O24" i="45"/>
  <c r="G24" i="45"/>
  <c r="O31" i="45"/>
  <c r="U22" i="45"/>
  <c r="O20" i="45"/>
  <c r="U26" i="45"/>
  <c r="U21" i="45"/>
  <c r="O22" i="45"/>
  <c r="U20" i="45"/>
  <c r="U24" i="45"/>
  <c r="K31" i="45"/>
  <c r="K22" i="45"/>
  <c r="G26" i="45"/>
  <c r="R24" i="45"/>
  <c r="K26" i="45"/>
  <c r="C35" i="45"/>
  <c r="U35" i="45" s="1"/>
  <c r="E36" i="1"/>
  <c r="R34" i="45"/>
  <c r="G17" i="45"/>
  <c r="C13" i="45"/>
  <c r="U13" i="45" s="1"/>
  <c r="E14" i="1"/>
  <c r="HI14" i="1" s="1"/>
  <c r="EW34" i="2"/>
  <c r="U34" i="45"/>
  <c r="K17" i="45"/>
  <c r="O18" i="45"/>
  <c r="G20" i="45"/>
  <c r="G29" i="45"/>
  <c r="O21" i="45"/>
  <c r="A13" i="1"/>
  <c r="A14" i="2" s="1"/>
  <c r="U11" i="45"/>
  <c r="K11" i="45"/>
  <c r="G11" i="45"/>
  <c r="O11" i="45"/>
  <c r="R11" i="45"/>
  <c r="U32" i="45"/>
  <c r="K32" i="45"/>
  <c r="O32" i="45"/>
  <c r="R32" i="45"/>
  <c r="G32" i="45"/>
  <c r="K8" i="45"/>
  <c r="G8" i="45"/>
  <c r="O8" i="45"/>
  <c r="U8" i="45"/>
  <c r="R8" i="45"/>
  <c r="AK11" i="39"/>
  <c r="EW38" i="2"/>
  <c r="R10" i="39"/>
  <c r="L45" i="32"/>
  <c r="I45" i="32"/>
  <c r="I48" i="32"/>
  <c r="CA32" i="1"/>
  <c r="GK32" i="1"/>
  <c r="CS15" i="1"/>
  <c r="CA15" i="1"/>
  <c r="E16" i="2"/>
  <c r="JE32" i="1"/>
  <c r="FS32" i="1"/>
  <c r="GE15" i="1"/>
  <c r="IJ15" i="1"/>
  <c r="AW32" i="1"/>
  <c r="CM15" i="1"/>
  <c r="ER15" i="1"/>
  <c r="FG15" i="1"/>
  <c r="BR32" i="1"/>
  <c r="AK15" i="1"/>
  <c r="AZ15" i="1"/>
  <c r="BO15" i="1"/>
  <c r="IS15" i="1"/>
  <c r="EO15" i="1"/>
  <c r="FJ32" i="1"/>
  <c r="AH15" i="1"/>
  <c r="V15" i="1"/>
  <c r="HX15" i="1"/>
  <c r="BC15" i="1"/>
  <c r="BI15" i="1"/>
  <c r="EC32" i="1"/>
  <c r="Q12" i="39"/>
  <c r="AQ12" i="39" s="1"/>
  <c r="AB32" i="1"/>
  <c r="J15" i="1"/>
  <c r="EF15" i="1"/>
  <c r="HL15" i="1"/>
  <c r="DT32" i="1"/>
  <c r="IP15" i="1"/>
  <c r="AN15" i="1"/>
  <c r="DT15" i="1"/>
  <c r="M15" i="1"/>
  <c r="CS32" i="1"/>
  <c r="BI32" i="1"/>
  <c r="EO32" i="1"/>
  <c r="CD32" i="1"/>
  <c r="FV32" i="1"/>
  <c r="AN32" i="1"/>
  <c r="EF32" i="1"/>
  <c r="JH32" i="1"/>
  <c r="CM32" i="1"/>
  <c r="GE32" i="1"/>
  <c r="J16" i="15"/>
  <c r="J16" i="14" s="1"/>
  <c r="J16" i="13" s="1"/>
  <c r="J16" i="12" s="1"/>
  <c r="J16" i="10" s="1"/>
  <c r="J16" i="9" s="1"/>
  <c r="J16" i="8" s="1"/>
  <c r="J16" i="7" s="1"/>
  <c r="J16" i="6" s="1"/>
  <c r="J16" i="37" s="1"/>
  <c r="J18" i="15"/>
  <c r="J18" i="14" s="1"/>
  <c r="J18" i="13" s="1"/>
  <c r="J18" i="12" s="1"/>
  <c r="J18" i="11" s="1"/>
  <c r="J18" i="10" s="1"/>
  <c r="J18" i="9" s="1"/>
  <c r="J18" i="8" s="1"/>
  <c r="J18" i="7" s="1"/>
  <c r="J18" i="6" s="1"/>
  <c r="J18" i="37" s="1"/>
  <c r="GW32" i="1"/>
  <c r="E33" i="2"/>
  <c r="EW33" i="2" s="1"/>
  <c r="AK32" i="1"/>
  <c r="FA32" i="1"/>
  <c r="IG32" i="1"/>
  <c r="CP32" i="1"/>
  <c r="GH32" i="1"/>
  <c r="AZ32" i="1"/>
  <c r="ER32" i="1"/>
  <c r="G32" i="1"/>
  <c r="CY32" i="1"/>
  <c r="HO32" i="1"/>
  <c r="HU32" i="1"/>
  <c r="IS32" i="1"/>
  <c r="J32" i="1"/>
  <c r="DB32" i="1"/>
  <c r="HR32" i="1"/>
  <c r="BL32" i="1"/>
  <c r="FD32" i="1"/>
  <c r="S32" i="1"/>
  <c r="DK32" i="1"/>
  <c r="IA32" i="1"/>
  <c r="ID15" i="1"/>
  <c r="IA15" i="1"/>
  <c r="M32" i="1"/>
  <c r="Y32" i="1"/>
  <c r="V32" i="1"/>
  <c r="DN32" i="1"/>
  <c r="ID32" i="1"/>
  <c r="BX32" i="1"/>
  <c r="FP32" i="1"/>
  <c r="AE32" i="1"/>
  <c r="DW32" i="1"/>
  <c r="IM32" i="1"/>
  <c r="HL32" i="1"/>
  <c r="HR15" i="1"/>
  <c r="EI15" i="1"/>
  <c r="DW15" i="1"/>
  <c r="DE32" i="1"/>
  <c r="DQ32" i="1"/>
  <c r="AH32" i="1"/>
  <c r="DZ32" i="1"/>
  <c r="IP32" i="1"/>
  <c r="CJ32" i="1"/>
  <c r="GB32" i="1"/>
  <c r="AQ32" i="1"/>
  <c r="EI32" i="1"/>
  <c r="IY32" i="1"/>
  <c r="HI32" i="1"/>
  <c r="IV15" i="1"/>
  <c r="FY15" i="1"/>
  <c r="HF15" i="1"/>
  <c r="JE15" i="1"/>
  <c r="G15" i="1"/>
  <c r="FA15" i="1"/>
  <c r="EX15" i="1"/>
  <c r="AQ15" i="1"/>
  <c r="AE15" i="1"/>
  <c r="BU32" i="1"/>
  <c r="CG32" i="1"/>
  <c r="AT32" i="1"/>
  <c r="EL32" i="1"/>
  <c r="JB32" i="1"/>
  <c r="CV32" i="1"/>
  <c r="HX32" i="1"/>
  <c r="BC32" i="1"/>
  <c r="EU32" i="1"/>
  <c r="HF32" i="1"/>
  <c r="FD15" i="1"/>
  <c r="CG15" i="1"/>
  <c r="AT15" i="1"/>
  <c r="FM15" i="1"/>
  <c r="DN15" i="1"/>
  <c r="IM15" i="1"/>
  <c r="GZ15" i="1"/>
  <c r="GN15" i="1"/>
  <c r="GQ15" i="1"/>
  <c r="FM32" i="1"/>
  <c r="FY32" i="1"/>
  <c r="BF32" i="1"/>
  <c r="EX32" i="1"/>
  <c r="P32" i="1"/>
  <c r="DH32" i="1"/>
  <c r="IJ32" i="1"/>
  <c r="BO32" i="1"/>
  <c r="FG32" i="1"/>
  <c r="J14" i="17"/>
  <c r="J14" i="16" s="1"/>
  <c r="J14" i="15" s="1"/>
  <c r="J14" i="14" s="1"/>
  <c r="J14" i="13" s="1"/>
  <c r="J14" i="12" s="1"/>
  <c r="J14" i="11" s="1"/>
  <c r="J14" i="10" s="1"/>
  <c r="J14" i="9" s="1"/>
  <c r="J14" i="8" s="1"/>
  <c r="J14" i="7" s="1"/>
  <c r="J14" i="6" s="1"/>
  <c r="J14" i="37" s="1"/>
  <c r="HC32" i="1"/>
  <c r="BL15" i="1"/>
  <c r="FS15" i="1"/>
  <c r="CP15" i="1"/>
  <c r="IY15" i="1"/>
  <c r="JB15" i="1"/>
  <c r="EU15" i="1"/>
  <c r="DZ15" i="1"/>
  <c r="GT15" i="1"/>
  <c r="CY15" i="1"/>
  <c r="JH15" i="1"/>
  <c r="CV15" i="1"/>
  <c r="FP15" i="1"/>
  <c r="BX15" i="1"/>
  <c r="DH15" i="1"/>
  <c r="HU15" i="1"/>
  <c r="FV15" i="1"/>
  <c r="BR15" i="1"/>
  <c r="P15" i="1"/>
  <c r="EC15" i="1"/>
  <c r="BU15" i="1"/>
  <c r="GW15" i="1"/>
  <c r="AW15" i="1"/>
  <c r="AB15" i="1"/>
  <c r="IG15" i="1"/>
  <c r="EL15" i="1"/>
  <c r="HO15" i="1"/>
  <c r="GH15" i="1"/>
  <c r="DE15" i="1"/>
  <c r="GQ32" i="1"/>
  <c r="GT32" i="1"/>
  <c r="GZ32" i="1"/>
  <c r="J26" i="4"/>
  <c r="J26" i="43" s="1"/>
  <c r="J25" i="4"/>
  <c r="J25" i="43" s="1"/>
  <c r="J24" i="4"/>
  <c r="J24" i="43" s="1"/>
  <c r="J13" i="37"/>
  <c r="J13" i="4" s="1"/>
  <c r="J13" i="43" s="1"/>
  <c r="GK15" i="1"/>
  <c r="S15" i="1"/>
  <c r="GB15" i="1"/>
  <c r="CJ15" i="1"/>
  <c r="DB15" i="1"/>
  <c r="HI15" i="1"/>
  <c r="CD15" i="1"/>
  <c r="DQ15" i="1"/>
  <c r="BF15" i="1"/>
  <c r="HC15" i="1"/>
  <c r="FJ15" i="1"/>
  <c r="DK15" i="1"/>
  <c r="J12" i="37"/>
  <c r="J12" i="4" s="1"/>
  <c r="J12" i="43" s="1"/>
  <c r="I9" i="39"/>
  <c r="V9" i="39"/>
  <c r="BN9" i="39"/>
  <c r="AR9" i="39"/>
  <c r="T9" i="39"/>
  <c r="J9" i="39"/>
  <c r="S9" i="39"/>
  <c r="AL9" i="39"/>
  <c r="BD9" i="39"/>
  <c r="AX9" i="39"/>
  <c r="V36" i="39"/>
  <c r="J36" i="39"/>
  <c r="AX36" i="39"/>
  <c r="I36" i="39"/>
  <c r="AL36" i="39"/>
  <c r="T36" i="39"/>
  <c r="BD36" i="39"/>
  <c r="AR36" i="39"/>
  <c r="BN36" i="39"/>
  <c r="G25" i="1"/>
  <c r="GH25" i="1"/>
  <c r="EL25" i="1"/>
  <c r="GZ25" i="1"/>
  <c r="EF25" i="1"/>
  <c r="GN35" i="1"/>
  <c r="GW35" i="1"/>
  <c r="GQ35" i="1"/>
  <c r="GT35" i="1"/>
  <c r="GK35" i="1"/>
  <c r="DT25" i="1"/>
  <c r="IP25" i="1"/>
  <c r="FV25" i="1"/>
  <c r="J10" i="9"/>
  <c r="J10" i="8" s="1"/>
  <c r="J10" i="7" s="1"/>
  <c r="J10" i="6" s="1"/>
  <c r="GQ34" i="1"/>
  <c r="GK34" i="1"/>
  <c r="GW34" i="1"/>
  <c r="GN34" i="1"/>
  <c r="GZ34" i="1"/>
  <c r="GT34" i="1"/>
  <c r="ID25" i="1"/>
  <c r="FA25" i="1"/>
  <c r="CM25" i="1"/>
  <c r="AK25" i="1"/>
  <c r="GB25" i="1"/>
  <c r="CY25" i="1"/>
  <c r="HU25" i="1"/>
  <c r="FP25" i="1"/>
  <c r="GE25" i="1"/>
  <c r="JE25" i="1"/>
  <c r="HF25" i="1"/>
  <c r="GQ25" i="1"/>
  <c r="I40" i="11"/>
  <c r="GQ30" i="1"/>
  <c r="GT30" i="1"/>
  <c r="GK30" i="1"/>
  <c r="GW30" i="1"/>
  <c r="GN30" i="1"/>
  <c r="GZ30" i="1"/>
  <c r="HF30" i="1"/>
  <c r="HC30" i="1"/>
  <c r="HI30" i="1"/>
  <c r="HL30" i="1"/>
  <c r="J56" i="23"/>
  <c r="J56" i="21" s="1"/>
  <c r="GK26" i="1"/>
  <c r="GT26" i="1"/>
  <c r="GQ26" i="1"/>
  <c r="GN26" i="1"/>
  <c r="GK27" i="1"/>
  <c r="GT27" i="1"/>
  <c r="GQ27" i="1"/>
  <c r="GN27" i="1"/>
  <c r="GN28" i="1"/>
  <c r="GK28" i="1"/>
  <c r="GT28" i="1"/>
  <c r="GQ28" i="1"/>
  <c r="J22" i="16"/>
  <c r="J22" i="15" s="1"/>
  <c r="J22" i="14" s="1"/>
  <c r="J22" i="13" s="1"/>
  <c r="J22" i="12" s="1"/>
  <c r="J22" i="11" s="1"/>
  <c r="J22" i="10" s="1"/>
  <c r="J22" i="9" s="1"/>
  <c r="J22" i="8" s="1"/>
  <c r="J22" i="7" s="1"/>
  <c r="J22" i="6" s="1"/>
  <c r="J22" i="37" s="1"/>
  <c r="J23" i="16"/>
  <c r="J23" i="15" s="1"/>
  <c r="J23" i="14" s="1"/>
  <c r="J23" i="13" s="1"/>
  <c r="J23" i="12" s="1"/>
  <c r="J23" i="11" s="1"/>
  <c r="J23" i="10" s="1"/>
  <c r="J23" i="9" s="1"/>
  <c r="J23" i="8" s="1"/>
  <c r="J23" i="7" s="1"/>
  <c r="J23" i="6" s="1"/>
  <c r="J23" i="37" s="1"/>
  <c r="J19" i="14"/>
  <c r="J19" i="13" s="1"/>
  <c r="BD14" i="39"/>
  <c r="AR14" i="39"/>
  <c r="J11" i="20"/>
  <c r="AX14" i="39"/>
  <c r="J9" i="22"/>
  <c r="HR25" i="1"/>
  <c r="IV25" i="1"/>
  <c r="JB25" i="1"/>
  <c r="BL25" i="1"/>
  <c r="BF25" i="1"/>
  <c r="V25" i="1"/>
  <c r="IS25" i="1"/>
  <c r="JH25" i="1"/>
  <c r="P25" i="1"/>
  <c r="HX25" i="1"/>
  <c r="DW25" i="1"/>
  <c r="HO25" i="1"/>
  <c r="FJ25" i="1"/>
  <c r="AE25" i="1"/>
  <c r="DK25" i="1"/>
  <c r="M25" i="1"/>
  <c r="CG25" i="1"/>
  <c r="AW25" i="1"/>
  <c r="IA25" i="1"/>
  <c r="IG25" i="1"/>
  <c r="CS25" i="1"/>
  <c r="AH25" i="1"/>
  <c r="AZ25" i="1"/>
  <c r="EI25" i="1"/>
  <c r="BR25" i="1"/>
  <c r="EC25" i="1"/>
  <c r="AT25" i="1"/>
  <c r="DH25" i="1"/>
  <c r="BI25" i="1"/>
  <c r="BX25" i="1"/>
  <c r="CP25" i="1"/>
  <c r="AN25" i="1"/>
  <c r="BC25" i="1"/>
  <c r="EU25" i="1"/>
  <c r="IM25" i="1"/>
  <c r="Y25" i="1"/>
  <c r="IJ25" i="1"/>
  <c r="HC25" i="1"/>
  <c r="AB25" i="1"/>
  <c r="DB25" i="1"/>
  <c r="FM25" i="1"/>
  <c r="FD25" i="1"/>
  <c r="EX25" i="1"/>
  <c r="CJ25" i="1"/>
  <c r="DN25" i="1"/>
  <c r="DQ25" i="1"/>
  <c r="CD25" i="1"/>
  <c r="BO25" i="1"/>
  <c r="FG25" i="1"/>
  <c r="IY25" i="1"/>
  <c r="E26" i="2"/>
  <c r="EY26" i="2" s="1"/>
  <c r="BU25" i="1"/>
  <c r="J25" i="1"/>
  <c r="GW25" i="1"/>
  <c r="CV25" i="1"/>
  <c r="AQ25" i="1"/>
  <c r="GT25" i="1"/>
  <c r="HL25" i="1"/>
  <c r="GK25" i="1"/>
  <c r="GN25" i="1"/>
  <c r="FY25" i="1"/>
  <c r="DZ25" i="1"/>
  <c r="EO25" i="1"/>
  <c r="ER25" i="1"/>
  <c r="DE25" i="1"/>
  <c r="CA25" i="1"/>
  <c r="M44" i="29"/>
  <c r="J44" i="29"/>
  <c r="T14" i="39"/>
  <c r="M47" i="29"/>
  <c r="V14" i="39"/>
  <c r="J14" i="39"/>
  <c r="I14" i="39"/>
  <c r="BN14" i="39"/>
  <c r="AL14" i="39"/>
  <c r="J13" i="39"/>
  <c r="V13" i="39"/>
  <c r="AX13" i="39"/>
  <c r="AL13" i="39"/>
  <c r="BD13" i="39"/>
  <c r="BN13" i="39"/>
  <c r="T13" i="39"/>
  <c r="I13" i="39"/>
  <c r="AR13" i="39"/>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E24" i="1"/>
  <c r="HX24" i="1"/>
  <c r="HI24" i="1"/>
  <c r="GB24" i="1"/>
  <c r="FM24" i="1"/>
  <c r="EF24" i="1"/>
  <c r="DQ24" i="1"/>
  <c r="CJ24" i="1"/>
  <c r="BU24" i="1"/>
  <c r="AN24" i="1"/>
  <c r="Y24" i="1"/>
  <c r="IJ24" i="1"/>
  <c r="HU24" i="1"/>
  <c r="GN24" i="1"/>
  <c r="FY24" i="1"/>
  <c r="ER24" i="1"/>
  <c r="EC24" i="1"/>
  <c r="CV24" i="1"/>
  <c r="CG24" i="1"/>
  <c r="AZ24" i="1"/>
  <c r="AK24" i="1"/>
  <c r="IS24" i="1"/>
  <c r="FA24" i="1"/>
  <c r="BI24" i="1"/>
  <c r="JH24" i="1"/>
  <c r="GK24" i="1"/>
  <c r="FP24" i="1"/>
  <c r="CS24" i="1"/>
  <c r="BX24" i="1"/>
  <c r="GZ24" i="1"/>
  <c r="DH24" i="1"/>
  <c r="P24" i="1"/>
  <c r="IG24" i="1"/>
  <c r="HL24" i="1"/>
  <c r="EO24" i="1"/>
  <c r="DT24" i="1"/>
  <c r="AW24" i="1"/>
  <c r="AB24" i="1"/>
  <c r="DE24" i="1"/>
  <c r="BL24" i="1"/>
  <c r="M24" i="1"/>
  <c r="IV24" i="1"/>
  <c r="GW24" i="1"/>
  <c r="FD24"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JE19" i="1"/>
  <c r="IS19" i="1"/>
  <c r="IG19" i="1"/>
  <c r="HU19" i="1"/>
  <c r="HI19" i="1"/>
  <c r="GW19" i="1"/>
  <c r="GK19" i="1"/>
  <c r="FY19" i="1"/>
  <c r="FM19" i="1"/>
  <c r="FA19" i="1"/>
  <c r="EO19" i="1"/>
  <c r="EC19" i="1"/>
  <c r="DQ19" i="1"/>
  <c r="DE19" i="1"/>
  <c r="CS19" i="1"/>
  <c r="CG19" i="1"/>
  <c r="BU19" i="1"/>
  <c r="BI19" i="1"/>
  <c r="AW19" i="1"/>
  <c r="AK19" i="1"/>
  <c r="Y19" i="1"/>
  <c r="M19" i="1"/>
  <c r="JB19" i="1"/>
  <c r="IP19" i="1"/>
  <c r="ID19" i="1"/>
  <c r="HR19" i="1"/>
  <c r="HF19" i="1"/>
  <c r="GT19" i="1"/>
  <c r="GH19" i="1"/>
  <c r="FV19" i="1"/>
  <c r="FJ19" i="1"/>
  <c r="EX19" i="1"/>
  <c r="EL19" i="1"/>
  <c r="DZ19" i="1"/>
  <c r="DN19" i="1"/>
  <c r="DB19" i="1"/>
  <c r="CP19" i="1"/>
  <c r="CD19" i="1"/>
  <c r="BR19" i="1"/>
  <c r="BF19" i="1"/>
  <c r="AT19" i="1"/>
  <c r="AH19" i="1"/>
  <c r="V19" i="1"/>
  <c r="J19" i="1"/>
  <c r="JH20" i="1"/>
  <c r="IV20" i="1"/>
  <c r="IJ20" i="1"/>
  <c r="HX20" i="1"/>
  <c r="HL20" i="1"/>
  <c r="GZ20" i="1"/>
  <c r="GN20" i="1"/>
  <c r="GB20" i="1"/>
  <c r="FP20" i="1"/>
  <c r="FD20" i="1"/>
  <c r="ER20" i="1"/>
  <c r="IS20" i="1"/>
  <c r="HR20" i="1"/>
  <c r="GQ20" i="1"/>
  <c r="FA20" i="1"/>
  <c r="IP20" i="1"/>
  <c r="HO20" i="1"/>
  <c r="FY20" i="1"/>
  <c r="EX20" i="1"/>
  <c r="JB20" i="1"/>
  <c r="IA20" i="1"/>
  <c r="GK20" i="1"/>
  <c r="FJ20" i="1"/>
  <c r="EI20" i="1"/>
  <c r="DW20" i="1"/>
  <c r="DK20" i="1"/>
  <c r="CY20" i="1"/>
  <c r="CM20" i="1"/>
  <c r="CA20" i="1"/>
  <c r="BO20" i="1"/>
  <c r="BC20" i="1"/>
  <c r="AQ20" i="1"/>
  <c r="AE20" i="1"/>
  <c r="S20" i="1"/>
  <c r="G20" i="1"/>
  <c r="IM20" i="1"/>
  <c r="GW20" i="1"/>
  <c r="FV20" i="1"/>
  <c r="EU20" i="1"/>
  <c r="HU20" i="1"/>
  <c r="GT20" i="1"/>
  <c r="FS20" i="1"/>
  <c r="FM20" i="1"/>
  <c r="DQ20" i="1"/>
  <c r="CP20" i="1"/>
  <c r="AZ20" i="1"/>
  <c r="Y20" i="1"/>
  <c r="IG20" i="1"/>
  <c r="GE20" i="1"/>
  <c r="EC20" i="1"/>
  <c r="DB20" i="1"/>
  <c r="BL20" i="1"/>
  <c r="AK20" i="1"/>
  <c r="J20" i="1"/>
  <c r="IY20" i="1"/>
  <c r="EO20" i="1"/>
  <c r="DN20" i="1"/>
  <c r="BX20" i="1"/>
  <c r="AW20" i="1"/>
  <c r="V20" i="1"/>
  <c r="ID20" i="1"/>
  <c r="HI20" i="1"/>
  <c r="FG20" i="1"/>
  <c r="DZ20" i="1"/>
  <c r="CJ20" i="1"/>
  <c r="BI20" i="1"/>
  <c r="AH20" i="1"/>
  <c r="DT20" i="1"/>
  <c r="CS20" i="1"/>
  <c r="BR20" i="1"/>
  <c r="AB20" i="1"/>
  <c r="JE20" i="1"/>
  <c r="EF20" i="1"/>
  <c r="DH20" i="1"/>
  <c r="BF20" i="1"/>
  <c r="AN20" i="1"/>
  <c r="HF20" i="1"/>
  <c r="P20" i="1"/>
  <c r="DE20" i="1"/>
  <c r="BU20" i="1"/>
  <c r="HC20" i="1"/>
  <c r="GH20" i="1"/>
  <c r="M20" i="1"/>
  <c r="EL20" i="1"/>
  <c r="CG20" i="1"/>
  <c r="AT20" i="1"/>
  <c r="CV20" i="1"/>
  <c r="CD20" i="1"/>
  <c r="JB26" i="1"/>
  <c r="IP26" i="1"/>
  <c r="ID26" i="1"/>
  <c r="HR26" i="1"/>
  <c r="HF26" i="1"/>
  <c r="GH26" i="1"/>
  <c r="FV26" i="1"/>
  <c r="FJ26" i="1"/>
  <c r="EX26" i="1"/>
  <c r="EL26" i="1"/>
  <c r="DZ26" i="1"/>
  <c r="DN26" i="1"/>
  <c r="DB26" i="1"/>
  <c r="CP26" i="1"/>
  <c r="CD26" i="1"/>
  <c r="BR26" i="1"/>
  <c r="BF26" i="1"/>
  <c r="AT26" i="1"/>
  <c r="AH26" i="1"/>
  <c r="V26" i="1"/>
  <c r="J26" i="1"/>
  <c r="IY26" i="1"/>
  <c r="IM26" i="1"/>
  <c r="IA26" i="1"/>
  <c r="HO26" i="1"/>
  <c r="HC26" i="1"/>
  <c r="GE26" i="1"/>
  <c r="FS26" i="1"/>
  <c r="FG26" i="1"/>
  <c r="EU26" i="1"/>
  <c r="EI26" i="1"/>
  <c r="DW26" i="1"/>
  <c r="DK26" i="1"/>
  <c r="CY26" i="1"/>
  <c r="CM26" i="1"/>
  <c r="CA26" i="1"/>
  <c r="BO26" i="1"/>
  <c r="BC26" i="1"/>
  <c r="AQ26" i="1"/>
  <c r="AE26" i="1"/>
  <c r="S26" i="1"/>
  <c r="G26" i="1"/>
  <c r="IV26" i="1"/>
  <c r="IG26" i="1"/>
  <c r="GZ26" i="1"/>
  <c r="FD26" i="1"/>
  <c r="EO26" i="1"/>
  <c r="DH26" i="1"/>
  <c r="CS26" i="1"/>
  <c r="BL26" i="1"/>
  <c r="AW26" i="1"/>
  <c r="P26" i="1"/>
  <c r="JE26" i="1"/>
  <c r="HX26" i="1"/>
  <c r="HI26" i="1"/>
  <c r="GB26" i="1"/>
  <c r="FM26" i="1"/>
  <c r="EF26" i="1"/>
  <c r="DQ26" i="1"/>
  <c r="CJ26" i="1"/>
  <c r="BU26" i="1"/>
  <c r="AN26" i="1"/>
  <c r="Y26" i="1"/>
  <c r="IJ26" i="1"/>
  <c r="HU26" i="1"/>
  <c r="FY26" i="1"/>
  <c r="ER26" i="1"/>
  <c r="EC26" i="1"/>
  <c r="CV26" i="1"/>
  <c r="CG26" i="1"/>
  <c r="AZ26" i="1"/>
  <c r="AK26" i="1"/>
  <c r="JH26" i="1"/>
  <c r="GW26" i="1"/>
  <c r="BX26" i="1"/>
  <c r="M26" i="1"/>
  <c r="HL26" i="1"/>
  <c r="FA26" i="1"/>
  <c r="AB26" i="1"/>
  <c r="FP26" i="1"/>
  <c r="DE26" i="1"/>
  <c r="IS26" i="1"/>
  <c r="DT26" i="1"/>
  <c r="BI26" i="1"/>
  <c r="JE27" i="1"/>
  <c r="IS27" i="1"/>
  <c r="IG27" i="1"/>
  <c r="HU27" i="1"/>
  <c r="HI27" i="1"/>
  <c r="GW27" i="1"/>
  <c r="FY27" i="1"/>
  <c r="FM27" i="1"/>
  <c r="FA27" i="1"/>
  <c r="EO27" i="1"/>
  <c r="EC27" i="1"/>
  <c r="DQ27" i="1"/>
  <c r="DE27" i="1"/>
  <c r="CS27" i="1"/>
  <c r="CG27" i="1"/>
  <c r="JB27" i="1"/>
  <c r="IP27" i="1"/>
  <c r="ID27" i="1"/>
  <c r="HR27" i="1"/>
  <c r="HF27" i="1"/>
  <c r="GH27" i="1"/>
  <c r="FV27" i="1"/>
  <c r="FJ27" i="1"/>
  <c r="EX27" i="1"/>
  <c r="EL27" i="1"/>
  <c r="DZ27" i="1"/>
  <c r="DN27" i="1"/>
  <c r="DB27" i="1"/>
  <c r="CP27" i="1"/>
  <c r="CD27" i="1"/>
  <c r="BR27" i="1"/>
  <c r="BF27" i="1"/>
  <c r="AT27" i="1"/>
  <c r="AH27" i="1"/>
  <c r="V27" i="1"/>
  <c r="J27" i="1"/>
  <c r="JH27" i="1"/>
  <c r="IV27" i="1"/>
  <c r="HX27" i="1"/>
  <c r="HL27" i="1"/>
  <c r="GZ27" i="1"/>
  <c r="GB27" i="1"/>
  <c r="FP27" i="1"/>
  <c r="FD27" i="1"/>
  <c r="ER27" i="1"/>
  <c r="EF27" i="1"/>
  <c r="DT27" i="1"/>
  <c r="DH27" i="1"/>
  <c r="CV27" i="1"/>
  <c r="CJ27" i="1"/>
  <c r="BX27" i="1"/>
  <c r="BL27" i="1"/>
  <c r="AZ27" i="1"/>
  <c r="AN27" i="1"/>
  <c r="AB27" i="1"/>
  <c r="P27" i="1"/>
  <c r="HC27" i="1"/>
  <c r="DK27" i="1"/>
  <c r="BI27" i="1"/>
  <c r="M27" i="1"/>
  <c r="IM27" i="1"/>
  <c r="EU27" i="1"/>
  <c r="AQ27" i="1"/>
  <c r="HO27" i="1"/>
  <c r="DW27" i="1"/>
  <c r="BC27" i="1"/>
  <c r="G27" i="1"/>
  <c r="IY27" i="1"/>
  <c r="FG27" i="1"/>
  <c r="AK27" i="1"/>
  <c r="IA27" i="1"/>
  <c r="EI27" i="1"/>
  <c r="AW27" i="1"/>
  <c r="FS27" i="1"/>
  <c r="CY27" i="1"/>
  <c r="BO27" i="1"/>
  <c r="Y27" i="1"/>
  <c r="GE27" i="1"/>
  <c r="CA27" i="1"/>
  <c r="S27" i="1"/>
  <c r="AE27" i="1"/>
  <c r="BU27" i="1"/>
  <c r="CM27"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G22" i="1"/>
  <c r="AE22" i="1"/>
  <c r="JH22" i="1"/>
  <c r="IA22" i="1"/>
  <c r="HL22" i="1"/>
  <c r="GE22" i="1"/>
  <c r="FP22" i="1"/>
  <c r="EI22" i="1"/>
  <c r="DT22" i="1"/>
  <c r="CM22" i="1"/>
  <c r="BX22" i="1"/>
  <c r="AQ22" i="1"/>
  <c r="P22" i="1"/>
  <c r="AB22" i="1"/>
  <c r="J22" i="1"/>
  <c r="HO22" i="1"/>
  <c r="EF22" i="1"/>
  <c r="IV22" i="1"/>
  <c r="EU22" i="1"/>
  <c r="DK22" i="1"/>
  <c r="CV22" i="1"/>
  <c r="BL22" i="1"/>
  <c r="GB22" i="1"/>
  <c r="CA22" i="1"/>
  <c r="GQ22" i="1"/>
  <c r="FG22" i="1"/>
  <c r="ER22" i="1"/>
  <c r="DH22" i="1"/>
  <c r="V22" i="1"/>
  <c r="FS22" i="1"/>
  <c r="CJ22" i="1"/>
  <c r="BO22" i="1"/>
  <c r="GN22" i="1"/>
  <c r="HX22" i="1"/>
  <c r="HC22" i="1"/>
  <c r="DW22" i="1"/>
  <c r="IM22" i="1"/>
  <c r="CY22" i="1"/>
  <c r="GZ22" i="1"/>
  <c r="AN22" i="1"/>
  <c r="S22" i="1"/>
  <c r="IJ22" i="1"/>
  <c r="BC22" i="1"/>
  <c r="IY22" i="1"/>
  <c r="FD22" i="1"/>
  <c r="AZ22" i="1"/>
  <c r="IY28" i="1"/>
  <c r="IM28" i="1"/>
  <c r="IA28" i="1"/>
  <c r="HO28" i="1"/>
  <c r="HC28" i="1"/>
  <c r="GE28" i="1"/>
  <c r="FS28" i="1"/>
  <c r="FG28" i="1"/>
  <c r="EU28" i="1"/>
  <c r="EI28" i="1"/>
  <c r="DW28" i="1"/>
  <c r="DK28" i="1"/>
  <c r="CY28" i="1"/>
  <c r="CM28" i="1"/>
  <c r="CA28" i="1"/>
  <c r="BO28" i="1"/>
  <c r="BC28" i="1"/>
  <c r="AQ28" i="1"/>
  <c r="AE28" i="1"/>
  <c r="S28" i="1"/>
  <c r="G28" i="1"/>
  <c r="JH28" i="1"/>
  <c r="IV28" i="1"/>
  <c r="IJ28" i="1"/>
  <c r="HX28" i="1"/>
  <c r="HL28" i="1"/>
  <c r="GZ28" i="1"/>
  <c r="GB28" i="1"/>
  <c r="FP28" i="1"/>
  <c r="FD28" i="1"/>
  <c r="ER28" i="1"/>
  <c r="EF28" i="1"/>
  <c r="DT28" i="1"/>
  <c r="DH28" i="1"/>
  <c r="CV28" i="1"/>
  <c r="CJ28" i="1"/>
  <c r="BX28" i="1"/>
  <c r="BL28" i="1"/>
  <c r="AZ28" i="1"/>
  <c r="AN28" i="1"/>
  <c r="AB28" i="1"/>
  <c r="P28" i="1"/>
  <c r="JE28" i="1"/>
  <c r="IP28" i="1"/>
  <c r="HI28" i="1"/>
  <c r="FM28" i="1"/>
  <c r="EX28" i="1"/>
  <c r="DQ28" i="1"/>
  <c r="DB28" i="1"/>
  <c r="BU28" i="1"/>
  <c r="BF28" i="1"/>
  <c r="Y28" i="1"/>
  <c r="J28" i="1"/>
  <c r="JB28" i="1"/>
  <c r="HU28" i="1"/>
  <c r="HF28" i="1"/>
  <c r="FY28" i="1"/>
  <c r="FJ28" i="1"/>
  <c r="EC28" i="1"/>
  <c r="DN28" i="1"/>
  <c r="CG28" i="1"/>
  <c r="BR28" i="1"/>
  <c r="AK28" i="1"/>
  <c r="V28" i="1"/>
  <c r="IG28" i="1"/>
  <c r="EO28" i="1"/>
  <c r="AW28" i="1"/>
  <c r="ID28" i="1"/>
  <c r="EL28" i="1"/>
  <c r="AT28" i="1"/>
  <c r="IS28" i="1"/>
  <c r="FV28" i="1"/>
  <c r="FA28" i="1"/>
  <c r="CD28" i="1"/>
  <c r="BI28" i="1"/>
  <c r="CS28" i="1"/>
  <c r="GH28" i="1"/>
  <c r="CP28" i="1"/>
  <c r="AH28" i="1"/>
  <c r="M28" i="1"/>
  <c r="DZ28" i="1"/>
  <c r="DE28" i="1"/>
  <c r="HR28" i="1"/>
  <c r="GW28" i="1"/>
  <c r="JB30" i="1"/>
  <c r="IP30" i="1"/>
  <c r="ID30" i="1"/>
  <c r="HR30" i="1"/>
  <c r="GH30" i="1"/>
  <c r="FV30" i="1"/>
  <c r="FJ30" i="1"/>
  <c r="EX30" i="1"/>
  <c r="EL30" i="1"/>
  <c r="DZ30" i="1"/>
  <c r="DN30" i="1"/>
  <c r="DB30" i="1"/>
  <c r="CP30" i="1"/>
  <c r="CD30" i="1"/>
  <c r="BR30" i="1"/>
  <c r="BF30" i="1"/>
  <c r="AT30" i="1"/>
  <c r="AH30" i="1"/>
  <c r="IY30" i="1"/>
  <c r="IM30" i="1"/>
  <c r="IA30" i="1"/>
  <c r="HO30" i="1"/>
  <c r="GE30" i="1"/>
  <c r="FS30" i="1"/>
  <c r="FG30" i="1"/>
  <c r="EU30" i="1"/>
  <c r="EI30" i="1"/>
  <c r="DW30" i="1"/>
  <c r="DK30" i="1"/>
  <c r="CY30" i="1"/>
  <c r="CM30" i="1"/>
  <c r="CA30" i="1"/>
  <c r="BO30" i="1"/>
  <c r="BC30" i="1"/>
  <c r="AQ30" i="1"/>
  <c r="AE30" i="1"/>
  <c r="S30" i="1"/>
  <c r="JE30" i="1"/>
  <c r="IS30" i="1"/>
  <c r="IG30" i="1"/>
  <c r="HU30" i="1"/>
  <c r="FY30" i="1"/>
  <c r="FM30" i="1"/>
  <c r="FA30" i="1"/>
  <c r="EO30" i="1"/>
  <c r="EC30" i="1"/>
  <c r="DQ30" i="1"/>
  <c r="DE30" i="1"/>
  <c r="CS30" i="1"/>
  <c r="CG30" i="1"/>
  <c r="BU30" i="1"/>
  <c r="BI30" i="1"/>
  <c r="AW30" i="1"/>
  <c r="AK30" i="1"/>
  <c r="Y30" i="1"/>
  <c r="M30" i="1"/>
  <c r="DH30" i="1"/>
  <c r="IJ30" i="1"/>
  <c r="ER30" i="1"/>
  <c r="AZ30" i="1"/>
  <c r="P30" i="1"/>
  <c r="GB30" i="1"/>
  <c r="CJ30" i="1"/>
  <c r="DT30" i="1"/>
  <c r="AB30" i="1"/>
  <c r="HX30" i="1"/>
  <c r="EF30" i="1"/>
  <c r="AN30" i="1"/>
  <c r="V30" i="1"/>
  <c r="G30" i="1"/>
  <c r="JH30" i="1"/>
  <c r="FP30" i="1"/>
  <c r="BX30" i="1"/>
  <c r="FD30" i="1"/>
  <c r="IV30" i="1"/>
  <c r="CV30" i="1"/>
  <c r="J30" i="1"/>
  <c r="BL30" i="1"/>
  <c r="E40" i="27"/>
  <c r="IY23" i="1"/>
  <c r="IM23" i="1"/>
  <c r="IA23" i="1"/>
  <c r="HO23" i="1"/>
  <c r="HC23" i="1"/>
  <c r="GQ23" i="1"/>
  <c r="GE23" i="1"/>
  <c r="FS23" i="1"/>
  <c r="FG23" i="1"/>
  <c r="EU23" i="1"/>
  <c r="EI23" i="1"/>
  <c r="DW23" i="1"/>
  <c r="DK23" i="1"/>
  <c r="CY23" i="1"/>
  <c r="CM23" i="1"/>
  <c r="CA23" i="1"/>
  <c r="BO23" i="1"/>
  <c r="BC23" i="1"/>
  <c r="AQ23" i="1"/>
  <c r="AE23" i="1"/>
  <c r="S23" i="1"/>
  <c r="G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JH23" i="1"/>
  <c r="FP23" i="1"/>
  <c r="BX23" i="1"/>
  <c r="IJ23" i="1"/>
  <c r="ER23" i="1"/>
  <c r="AZ23" i="1"/>
  <c r="GB23" i="1"/>
  <c r="CJ23" i="1"/>
  <c r="HL23" i="1"/>
  <c r="DT23" i="1"/>
  <c r="AB23" i="1"/>
  <c r="GN23" i="1"/>
  <c r="CV23" i="1"/>
  <c r="BL23" i="1"/>
  <c r="AN23" i="1"/>
  <c r="IV23" i="1"/>
  <c r="P23" i="1"/>
  <c r="HX23" i="1"/>
  <c r="EF23" i="1"/>
  <c r="FD23" i="1"/>
  <c r="DH23" i="1"/>
  <c r="GZ23" i="1"/>
  <c r="X178" i="54"/>
  <c r="X173" i="54"/>
  <c r="O43" i="52" s="1"/>
  <c r="P43" i="52" s="1"/>
  <c r="Q43" i="52" s="1"/>
  <c r="X176" i="54"/>
  <c r="JH34" i="1"/>
  <c r="IV34" i="1"/>
  <c r="IJ34" i="1"/>
  <c r="HX34" i="1"/>
  <c r="HL34" i="1"/>
  <c r="GB34" i="1"/>
  <c r="FP34" i="1"/>
  <c r="FD34" i="1"/>
  <c r="ER34" i="1"/>
  <c r="EF34" i="1"/>
  <c r="DT34" i="1"/>
  <c r="DH34" i="1"/>
  <c r="CV34" i="1"/>
  <c r="CJ34" i="1"/>
  <c r="BX34" i="1"/>
  <c r="BL34" i="1"/>
  <c r="AZ34" i="1"/>
  <c r="AN34" i="1"/>
  <c r="AB34" i="1"/>
  <c r="P34" i="1"/>
  <c r="JE34" i="1"/>
  <c r="IS34" i="1"/>
  <c r="IG34" i="1"/>
  <c r="HU34" i="1"/>
  <c r="HI34" i="1"/>
  <c r="FY34" i="1"/>
  <c r="FM34" i="1"/>
  <c r="FA34" i="1"/>
  <c r="EO34" i="1"/>
  <c r="EC34" i="1"/>
  <c r="DQ34" i="1"/>
  <c r="DE34" i="1"/>
  <c r="CS34" i="1"/>
  <c r="CG34" i="1"/>
  <c r="BU34" i="1"/>
  <c r="BI34" i="1"/>
  <c r="AW34" i="1"/>
  <c r="AK34" i="1"/>
  <c r="Y34" i="1"/>
  <c r="M34" i="1"/>
  <c r="JB34" i="1"/>
  <c r="IP34" i="1"/>
  <c r="ID34" i="1"/>
  <c r="HR34" i="1"/>
  <c r="HF34" i="1"/>
  <c r="GH34" i="1"/>
  <c r="FV34" i="1"/>
  <c r="FJ34" i="1"/>
  <c r="EX34" i="1"/>
  <c r="EL34" i="1"/>
  <c r="DZ34" i="1"/>
  <c r="DN34" i="1"/>
  <c r="DB34" i="1"/>
  <c r="CP34" i="1"/>
  <c r="CD34" i="1"/>
  <c r="BR34" i="1"/>
  <c r="BF34" i="1"/>
  <c r="AT34" i="1"/>
  <c r="AH34" i="1"/>
  <c r="V34" i="1"/>
  <c r="J34" i="1"/>
  <c r="IY34" i="1"/>
  <c r="IM34" i="1"/>
  <c r="IA34" i="1"/>
  <c r="HO34" i="1"/>
  <c r="HC34" i="1"/>
  <c r="GE34" i="1"/>
  <c r="FS34" i="1"/>
  <c r="FG34" i="1"/>
  <c r="EU34" i="1"/>
  <c r="EI34" i="1"/>
  <c r="DW34" i="1"/>
  <c r="DK34" i="1"/>
  <c r="CY34" i="1"/>
  <c r="CM34" i="1"/>
  <c r="CA34" i="1"/>
  <c r="BO34" i="1"/>
  <c r="BC34" i="1"/>
  <c r="AQ34" i="1"/>
  <c r="AE34" i="1"/>
  <c r="S34" i="1"/>
  <c r="G34" i="1"/>
  <c r="JE16" i="1"/>
  <c r="IS16" i="1"/>
  <c r="IJ16" i="1"/>
  <c r="HX16" i="1"/>
  <c r="HL16" i="1"/>
  <c r="GZ16" i="1"/>
  <c r="GN16" i="1"/>
  <c r="GB16" i="1"/>
  <c r="FP16" i="1"/>
  <c r="FD16" i="1"/>
  <c r="ER16" i="1"/>
  <c r="EF16" i="1"/>
  <c r="DT16" i="1"/>
  <c r="DH16" i="1"/>
  <c r="CV16" i="1"/>
  <c r="CJ16" i="1"/>
  <c r="BX16" i="1"/>
  <c r="BL16" i="1"/>
  <c r="AZ16" i="1"/>
  <c r="AN16" i="1"/>
  <c r="AB16" i="1"/>
  <c r="P16" i="1"/>
  <c r="IV16" i="1"/>
  <c r="JH16" i="1"/>
  <c r="IG16" i="1"/>
  <c r="HU16" i="1"/>
  <c r="HI16" i="1"/>
  <c r="GW16" i="1"/>
  <c r="GK16" i="1"/>
  <c r="FY16" i="1"/>
  <c r="FM16" i="1"/>
  <c r="FA16" i="1"/>
  <c r="EO16" i="1"/>
  <c r="EC16" i="1"/>
  <c r="DQ16" i="1"/>
  <c r="DE16" i="1"/>
  <c r="CS16" i="1"/>
  <c r="CG16" i="1"/>
  <c r="BU16" i="1"/>
  <c r="BI16" i="1"/>
  <c r="AW16" i="1"/>
  <c r="AK16" i="1"/>
  <c r="Y16" i="1"/>
  <c r="M16" i="1"/>
  <c r="IM16" i="1"/>
  <c r="IA16" i="1"/>
  <c r="HO16" i="1"/>
  <c r="HC16" i="1"/>
  <c r="GQ16" i="1"/>
  <c r="GE16" i="1"/>
  <c r="FS16" i="1"/>
  <c r="FG16" i="1"/>
  <c r="EU16" i="1"/>
  <c r="EI16" i="1"/>
  <c r="DW16" i="1"/>
  <c r="DK16" i="1"/>
  <c r="CY16" i="1"/>
  <c r="CM16" i="1"/>
  <c r="CA16" i="1"/>
  <c r="BO16" i="1"/>
  <c r="BC16" i="1"/>
  <c r="AQ16" i="1"/>
  <c r="AE16" i="1"/>
  <c r="S16" i="1"/>
  <c r="G16" i="1"/>
  <c r="IY16" i="1"/>
  <c r="GT16" i="1"/>
  <c r="DB16" i="1"/>
  <c r="J16" i="1"/>
  <c r="ID16" i="1"/>
  <c r="EL16" i="1"/>
  <c r="AT16" i="1"/>
  <c r="FV16" i="1"/>
  <c r="CD16" i="1"/>
  <c r="HF16" i="1"/>
  <c r="DN16" i="1"/>
  <c r="V16" i="1"/>
  <c r="IP16" i="1"/>
  <c r="EX16" i="1"/>
  <c r="BF16" i="1"/>
  <c r="GH16" i="1"/>
  <c r="CP16" i="1"/>
  <c r="JB16" i="1"/>
  <c r="HR16" i="1"/>
  <c r="DZ16" i="1"/>
  <c r="AH16" i="1"/>
  <c r="FJ16" i="1"/>
  <c r="BR16" i="1"/>
  <c r="JB21" i="1"/>
  <c r="IP21" i="1"/>
  <c r="ID21" i="1"/>
  <c r="HR21" i="1"/>
  <c r="HF21" i="1"/>
  <c r="GT21" i="1"/>
  <c r="GH21" i="1"/>
  <c r="FV21" i="1"/>
  <c r="FJ21" i="1"/>
  <c r="EX21" i="1"/>
  <c r="EL21" i="1"/>
  <c r="DZ21" i="1"/>
  <c r="DN21" i="1"/>
  <c r="DB21" i="1"/>
  <c r="CP21" i="1"/>
  <c r="CD21" i="1"/>
  <c r="BR21" i="1"/>
  <c r="BF21" i="1"/>
  <c r="AT21" i="1"/>
  <c r="AH21" i="1"/>
  <c r="V21" i="1"/>
  <c r="J21" i="1"/>
  <c r="JE21" i="1"/>
  <c r="IS21" i="1"/>
  <c r="IG21" i="1"/>
  <c r="HU21" i="1"/>
  <c r="HI21" i="1"/>
  <c r="GW21" i="1"/>
  <c r="GK21" i="1"/>
  <c r="FY21" i="1"/>
  <c r="FM21" i="1"/>
  <c r="FA21" i="1"/>
  <c r="EO21" i="1"/>
  <c r="EC21" i="1"/>
  <c r="DQ21" i="1"/>
  <c r="DE21" i="1"/>
  <c r="CS21" i="1"/>
  <c r="CG21" i="1"/>
  <c r="BU21" i="1"/>
  <c r="BI21" i="1"/>
  <c r="AW21" i="1"/>
  <c r="AK21" i="1"/>
  <c r="Y21" i="1"/>
  <c r="M21" i="1"/>
  <c r="IY21" i="1"/>
  <c r="IJ21" i="1"/>
  <c r="HC21" i="1"/>
  <c r="GN21" i="1"/>
  <c r="FG21" i="1"/>
  <c r="ER21" i="1"/>
  <c r="DK21" i="1"/>
  <c r="CV21" i="1"/>
  <c r="BO21" i="1"/>
  <c r="AZ21" i="1"/>
  <c r="S21" i="1"/>
  <c r="JH21" i="1"/>
  <c r="HX21" i="1"/>
  <c r="DW21" i="1"/>
  <c r="CM21" i="1"/>
  <c r="BX21" i="1"/>
  <c r="AN21" i="1"/>
  <c r="IM21" i="1"/>
  <c r="FD21" i="1"/>
  <c r="BC21" i="1"/>
  <c r="FS21" i="1"/>
  <c r="EI21" i="1"/>
  <c r="DT21" i="1"/>
  <c r="CJ21" i="1"/>
  <c r="GZ21" i="1"/>
  <c r="CY21" i="1"/>
  <c r="P21" i="1"/>
  <c r="IA21" i="1"/>
  <c r="HL21" i="1"/>
  <c r="GB21" i="1"/>
  <c r="CA21" i="1"/>
  <c r="AQ21" i="1"/>
  <c r="AB21" i="1"/>
  <c r="GQ21" i="1"/>
  <c r="G21" i="1"/>
  <c r="EF21" i="1"/>
  <c r="DH21" i="1"/>
  <c r="IV21" i="1"/>
  <c r="FP21" i="1"/>
  <c r="EU21" i="1"/>
  <c r="BL21" i="1"/>
  <c r="GE21" i="1"/>
  <c r="HO21" i="1"/>
  <c r="AE21" i="1"/>
  <c r="E40" i="29"/>
  <c r="JB18" i="1"/>
  <c r="IP18" i="1"/>
  <c r="ID18" i="1"/>
  <c r="HR18" i="1"/>
  <c r="HF18" i="1"/>
  <c r="GT18" i="1"/>
  <c r="GH18" i="1"/>
  <c r="FV18" i="1"/>
  <c r="FJ18" i="1"/>
  <c r="EX18" i="1"/>
  <c r="EL18" i="1"/>
  <c r="DZ18" i="1"/>
  <c r="DN18" i="1"/>
  <c r="DB18" i="1"/>
  <c r="CP18" i="1"/>
  <c r="CD18" i="1"/>
  <c r="BR18" i="1"/>
  <c r="BF18" i="1"/>
  <c r="AT18" i="1"/>
  <c r="AH18" i="1"/>
  <c r="V18" i="1"/>
  <c r="J18" i="1"/>
  <c r="JE18" i="1"/>
  <c r="HO18" i="1"/>
  <c r="GN18" i="1"/>
  <c r="FM18" i="1"/>
  <c r="DW18" i="1"/>
  <c r="CV18" i="1"/>
  <c r="BU18" i="1"/>
  <c r="AE18" i="1"/>
  <c r="IA18" i="1"/>
  <c r="GZ18" i="1"/>
  <c r="FY18" i="1"/>
  <c r="EI18" i="1"/>
  <c r="DH18" i="1"/>
  <c r="CG18" i="1"/>
  <c r="AQ18" i="1"/>
  <c r="P18" i="1"/>
  <c r="IM18" i="1"/>
  <c r="HL18" i="1"/>
  <c r="GK18" i="1"/>
  <c r="EU18" i="1"/>
  <c r="DT18" i="1"/>
  <c r="CS18" i="1"/>
  <c r="BC18" i="1"/>
  <c r="AB18" i="1"/>
  <c r="IY18" i="1"/>
  <c r="HX18" i="1"/>
  <c r="GW18" i="1"/>
  <c r="FG18" i="1"/>
  <c r="EF18" i="1"/>
  <c r="DE18" i="1"/>
  <c r="BO18" i="1"/>
  <c r="AN18" i="1"/>
  <c r="M18" i="1"/>
  <c r="JH18" i="1"/>
  <c r="IG18" i="1"/>
  <c r="GQ18" i="1"/>
  <c r="FP18" i="1"/>
  <c r="EO18" i="1"/>
  <c r="CY18" i="1"/>
  <c r="BX18" i="1"/>
  <c r="AW18" i="1"/>
  <c r="G18" i="1"/>
  <c r="IS18" i="1"/>
  <c r="DQ18" i="1"/>
  <c r="BL18" i="1"/>
  <c r="FS18" i="1"/>
  <c r="FA18" i="1"/>
  <c r="Y18" i="1"/>
  <c r="HU18" i="1"/>
  <c r="HC18" i="1"/>
  <c r="CA18" i="1"/>
  <c r="BI18" i="1"/>
  <c r="GE18" i="1"/>
  <c r="EC18" i="1"/>
  <c r="DK18" i="1"/>
  <c r="IJ18" i="1"/>
  <c r="CM18" i="1"/>
  <c r="AK18" i="1"/>
  <c r="S18" i="1"/>
  <c r="GB18" i="1"/>
  <c r="ER18" i="1"/>
  <c r="IV18" i="1"/>
  <c r="CJ18" i="1"/>
  <c r="AZ18" i="1"/>
  <c r="HI18" i="1"/>
  <c r="FD18" i="1"/>
  <c r="JB35" i="1"/>
  <c r="IP35" i="1"/>
  <c r="ID35" i="1"/>
  <c r="HR35" i="1"/>
  <c r="HF35" i="1"/>
  <c r="GH35" i="1"/>
  <c r="FV35" i="1"/>
  <c r="FJ35" i="1"/>
  <c r="EX35" i="1"/>
  <c r="EL35" i="1"/>
  <c r="JH35" i="1"/>
  <c r="IV35" i="1"/>
  <c r="IJ35" i="1"/>
  <c r="HX35" i="1"/>
  <c r="HL35" i="1"/>
  <c r="GZ35" i="1"/>
  <c r="HU35" i="1"/>
  <c r="FM35" i="1"/>
  <c r="IY35" i="1"/>
  <c r="HC35" i="1"/>
  <c r="FY35" i="1"/>
  <c r="EI35" i="1"/>
  <c r="DW35" i="1"/>
  <c r="DK35" i="1"/>
  <c r="CY35" i="1"/>
  <c r="CM35" i="1"/>
  <c r="CA35" i="1"/>
  <c r="BO35" i="1"/>
  <c r="BC35" i="1"/>
  <c r="AQ35" i="1"/>
  <c r="AE35" i="1"/>
  <c r="S35" i="1"/>
  <c r="G35" i="1"/>
  <c r="IG35" i="1"/>
  <c r="EU35" i="1"/>
  <c r="HO35" i="1"/>
  <c r="FG35" i="1"/>
  <c r="EF35" i="1"/>
  <c r="DT35" i="1"/>
  <c r="DH35" i="1"/>
  <c r="CV35" i="1"/>
  <c r="CJ35" i="1"/>
  <c r="BX35" i="1"/>
  <c r="BL35" i="1"/>
  <c r="AZ35" i="1"/>
  <c r="AN35" i="1"/>
  <c r="AB35" i="1"/>
  <c r="P35" i="1"/>
  <c r="IS35" i="1"/>
  <c r="FS35" i="1"/>
  <c r="ER35" i="1"/>
  <c r="JE35" i="1"/>
  <c r="HI35" i="1"/>
  <c r="FP35" i="1"/>
  <c r="EO35" i="1"/>
  <c r="FA35" i="1"/>
  <c r="IA35" i="1"/>
  <c r="EC35" i="1"/>
  <c r="DN35" i="1"/>
  <c r="CG35" i="1"/>
  <c r="BR35" i="1"/>
  <c r="AK35" i="1"/>
  <c r="V35" i="1"/>
  <c r="GE35" i="1"/>
  <c r="DZ35" i="1"/>
  <c r="CS35" i="1"/>
  <c r="CD35" i="1"/>
  <c r="AW35" i="1"/>
  <c r="AH35" i="1"/>
  <c r="FD35" i="1"/>
  <c r="DQ35" i="1"/>
  <c r="DB35" i="1"/>
  <c r="BU35" i="1"/>
  <c r="BF35" i="1"/>
  <c r="Y35" i="1"/>
  <c r="J35" i="1"/>
  <c r="IM35" i="1"/>
  <c r="DE35" i="1"/>
  <c r="AT35" i="1"/>
  <c r="BI35" i="1"/>
  <c r="M35" i="1"/>
  <c r="GB35" i="1"/>
  <c r="CP35" i="1"/>
  <c r="E29" i="2"/>
  <c r="E31" i="2"/>
  <c r="E21" i="2"/>
  <c r="EW21" i="2" s="1"/>
  <c r="E36" i="2"/>
  <c r="EY36" i="2" s="1"/>
  <c r="E27" i="2"/>
  <c r="EW27" i="2" s="1"/>
  <c r="E28" i="2"/>
  <c r="EY28" i="2" s="1"/>
  <c r="E35" i="2"/>
  <c r="EW35" i="2" s="1"/>
  <c r="E24" i="2"/>
  <c r="EY24" i="2" s="1"/>
  <c r="E17" i="2"/>
  <c r="EW17" i="2" s="1"/>
  <c r="E22" i="2"/>
  <c r="EW22" i="2" s="1"/>
  <c r="E19" i="2"/>
  <c r="EY19" i="2" s="1"/>
  <c r="E20" i="2"/>
  <c r="EY20" i="2" s="1"/>
  <c r="E23" i="2"/>
  <c r="EY23" i="2" s="1"/>
  <c r="E25" i="2"/>
  <c r="EY25" i="2" s="1"/>
  <c r="I45" i="33"/>
  <c r="L45" i="33"/>
  <c r="I48" i="33"/>
  <c r="I51" i="33"/>
  <c r="J45" i="33"/>
  <c r="J40" i="32"/>
  <c r="M45" i="33"/>
  <c r="M48" i="33"/>
  <c r="J48" i="33"/>
  <c r="K57" i="33"/>
  <c r="K56" i="33"/>
  <c r="J51" i="33"/>
  <c r="J41" i="33"/>
  <c r="W173" i="46"/>
  <c r="M7" i="31"/>
  <c r="M7" i="30" s="1"/>
  <c r="M7" i="29" s="1"/>
  <c r="M7" i="27" s="1"/>
  <c r="M7" i="28" s="1"/>
  <c r="M7" i="26" s="1"/>
  <c r="M7" i="25" s="1"/>
  <c r="M7" i="24" s="1"/>
  <c r="M7" i="23" s="1"/>
  <c r="M7" i="21" s="1"/>
  <c r="M7" i="22" s="1"/>
  <c r="M7" i="20" s="1"/>
  <c r="M7" i="19" s="1"/>
  <c r="M7" i="18" s="1"/>
  <c r="M7" i="17" s="1"/>
  <c r="M7" i="16" s="1"/>
  <c r="M7" i="15" s="1"/>
  <c r="M7" i="14" s="1"/>
  <c r="M7" i="13" s="1"/>
  <c r="M7" i="12" s="1"/>
  <c r="M7" i="11" s="1"/>
  <c r="M7" i="10" s="1"/>
  <c r="M7" i="9" s="1"/>
  <c r="M7" i="8" s="1"/>
  <c r="M7" i="7" s="1"/>
  <c r="M7" i="6" s="1"/>
  <c r="M7" i="37" s="1"/>
  <c r="M7" i="4" s="1"/>
  <c r="M7" i="43" s="1"/>
  <c r="M34" i="32"/>
  <c r="EY13" i="2"/>
  <c r="EW13" i="2"/>
  <c r="D46" i="27"/>
  <c r="D46" i="28" s="1"/>
  <c r="E46" i="30"/>
  <c r="J46" i="30"/>
  <c r="J46" i="29" s="1"/>
  <c r="J46" i="27" s="1"/>
  <c r="J46" i="28" s="1"/>
  <c r="J46" i="26" s="1"/>
  <c r="J46" i="25" s="1"/>
  <c r="J46" i="24" s="1"/>
  <c r="J46" i="23" s="1"/>
  <c r="J46" i="21" s="1"/>
  <c r="J46" i="22" s="1"/>
  <c r="J46" i="20" s="1"/>
  <c r="J46" i="19" s="1"/>
  <c r="J46" i="18" s="1"/>
  <c r="J46" i="17" s="1"/>
  <c r="J46" i="16" s="1"/>
  <c r="J46" i="15" s="1"/>
  <c r="J46" i="14" s="1"/>
  <c r="J46" i="13" s="1"/>
  <c r="J46" i="12" s="1"/>
  <c r="J46" i="11" s="1"/>
  <c r="J46" i="10" s="1"/>
  <c r="J46" i="9" s="1"/>
  <c r="J46" i="8" s="1"/>
  <c r="J46" i="7" s="1"/>
  <c r="J46" i="6" s="1"/>
  <c r="J46" i="37" s="1"/>
  <c r="J46" i="4" s="1"/>
  <c r="J46" i="43" s="1"/>
  <c r="I40" i="31"/>
  <c r="D47" i="29"/>
  <c r="E47" i="29" s="1"/>
  <c r="J44" i="27"/>
  <c r="J38" i="28"/>
  <c r="M47" i="27"/>
  <c r="M44" i="27"/>
  <c r="D48" i="27"/>
  <c r="E48" i="29"/>
  <c r="D44" i="29"/>
  <c r="E44" i="29" s="1"/>
  <c r="D42" i="26"/>
  <c r="E42" i="26" s="1"/>
  <c r="E42" i="27"/>
  <c r="D38" i="27"/>
  <c r="E38" i="29"/>
  <c r="D51" i="29"/>
  <c r="E51" i="30"/>
  <c r="E52" i="31"/>
  <c r="E53" i="31" s="1"/>
  <c r="E43" i="29"/>
  <c r="D43" i="27"/>
  <c r="E40" i="28"/>
  <c r="D40" i="26"/>
  <c r="D39" i="27"/>
  <c r="E39" i="29"/>
  <c r="E45" i="29"/>
  <c r="D45" i="27"/>
  <c r="D41" i="29"/>
  <c r="E41" i="30"/>
  <c r="D52" i="30"/>
  <c r="D53" i="30" s="1"/>
  <c r="E50" i="30"/>
  <c r="D50" i="29"/>
  <c r="M43" i="37"/>
  <c r="J39" i="30"/>
  <c r="J37" i="29"/>
  <c r="E49" i="30"/>
  <c r="D49" i="29"/>
  <c r="M8" i="29"/>
  <c r="J57" i="23"/>
  <c r="AU18" i="39"/>
  <c r="G37" i="45" l="1"/>
  <c r="K37" i="45"/>
  <c r="O37" i="45"/>
  <c r="U37" i="45"/>
  <c r="R37" i="45"/>
  <c r="GW38" i="1"/>
  <c r="HU38" i="1"/>
  <c r="DE38" i="1"/>
  <c r="M38" i="1"/>
  <c r="FJ38" i="1"/>
  <c r="BR38" i="1"/>
  <c r="IJ38" i="1"/>
  <c r="DT38" i="1"/>
  <c r="AB38" i="1"/>
  <c r="CA38" i="1"/>
  <c r="DW38" i="1"/>
  <c r="GN38" i="1"/>
  <c r="HI38" i="1"/>
  <c r="CS38" i="1"/>
  <c r="JB38" i="1"/>
  <c r="EX38" i="1"/>
  <c r="BF38" i="1"/>
  <c r="HX38" i="1"/>
  <c r="DH38" i="1"/>
  <c r="P38" i="1"/>
  <c r="HC38" i="1"/>
  <c r="AE38" i="1"/>
  <c r="E39" i="2"/>
  <c r="FY38" i="1"/>
  <c r="CG38" i="1"/>
  <c r="IP38" i="1"/>
  <c r="EL38" i="1"/>
  <c r="AT38" i="1"/>
  <c r="HL38" i="1"/>
  <c r="CV38" i="1"/>
  <c r="CY38" i="1"/>
  <c r="DK38" i="1"/>
  <c r="IY38" i="1"/>
  <c r="FM38" i="1"/>
  <c r="BU38" i="1"/>
  <c r="ID38" i="1"/>
  <c r="DZ38" i="1"/>
  <c r="AH38" i="1"/>
  <c r="GZ38" i="1"/>
  <c r="CJ38" i="1"/>
  <c r="G38" i="1"/>
  <c r="S38" i="1"/>
  <c r="GE38" i="1"/>
  <c r="IS38" i="1"/>
  <c r="CP38" i="1"/>
  <c r="AZ38" i="1"/>
  <c r="FG38" i="1"/>
  <c r="FA38" i="1"/>
  <c r="BI38" i="1"/>
  <c r="HR38" i="1"/>
  <c r="DN38" i="1"/>
  <c r="V38" i="1"/>
  <c r="GB38" i="1"/>
  <c r="BX38" i="1"/>
  <c r="IA38" i="1"/>
  <c r="IM38" i="1"/>
  <c r="BO38" i="1"/>
  <c r="JH38" i="1"/>
  <c r="BC38" i="1"/>
  <c r="GQ38" i="1"/>
  <c r="JE38" i="1"/>
  <c r="EO38" i="1"/>
  <c r="AW38" i="1"/>
  <c r="HF38" i="1"/>
  <c r="DB38" i="1"/>
  <c r="J38" i="1"/>
  <c r="FP38" i="1"/>
  <c r="BL38" i="1"/>
  <c r="EI38" i="1"/>
  <c r="EU38" i="1"/>
  <c r="CM38" i="1"/>
  <c r="EC38" i="1"/>
  <c r="AK38" i="1"/>
  <c r="GH38" i="1"/>
  <c r="FD38" i="1"/>
  <c r="AQ38" i="1"/>
  <c r="GT38" i="1"/>
  <c r="GK38" i="1"/>
  <c r="IG38" i="1"/>
  <c r="DQ38" i="1"/>
  <c r="Y38" i="1"/>
  <c r="FV38" i="1"/>
  <c r="CD38" i="1"/>
  <c r="IV38" i="1"/>
  <c r="ER38" i="1"/>
  <c r="AN38" i="1"/>
  <c r="FS38" i="1"/>
  <c r="HO38" i="1"/>
  <c r="EY30" i="2"/>
  <c r="U12" i="45"/>
  <c r="K12" i="45"/>
  <c r="O12" i="45"/>
  <c r="G12" i="45"/>
  <c r="R35" i="45"/>
  <c r="G35" i="45"/>
  <c r="K35" i="45"/>
  <c r="R13" i="45"/>
  <c r="G13" i="45"/>
  <c r="A14" i="1"/>
  <c r="A15" i="2" s="1"/>
  <c r="O13" i="45"/>
  <c r="K13" i="45"/>
  <c r="O35" i="45"/>
  <c r="C9" i="45"/>
  <c r="U9" i="45" s="1"/>
  <c r="E10" i="1"/>
  <c r="Q13" i="39"/>
  <c r="AQ13" i="39" s="1"/>
  <c r="AK12" i="39"/>
  <c r="EY33" i="2"/>
  <c r="I10" i="39"/>
  <c r="AX10" i="39"/>
  <c r="AR10" i="39"/>
  <c r="BD10" i="39"/>
  <c r="T10" i="39"/>
  <c r="AL10" i="39"/>
  <c r="BN10" i="39"/>
  <c r="EW16" i="2"/>
  <c r="EY16" i="2"/>
  <c r="J11" i="19"/>
  <c r="J11" i="18" s="1"/>
  <c r="J27" i="4"/>
  <c r="J27" i="43" s="1"/>
  <c r="J15" i="4"/>
  <c r="J15" i="43" s="1"/>
  <c r="J17" i="4"/>
  <c r="J17" i="43" s="1"/>
  <c r="J10" i="37"/>
  <c r="J10" i="4" s="1"/>
  <c r="J10" i="43" s="1"/>
  <c r="W9" i="39"/>
  <c r="AS9" i="39"/>
  <c r="BO9" i="39"/>
  <c r="U9" i="39"/>
  <c r="BI9" i="39" s="1"/>
  <c r="AM9" i="39"/>
  <c r="K9" i="39"/>
  <c r="BE9" i="39"/>
  <c r="AY9" i="39"/>
  <c r="EI14" i="1"/>
  <c r="AW14" i="1"/>
  <c r="E15" i="2"/>
  <c r="EW15" i="2" s="1"/>
  <c r="GW36" i="1"/>
  <c r="HL36" i="1"/>
  <c r="DH36" i="1"/>
  <c r="P36" i="1"/>
  <c r="FA36" i="1"/>
  <c r="BI36" i="1"/>
  <c r="HO36" i="1"/>
  <c r="DK36" i="1"/>
  <c r="S36" i="1"/>
  <c r="GH36" i="1"/>
  <c r="ID36" i="1"/>
  <c r="GN36" i="1"/>
  <c r="GZ36" i="1"/>
  <c r="CV36" i="1"/>
  <c r="JE36" i="1"/>
  <c r="EO36" i="1"/>
  <c r="AW36" i="1"/>
  <c r="HC36" i="1"/>
  <c r="CY36" i="1"/>
  <c r="G36" i="1"/>
  <c r="CP36" i="1"/>
  <c r="EL36" i="1"/>
  <c r="GQ36" i="1"/>
  <c r="GB36" i="1"/>
  <c r="CJ36" i="1"/>
  <c r="IS36" i="1"/>
  <c r="EC36" i="1"/>
  <c r="AK36" i="1"/>
  <c r="GE36" i="1"/>
  <c r="CM36" i="1"/>
  <c r="HF36" i="1"/>
  <c r="HR36" i="1"/>
  <c r="AT36" i="1"/>
  <c r="E37" i="2"/>
  <c r="GT36" i="1"/>
  <c r="FP36" i="1"/>
  <c r="BX36" i="1"/>
  <c r="IG36" i="1"/>
  <c r="DQ36" i="1"/>
  <c r="Y36" i="1"/>
  <c r="FS36" i="1"/>
  <c r="CA36" i="1"/>
  <c r="DN36" i="1"/>
  <c r="DZ36" i="1"/>
  <c r="FV36" i="1"/>
  <c r="JH36" i="1"/>
  <c r="FD36" i="1"/>
  <c r="BL36" i="1"/>
  <c r="HU36" i="1"/>
  <c r="DE36" i="1"/>
  <c r="M36" i="1"/>
  <c r="FG36" i="1"/>
  <c r="BO36" i="1"/>
  <c r="V36" i="1"/>
  <c r="AH36" i="1"/>
  <c r="DB36" i="1"/>
  <c r="IV36" i="1"/>
  <c r="ER36" i="1"/>
  <c r="AZ36" i="1"/>
  <c r="HI36" i="1"/>
  <c r="CS36" i="1"/>
  <c r="IY36" i="1"/>
  <c r="EU36" i="1"/>
  <c r="BC36" i="1"/>
  <c r="IP36" i="1"/>
  <c r="JB36" i="1"/>
  <c r="CD36" i="1"/>
  <c r="IJ36" i="1"/>
  <c r="EF36" i="1"/>
  <c r="AN36" i="1"/>
  <c r="FY36" i="1"/>
  <c r="CG36" i="1"/>
  <c r="IM36" i="1"/>
  <c r="EI36" i="1"/>
  <c r="AQ36" i="1"/>
  <c r="EX36" i="1"/>
  <c r="FJ36" i="1"/>
  <c r="J36" i="1"/>
  <c r="GK36" i="1"/>
  <c r="HX36" i="1"/>
  <c r="DT36" i="1"/>
  <c r="AB36" i="1"/>
  <c r="FM36" i="1"/>
  <c r="BU36" i="1"/>
  <c r="IA36" i="1"/>
  <c r="DW36" i="1"/>
  <c r="AE36" i="1"/>
  <c r="BF36" i="1"/>
  <c r="BR36" i="1"/>
  <c r="J19" i="12"/>
  <c r="J19" i="11" s="1"/>
  <c r="J19" i="10" s="1"/>
  <c r="J19" i="9" s="1"/>
  <c r="J19" i="8" s="1"/>
  <c r="J19" i="7" s="1"/>
  <c r="J19" i="6" s="1"/>
  <c r="J19" i="37" s="1"/>
  <c r="J59" i="23"/>
  <c r="I45" i="11"/>
  <c r="L45" i="11"/>
  <c r="R31" i="39"/>
  <c r="I48" i="11"/>
  <c r="J21" i="16"/>
  <c r="J21" i="15" s="1"/>
  <c r="J21" i="14" s="1"/>
  <c r="J21" i="13" s="1"/>
  <c r="J21" i="12" s="1"/>
  <c r="J21" i="11" s="1"/>
  <c r="J21" i="10" s="1"/>
  <c r="J21" i="9" s="1"/>
  <c r="J21" i="8" s="1"/>
  <c r="J21" i="7" s="1"/>
  <c r="J21" i="6" s="1"/>
  <c r="J21" i="37" s="1"/>
  <c r="EY17" i="2"/>
  <c r="BL14" i="1"/>
  <c r="EO14" i="1"/>
  <c r="IV14" i="1"/>
  <c r="IG14" i="1"/>
  <c r="GN14" i="1"/>
  <c r="CY14" i="1"/>
  <c r="V14" i="1"/>
  <c r="DN14" i="1"/>
  <c r="HF14" i="1"/>
  <c r="J56" i="22"/>
  <c r="J59" i="21"/>
  <c r="J9" i="20"/>
  <c r="J9" i="19" s="1"/>
  <c r="J9" i="18" s="1"/>
  <c r="J9" i="17" s="1"/>
  <c r="J9" i="16" s="1"/>
  <c r="J9" i="15" s="1"/>
  <c r="J9" i="14" s="1"/>
  <c r="J9" i="13" s="1"/>
  <c r="J9" i="12" s="1"/>
  <c r="J9" i="11" s="1"/>
  <c r="J9" i="10" s="1"/>
  <c r="DT14" i="1"/>
  <c r="AE14" i="1"/>
  <c r="HO14" i="1"/>
  <c r="FG14" i="1"/>
  <c r="CJ14" i="1"/>
  <c r="J14" i="1"/>
  <c r="DB14" i="1"/>
  <c r="GT14" i="1"/>
  <c r="AK14" i="1"/>
  <c r="EC14" i="1"/>
  <c r="HU14" i="1"/>
  <c r="FP14" i="1"/>
  <c r="CA14" i="1"/>
  <c r="S14" i="1"/>
  <c r="HC14" i="1"/>
  <c r="EF14" i="1"/>
  <c r="AH14" i="1"/>
  <c r="DZ14" i="1"/>
  <c r="HR14" i="1"/>
  <c r="BI14" i="1"/>
  <c r="FA14" i="1"/>
  <c r="IS14" i="1"/>
  <c r="GE14" i="1"/>
  <c r="DH14" i="1"/>
  <c r="AZ14" i="1"/>
  <c r="IJ14" i="1"/>
  <c r="EU14" i="1"/>
  <c r="AT14" i="1"/>
  <c r="EL14" i="1"/>
  <c r="ID14" i="1"/>
  <c r="BU14" i="1"/>
  <c r="FM14" i="1"/>
  <c r="JE14" i="1"/>
  <c r="AB14" i="1"/>
  <c r="HL14" i="1"/>
  <c r="DW14" i="1"/>
  <c r="BO14" i="1"/>
  <c r="IY14" i="1"/>
  <c r="GB14" i="1"/>
  <c r="BF14" i="1"/>
  <c r="EX14" i="1"/>
  <c r="IP14" i="1"/>
  <c r="CG14" i="1"/>
  <c r="FY14" i="1"/>
  <c r="AQ14" i="1"/>
  <c r="IA14" i="1"/>
  <c r="FD14" i="1"/>
  <c r="CV14" i="1"/>
  <c r="G14" i="1"/>
  <c r="GQ14" i="1"/>
  <c r="BR14" i="1"/>
  <c r="FJ14" i="1"/>
  <c r="JB14" i="1"/>
  <c r="CS14" i="1"/>
  <c r="GK14" i="1"/>
  <c r="BX14" i="1"/>
  <c r="JH14" i="1"/>
  <c r="FS14" i="1"/>
  <c r="DK14" i="1"/>
  <c r="AN14" i="1"/>
  <c r="HX14" i="1"/>
  <c r="CD14" i="1"/>
  <c r="FV14" i="1"/>
  <c r="M14" i="1"/>
  <c r="DE14" i="1"/>
  <c r="GW14" i="1"/>
  <c r="CM14" i="1"/>
  <c r="P14" i="1"/>
  <c r="GZ14" i="1"/>
  <c r="BC14" i="1"/>
  <c r="IM14" i="1"/>
  <c r="CP14" i="1"/>
  <c r="GH14" i="1"/>
  <c r="Y14" i="1"/>
  <c r="DQ14" i="1"/>
  <c r="EY35" i="2"/>
  <c r="EW26" i="2"/>
  <c r="GH13" i="1"/>
  <c r="CP13" i="1"/>
  <c r="IY13" i="1"/>
  <c r="FG13" i="1"/>
  <c r="BO13" i="1"/>
  <c r="IG13" i="1"/>
  <c r="AW13" i="1"/>
  <c r="ER13" i="1"/>
  <c r="FD13" i="1"/>
  <c r="FP13" i="1"/>
  <c r="E14" i="2"/>
  <c r="FS13" i="1"/>
  <c r="FV13" i="1"/>
  <c r="CD13" i="1"/>
  <c r="IM13" i="1"/>
  <c r="EU13" i="1"/>
  <c r="BC13" i="1"/>
  <c r="HU13" i="1"/>
  <c r="EC13" i="1"/>
  <c r="AZ13" i="1"/>
  <c r="BL13" i="1"/>
  <c r="BX13" i="1"/>
  <c r="GT13" i="1"/>
  <c r="FA13" i="1"/>
  <c r="IV13" i="1"/>
  <c r="JB13" i="1"/>
  <c r="FJ13" i="1"/>
  <c r="BR13" i="1"/>
  <c r="IA13" i="1"/>
  <c r="EI13" i="1"/>
  <c r="AQ13" i="1"/>
  <c r="HI13" i="1"/>
  <c r="DQ13" i="1"/>
  <c r="Y13" i="1"/>
  <c r="GB13" i="1"/>
  <c r="GN13" i="1"/>
  <c r="J13" i="1"/>
  <c r="IP13" i="1"/>
  <c r="EX13" i="1"/>
  <c r="BF13" i="1"/>
  <c r="HO13" i="1"/>
  <c r="DW13" i="1"/>
  <c r="AE13" i="1"/>
  <c r="GW13" i="1"/>
  <c r="DE13" i="1"/>
  <c r="M13" i="1"/>
  <c r="CJ13" i="1"/>
  <c r="CV13" i="1"/>
  <c r="IS13" i="1"/>
  <c r="ID13" i="1"/>
  <c r="EL13" i="1"/>
  <c r="AT13" i="1"/>
  <c r="HC13" i="1"/>
  <c r="DK13" i="1"/>
  <c r="S13" i="1"/>
  <c r="GK13" i="1"/>
  <c r="CS13" i="1"/>
  <c r="GZ13" i="1"/>
  <c r="HL13" i="1"/>
  <c r="HX13" i="1"/>
  <c r="BI13" i="1"/>
  <c r="HR13" i="1"/>
  <c r="DZ13" i="1"/>
  <c r="AH13" i="1"/>
  <c r="GQ13" i="1"/>
  <c r="CY13" i="1"/>
  <c r="G13" i="1"/>
  <c r="FY13" i="1"/>
  <c r="CG13" i="1"/>
  <c r="DH13" i="1"/>
  <c r="DT13" i="1"/>
  <c r="EF13" i="1"/>
  <c r="DB13" i="1"/>
  <c r="IJ13" i="1"/>
  <c r="HF13" i="1"/>
  <c r="DN13" i="1"/>
  <c r="V13" i="1"/>
  <c r="GE13" i="1"/>
  <c r="CM13" i="1"/>
  <c r="JE13" i="1"/>
  <c r="FM13" i="1"/>
  <c r="BU13" i="1"/>
  <c r="P13" i="1"/>
  <c r="AB13" i="1"/>
  <c r="AN13" i="1"/>
  <c r="CA13" i="1"/>
  <c r="JH13" i="1"/>
  <c r="EY27" i="2"/>
  <c r="EW28" i="2"/>
  <c r="EW23" i="2"/>
  <c r="EW20" i="2"/>
  <c r="EW25" i="2"/>
  <c r="M34" i="31"/>
  <c r="EY21" i="2"/>
  <c r="EY22" i="2"/>
  <c r="EY29" i="2"/>
  <c r="EW29" i="2"/>
  <c r="EW36" i="2"/>
  <c r="EW19" i="2"/>
  <c r="EW24" i="2"/>
  <c r="EY31" i="2"/>
  <c r="EW31" i="2"/>
  <c r="M34" i="30"/>
  <c r="X178" i="46"/>
  <c r="K56" i="32"/>
  <c r="M48" i="32"/>
  <c r="K57" i="32"/>
  <c r="J45" i="32"/>
  <c r="M45" i="32"/>
  <c r="J41" i="32"/>
  <c r="J48" i="32"/>
  <c r="E9" i="1"/>
  <c r="E46" i="27"/>
  <c r="J47" i="29"/>
  <c r="J47" i="27"/>
  <c r="J47" i="30"/>
  <c r="L45" i="31"/>
  <c r="I45" i="31"/>
  <c r="R11" i="39"/>
  <c r="I48" i="31"/>
  <c r="J40" i="31"/>
  <c r="D47" i="27"/>
  <c r="D47" i="28" s="1"/>
  <c r="D47" i="26" s="1"/>
  <c r="D44" i="27"/>
  <c r="E44" i="27" s="1"/>
  <c r="D42" i="25"/>
  <c r="D42" i="24" s="1"/>
  <c r="J47" i="28"/>
  <c r="J38" i="26"/>
  <c r="J44" i="28"/>
  <c r="M47" i="28"/>
  <c r="M44" i="28"/>
  <c r="D48" i="28"/>
  <c r="E48" i="27"/>
  <c r="E51" i="29"/>
  <c r="D51" i="27"/>
  <c r="D38" i="28"/>
  <c r="E38" i="27"/>
  <c r="D43" i="28"/>
  <c r="E43" i="27"/>
  <c r="E40" i="26"/>
  <c r="D40" i="25"/>
  <c r="E46" i="28"/>
  <c r="D46" i="26"/>
  <c r="D39" i="28"/>
  <c r="E39" i="27"/>
  <c r="E49" i="29"/>
  <c r="D49" i="27"/>
  <c r="J39" i="29"/>
  <c r="J37" i="27"/>
  <c r="E52" i="30"/>
  <c r="E53" i="30" s="1"/>
  <c r="D45" i="28"/>
  <c r="E45" i="27"/>
  <c r="M43" i="4"/>
  <c r="D50" i="27"/>
  <c r="E50" i="29"/>
  <c r="D41" i="27"/>
  <c r="E41" i="29"/>
  <c r="D52" i="29"/>
  <c r="D53" i="29" s="1"/>
  <c r="M34" i="29"/>
  <c r="M8" i="27"/>
  <c r="AU19" i="39"/>
  <c r="J57" i="21"/>
  <c r="A15" i="1" l="1"/>
  <c r="A16" i="2" s="1"/>
  <c r="EY39" i="2"/>
  <c r="EW39" i="2"/>
  <c r="AK13" i="39"/>
  <c r="Q14" i="39"/>
  <c r="R9" i="45"/>
  <c r="K9" i="45"/>
  <c r="G9" i="45"/>
  <c r="O9" i="45"/>
  <c r="C10" i="45"/>
  <c r="E11" i="1"/>
  <c r="C30" i="45"/>
  <c r="O30" i="45" s="1"/>
  <c r="E31" i="1"/>
  <c r="EY15" i="2"/>
  <c r="IP10" i="1"/>
  <c r="EX10" i="1"/>
  <c r="BF10" i="1"/>
  <c r="HO10" i="1"/>
  <c r="DW10" i="1"/>
  <c r="AE10" i="1"/>
  <c r="GZ10" i="1"/>
  <c r="DH10" i="1"/>
  <c r="P10" i="1"/>
  <c r="FY10" i="1"/>
  <c r="CG10" i="1"/>
  <c r="ID10" i="1"/>
  <c r="EL10" i="1"/>
  <c r="AT10" i="1"/>
  <c r="HC10" i="1"/>
  <c r="DK10" i="1"/>
  <c r="S10" i="1"/>
  <c r="GN10" i="1"/>
  <c r="CV10" i="1"/>
  <c r="JE10" i="1"/>
  <c r="FM10" i="1"/>
  <c r="BU10" i="1"/>
  <c r="HR10" i="1"/>
  <c r="DZ10" i="1"/>
  <c r="AH10" i="1"/>
  <c r="GQ10" i="1"/>
  <c r="CY10" i="1"/>
  <c r="G10" i="1"/>
  <c r="GB10" i="1"/>
  <c r="CJ10" i="1"/>
  <c r="IS10" i="1"/>
  <c r="FA10" i="1"/>
  <c r="BI10" i="1"/>
  <c r="HF10" i="1"/>
  <c r="DN10" i="1"/>
  <c r="V10" i="1"/>
  <c r="GE10" i="1"/>
  <c r="CM10" i="1"/>
  <c r="JH10" i="1"/>
  <c r="FP10" i="1"/>
  <c r="BX10" i="1"/>
  <c r="IG10" i="1"/>
  <c r="EO10" i="1"/>
  <c r="AK10" i="1"/>
  <c r="GT10" i="1"/>
  <c r="DB10" i="1"/>
  <c r="J10" i="1"/>
  <c r="FS10" i="1"/>
  <c r="CA10" i="1"/>
  <c r="IV10" i="1"/>
  <c r="FD10" i="1"/>
  <c r="BL10" i="1"/>
  <c r="HU10" i="1"/>
  <c r="EC10" i="1"/>
  <c r="Y10" i="1"/>
  <c r="GH10" i="1"/>
  <c r="CP10" i="1"/>
  <c r="IY10" i="1"/>
  <c r="FG10" i="1"/>
  <c r="BO10" i="1"/>
  <c r="IJ10" i="1"/>
  <c r="ER10" i="1"/>
  <c r="AZ10" i="1"/>
  <c r="HI10" i="1"/>
  <c r="DQ10" i="1"/>
  <c r="M10" i="1"/>
  <c r="E11" i="2"/>
  <c r="FV10" i="1"/>
  <c r="CD10" i="1"/>
  <c r="IM10" i="1"/>
  <c r="EU10" i="1"/>
  <c r="BC10" i="1"/>
  <c r="HX10" i="1"/>
  <c r="EF10" i="1"/>
  <c r="AN10" i="1"/>
  <c r="GW10" i="1"/>
  <c r="DE10" i="1"/>
  <c r="JB10" i="1"/>
  <c r="FJ10" i="1"/>
  <c r="BR10" i="1"/>
  <c r="IA10" i="1"/>
  <c r="EI10" i="1"/>
  <c r="AQ10" i="1"/>
  <c r="HL10" i="1"/>
  <c r="DT10" i="1"/>
  <c r="AB10" i="1"/>
  <c r="GK10" i="1"/>
  <c r="CS10" i="1"/>
  <c r="J11" i="17"/>
  <c r="J11" i="16" s="1"/>
  <c r="J11" i="15" s="1"/>
  <c r="J11" i="14" s="1"/>
  <c r="J11" i="13" s="1"/>
  <c r="J11" i="12" s="1"/>
  <c r="J11" i="11" s="1"/>
  <c r="J11" i="10" s="1"/>
  <c r="J11" i="9" s="1"/>
  <c r="J11" i="8" s="1"/>
  <c r="J11" i="7" s="1"/>
  <c r="J11" i="6" s="1"/>
  <c r="J18" i="4"/>
  <c r="J18" i="43" s="1"/>
  <c r="J22" i="4"/>
  <c r="J22" i="43" s="1"/>
  <c r="J16" i="4"/>
  <c r="J16" i="43" s="1"/>
  <c r="J14" i="4"/>
  <c r="J14" i="43" s="1"/>
  <c r="EY37" i="2"/>
  <c r="EW37" i="2"/>
  <c r="J9" i="9"/>
  <c r="J9" i="8" s="1"/>
  <c r="J9" i="7" s="1"/>
  <c r="J9" i="6" s="1"/>
  <c r="AX31" i="39"/>
  <c r="AR31" i="39"/>
  <c r="BN31" i="39"/>
  <c r="T31" i="39"/>
  <c r="J31" i="39"/>
  <c r="V31" i="39"/>
  <c r="BD31" i="39"/>
  <c r="AL31" i="39"/>
  <c r="I31" i="39"/>
  <c r="J20" i="16"/>
  <c r="J56" i="20"/>
  <c r="J59" i="22"/>
  <c r="EW14" i="2"/>
  <c r="EY14" i="2"/>
  <c r="BN11" i="39"/>
  <c r="JH9" i="1"/>
  <c r="IV9" i="1"/>
  <c r="HX9" i="1"/>
  <c r="HL9" i="1"/>
  <c r="GZ9" i="1"/>
  <c r="GN9" i="1"/>
  <c r="GB9" i="1"/>
  <c r="FP9" i="1"/>
  <c r="FD9" i="1"/>
  <c r="ER9" i="1"/>
  <c r="EF9" i="1"/>
  <c r="DT9" i="1"/>
  <c r="DH9" i="1"/>
  <c r="CV9" i="1"/>
  <c r="CJ9" i="1"/>
  <c r="BX9" i="1"/>
  <c r="BL9" i="1"/>
  <c r="AZ9" i="1"/>
  <c r="AN9" i="1"/>
  <c r="AB9" i="1"/>
  <c r="P9" i="1"/>
  <c r="JE9" i="1"/>
  <c r="IS9" i="1"/>
  <c r="IG9" i="1"/>
  <c r="HU9" i="1"/>
  <c r="HI9" i="1"/>
  <c r="GW9" i="1"/>
  <c r="GK9" i="1"/>
  <c r="FY9" i="1"/>
  <c r="FM9" i="1"/>
  <c r="FA9" i="1"/>
  <c r="EO9" i="1"/>
  <c r="EC9" i="1"/>
  <c r="DQ9" i="1"/>
  <c r="DE9" i="1"/>
  <c r="CS9" i="1"/>
  <c r="CG9" i="1"/>
  <c r="BU9" i="1"/>
  <c r="BI9" i="1"/>
  <c r="AW9" i="1"/>
  <c r="AK9" i="1"/>
  <c r="Y9" i="1"/>
  <c r="M9" i="1"/>
  <c r="JB9" i="1"/>
  <c r="IP9" i="1"/>
  <c r="ID9" i="1"/>
  <c r="HR9" i="1"/>
  <c r="HF9" i="1"/>
  <c r="GT9" i="1"/>
  <c r="GH9" i="1"/>
  <c r="FV9" i="1"/>
  <c r="FJ9" i="1"/>
  <c r="EX9" i="1"/>
  <c r="EL9" i="1"/>
  <c r="DZ9" i="1"/>
  <c r="DN9" i="1"/>
  <c r="DB9" i="1"/>
  <c r="CP9" i="1"/>
  <c r="CD9" i="1"/>
  <c r="BR9" i="1"/>
  <c r="BF9" i="1"/>
  <c r="AT9" i="1"/>
  <c r="AH9" i="1"/>
  <c r="V9" i="1"/>
  <c r="J9" i="1"/>
  <c r="IY9" i="1"/>
  <c r="IM9" i="1"/>
  <c r="IA9" i="1"/>
  <c r="HO9" i="1"/>
  <c r="HC9" i="1"/>
  <c r="GQ9" i="1"/>
  <c r="GE9" i="1"/>
  <c r="FS9" i="1"/>
  <c r="FG9" i="1"/>
  <c r="EU9" i="1"/>
  <c r="EI9" i="1"/>
  <c r="DW9" i="1"/>
  <c r="DK9" i="1"/>
  <c r="CY9" i="1"/>
  <c r="CM9" i="1"/>
  <c r="CA9" i="1"/>
  <c r="BO9" i="1"/>
  <c r="BC9" i="1"/>
  <c r="AQ9" i="1"/>
  <c r="AE9" i="1"/>
  <c r="S9" i="1"/>
  <c r="G9" i="1"/>
  <c r="A16" i="1"/>
  <c r="A17" i="2" s="1"/>
  <c r="E10" i="2"/>
  <c r="S10" i="39"/>
  <c r="K57" i="31"/>
  <c r="M45" i="31"/>
  <c r="J45" i="31"/>
  <c r="K56" i="31"/>
  <c r="M48" i="31"/>
  <c r="J48" i="31"/>
  <c r="J40" i="30"/>
  <c r="J41" i="31"/>
  <c r="I11" i="39"/>
  <c r="T11" i="39"/>
  <c r="R41" i="39"/>
  <c r="BN41" i="39" s="1"/>
  <c r="AX11" i="39"/>
  <c r="AR11" i="39"/>
  <c r="BD11" i="39"/>
  <c r="AL11" i="39"/>
  <c r="V11" i="39"/>
  <c r="J11" i="39"/>
  <c r="E47" i="28"/>
  <c r="D44" i="28"/>
  <c r="E44" i="28" s="1"/>
  <c r="E47" i="27"/>
  <c r="E42" i="25"/>
  <c r="J38" i="25"/>
  <c r="M44" i="26"/>
  <c r="J44" i="26"/>
  <c r="J47" i="26"/>
  <c r="M47" i="26"/>
  <c r="Q15" i="39"/>
  <c r="AQ14" i="39"/>
  <c r="AK14" i="39"/>
  <c r="D48" i="26"/>
  <c r="E48" i="28"/>
  <c r="D51" i="28"/>
  <c r="E51" i="27"/>
  <c r="D38" i="26"/>
  <c r="E38" i="28"/>
  <c r="E52" i="29"/>
  <c r="E53" i="29" s="1"/>
  <c r="E43" i="28"/>
  <c r="D43" i="26"/>
  <c r="E40" i="25"/>
  <c r="D40" i="24"/>
  <c r="E47" i="26"/>
  <c r="D47" i="25"/>
  <c r="D42" i="23"/>
  <c r="E42" i="24"/>
  <c r="D39" i="26"/>
  <c r="E39" i="28"/>
  <c r="E46" i="26"/>
  <c r="D46" i="25"/>
  <c r="E45" i="28"/>
  <c r="D45" i="26"/>
  <c r="J37" i="28"/>
  <c r="J39" i="27"/>
  <c r="E49" i="27"/>
  <c r="D49" i="28"/>
  <c r="E41" i="27"/>
  <c r="D41" i="28"/>
  <c r="D52" i="27"/>
  <c r="D53" i="27" s="1"/>
  <c r="E50" i="27"/>
  <c r="D50" i="28"/>
  <c r="M43" i="43"/>
  <c r="M34" i="27"/>
  <c r="M8" i="28"/>
  <c r="J57" i="22"/>
  <c r="AU20" i="39"/>
  <c r="K30" i="45" l="1"/>
  <c r="U30" i="45"/>
  <c r="C40" i="45"/>
  <c r="U40" i="45" s="1"/>
  <c r="R30" i="45"/>
  <c r="R10" i="45"/>
  <c r="G10" i="45"/>
  <c r="U10" i="45"/>
  <c r="O10" i="45"/>
  <c r="K10" i="45"/>
  <c r="G30" i="45"/>
  <c r="EW11" i="2"/>
  <c r="EY11" i="2"/>
  <c r="J20" i="15"/>
  <c r="J20" i="14" s="1"/>
  <c r="J20" i="13" s="1"/>
  <c r="J20" i="12" s="1"/>
  <c r="J20" i="11" s="1"/>
  <c r="J20" i="10" s="1"/>
  <c r="J20" i="9" s="1"/>
  <c r="J20" i="8" s="1"/>
  <c r="J20" i="7" s="1"/>
  <c r="J20" i="6" s="1"/>
  <c r="J20" i="37" s="1"/>
  <c r="J23" i="4"/>
  <c r="J23" i="43" s="1"/>
  <c r="J19" i="4"/>
  <c r="J19" i="43" s="1"/>
  <c r="J11" i="37"/>
  <c r="J11" i="4" s="1"/>
  <c r="J11" i="43" s="1"/>
  <c r="J9" i="37"/>
  <c r="J9" i="4" s="1"/>
  <c r="J9" i="43" s="1"/>
  <c r="GK31" i="1"/>
  <c r="GW31" i="1"/>
  <c r="GN31" i="1"/>
  <c r="GZ31" i="1"/>
  <c r="GQ31" i="1"/>
  <c r="GT31" i="1"/>
  <c r="HL31" i="1"/>
  <c r="JE31" i="1"/>
  <c r="EC31" i="1"/>
  <c r="AK31" i="1"/>
  <c r="BX31" i="1"/>
  <c r="AT31" i="1"/>
  <c r="AE31" i="1"/>
  <c r="P31" i="1"/>
  <c r="IV31" i="1"/>
  <c r="FV31" i="1"/>
  <c r="AB31" i="1"/>
  <c r="DZ31" i="1"/>
  <c r="CV31" i="1"/>
  <c r="AZ31" i="1"/>
  <c r="EU31" i="1"/>
  <c r="HI31" i="1"/>
  <c r="EO31" i="1"/>
  <c r="CY31" i="1"/>
  <c r="BF31" i="1"/>
  <c r="AQ31" i="1"/>
  <c r="IY31" i="1"/>
  <c r="E32" i="2"/>
  <c r="HC31" i="1"/>
  <c r="IS31" i="1"/>
  <c r="DQ31" i="1"/>
  <c r="Y31" i="1"/>
  <c r="AH31" i="1"/>
  <c r="S31" i="1"/>
  <c r="JB31" i="1"/>
  <c r="IJ31" i="1"/>
  <c r="GE31" i="1"/>
  <c r="EF31" i="1"/>
  <c r="FG31" i="1"/>
  <c r="CJ31" i="1"/>
  <c r="IG31" i="1"/>
  <c r="DE31" i="1"/>
  <c r="M31" i="1"/>
  <c r="G31" i="1"/>
  <c r="IP31" i="1"/>
  <c r="IA31" i="1"/>
  <c r="FS31" i="1"/>
  <c r="FD31" i="1"/>
  <c r="CP31" i="1"/>
  <c r="DT31" i="1"/>
  <c r="HF31" i="1"/>
  <c r="HU31" i="1"/>
  <c r="CS31" i="1"/>
  <c r="JH31" i="1"/>
  <c r="ID31" i="1"/>
  <c r="HO31" i="1"/>
  <c r="FJ31" i="1"/>
  <c r="ER31" i="1"/>
  <c r="DN31" i="1"/>
  <c r="BC31" i="1"/>
  <c r="CD31" i="1"/>
  <c r="FA31" i="1"/>
  <c r="BI31" i="1"/>
  <c r="DK31" i="1"/>
  <c r="BR31" i="1"/>
  <c r="V31" i="1"/>
  <c r="AW31" i="1"/>
  <c r="J31" i="1"/>
  <c r="BO31" i="1"/>
  <c r="FY31" i="1"/>
  <c r="CG31" i="1"/>
  <c r="HR31" i="1"/>
  <c r="GB31" i="1"/>
  <c r="EX31" i="1"/>
  <c r="EI31" i="1"/>
  <c r="DB31" i="1"/>
  <c r="CM31" i="1"/>
  <c r="HX31" i="1"/>
  <c r="IM31" i="1"/>
  <c r="FM31" i="1"/>
  <c r="BU31" i="1"/>
  <c r="FP31" i="1"/>
  <c r="EL31" i="1"/>
  <c r="DW31" i="1"/>
  <c r="DH31" i="1"/>
  <c r="CA31" i="1"/>
  <c r="BL31" i="1"/>
  <c r="GH31" i="1"/>
  <c r="AN31" i="1"/>
  <c r="J56" i="19"/>
  <c r="J59" i="20"/>
  <c r="BO10" i="39"/>
  <c r="JE11" i="1"/>
  <c r="IS11" i="1"/>
  <c r="IG11" i="1"/>
  <c r="HU11" i="1"/>
  <c r="HI11" i="1"/>
  <c r="GW11" i="1"/>
  <c r="GK11" i="1"/>
  <c r="FY11" i="1"/>
  <c r="FM11" i="1"/>
  <c r="FA11" i="1"/>
  <c r="JB11" i="1"/>
  <c r="IP11" i="1"/>
  <c r="ID11" i="1"/>
  <c r="HR11" i="1"/>
  <c r="HF11" i="1"/>
  <c r="GT11" i="1"/>
  <c r="GH11" i="1"/>
  <c r="FV11" i="1"/>
  <c r="FJ11" i="1"/>
  <c r="JH11" i="1"/>
  <c r="IV11" i="1"/>
  <c r="IJ11" i="1"/>
  <c r="HX11" i="1"/>
  <c r="HL11" i="1"/>
  <c r="GZ11" i="1"/>
  <c r="GN11" i="1"/>
  <c r="GB11" i="1"/>
  <c r="FP11" i="1"/>
  <c r="FD11" i="1"/>
  <c r="GQ11" i="1"/>
  <c r="IA11" i="1"/>
  <c r="EO11" i="1"/>
  <c r="EC11" i="1"/>
  <c r="DQ11" i="1"/>
  <c r="DE11" i="1"/>
  <c r="CS11" i="1"/>
  <c r="CG11" i="1"/>
  <c r="BU11" i="1"/>
  <c r="BI11" i="1"/>
  <c r="AW11" i="1"/>
  <c r="AK11" i="1"/>
  <c r="Y11" i="1"/>
  <c r="M11" i="1"/>
  <c r="FS11" i="1"/>
  <c r="HC11" i="1"/>
  <c r="EX11" i="1"/>
  <c r="EL11" i="1"/>
  <c r="DZ11" i="1"/>
  <c r="DN11" i="1"/>
  <c r="DB11" i="1"/>
  <c r="CP11" i="1"/>
  <c r="CD11" i="1"/>
  <c r="BR11" i="1"/>
  <c r="BF11" i="1"/>
  <c r="AT11" i="1"/>
  <c r="AH11" i="1"/>
  <c r="V11" i="1"/>
  <c r="J11" i="1"/>
  <c r="IM11" i="1"/>
  <c r="GE11" i="1"/>
  <c r="EU11" i="1"/>
  <c r="EI11" i="1"/>
  <c r="DW11" i="1"/>
  <c r="DK11" i="1"/>
  <c r="CY11" i="1"/>
  <c r="CM11" i="1"/>
  <c r="CA11" i="1"/>
  <c r="BO11" i="1"/>
  <c r="BC11" i="1"/>
  <c r="AQ11" i="1"/>
  <c r="AE11" i="1"/>
  <c r="S11" i="1"/>
  <c r="G11" i="1"/>
  <c r="HO11" i="1"/>
  <c r="IY11" i="1"/>
  <c r="FG11" i="1"/>
  <c r="ER11" i="1"/>
  <c r="EF11" i="1"/>
  <c r="DT11" i="1"/>
  <c r="DH11" i="1"/>
  <c r="CV11" i="1"/>
  <c r="CJ11" i="1"/>
  <c r="BX11" i="1"/>
  <c r="BL11" i="1"/>
  <c r="AZ11" i="1"/>
  <c r="AN11" i="1"/>
  <c r="AB11" i="1"/>
  <c r="P11" i="1"/>
  <c r="A17" i="1"/>
  <c r="A18" i="2" s="1"/>
  <c r="E12" i="2"/>
  <c r="EY12" i="2" s="1"/>
  <c r="AS10" i="39"/>
  <c r="U10" i="39"/>
  <c r="BI10" i="39" s="1"/>
  <c r="AY10" i="39"/>
  <c r="BE10" i="39"/>
  <c r="AM10" i="39"/>
  <c r="S11" i="39"/>
  <c r="F10" i="2"/>
  <c r="EZ10" i="2" s="1"/>
  <c r="EY10" i="2"/>
  <c r="EW10" i="2"/>
  <c r="J40" i="29"/>
  <c r="M45" i="30"/>
  <c r="M48" i="30"/>
  <c r="K57" i="30"/>
  <c r="J45" i="30"/>
  <c r="K56" i="30"/>
  <c r="J41" i="30"/>
  <c r="J48" i="30"/>
  <c r="AX41" i="39"/>
  <c r="AR41" i="39"/>
  <c r="AL41" i="39"/>
  <c r="BD41" i="39"/>
  <c r="I41" i="39"/>
  <c r="T41" i="39"/>
  <c r="Z41" i="39"/>
  <c r="BJ41" i="39" s="1"/>
  <c r="D44" i="26"/>
  <c r="E44" i="26" s="1"/>
  <c r="AQ15" i="39"/>
  <c r="AK15" i="39"/>
  <c r="Q16" i="39"/>
  <c r="M47" i="25"/>
  <c r="J44" i="25"/>
  <c r="M44" i="25"/>
  <c r="J38" i="24"/>
  <c r="J47" i="25"/>
  <c r="D48" i="25"/>
  <c r="E48" i="26"/>
  <c r="E38" i="26"/>
  <c r="D38" i="25"/>
  <c r="D51" i="26"/>
  <c r="E51" i="28"/>
  <c r="D43" i="25"/>
  <c r="E43" i="26"/>
  <c r="E40" i="24"/>
  <c r="D40" i="23"/>
  <c r="D47" i="24"/>
  <c r="E47" i="25"/>
  <c r="D39" i="25"/>
  <c r="E39" i="26"/>
  <c r="D42" i="21"/>
  <c r="E42" i="23"/>
  <c r="D46" i="24"/>
  <c r="E46" i="25"/>
  <c r="E52" i="27"/>
  <c r="E53" i="27" s="1"/>
  <c r="D50" i="26"/>
  <c r="E50" i="28"/>
  <c r="E49" i="28"/>
  <c r="D49" i="26"/>
  <c r="D45" i="25"/>
  <c r="E45" i="26"/>
  <c r="D41" i="26"/>
  <c r="E41" i="28"/>
  <c r="D52" i="28"/>
  <c r="D53" i="28" s="1"/>
  <c r="J37" i="26"/>
  <c r="J39" i="28"/>
  <c r="M8" i="26"/>
  <c r="M34" i="28"/>
  <c r="AU21" i="39"/>
  <c r="J57" i="20"/>
  <c r="G40" i="45" l="1"/>
  <c r="AB75" i="46"/>
  <c r="R40" i="45"/>
  <c r="O40" i="45"/>
  <c r="K40" i="45"/>
  <c r="J21" i="4"/>
  <c r="J21" i="43" s="1"/>
  <c r="EY32" i="2"/>
  <c r="EW32" i="2"/>
  <c r="J56" i="18"/>
  <c r="J59" i="19"/>
  <c r="A18" i="1"/>
  <c r="A19" i="2" s="1"/>
  <c r="BO11" i="39"/>
  <c r="BE11" i="39"/>
  <c r="EW12" i="2"/>
  <c r="E42" i="2"/>
  <c r="EW42" i="2" s="1"/>
  <c r="AS11" i="39"/>
  <c r="S12" i="39"/>
  <c r="U11" i="39"/>
  <c r="BI11" i="39" s="1"/>
  <c r="AY11" i="39"/>
  <c r="AM11" i="39"/>
  <c r="F11" i="2"/>
  <c r="EX10" i="2"/>
  <c r="K57" i="29"/>
  <c r="J45" i="29"/>
  <c r="J41" i="29"/>
  <c r="M48" i="29"/>
  <c r="K56" i="29"/>
  <c r="J40" i="27"/>
  <c r="J48" i="29"/>
  <c r="M45" i="29"/>
  <c r="D44" i="25"/>
  <c r="D44" i="24" s="1"/>
  <c r="M47" i="24"/>
  <c r="J38" i="23"/>
  <c r="M44" i="24"/>
  <c r="J44" i="24"/>
  <c r="J47" i="24"/>
  <c r="Q17" i="39"/>
  <c r="AQ16" i="39"/>
  <c r="AK16" i="39"/>
  <c r="E48" i="25"/>
  <c r="D48" i="24"/>
  <c r="E38" i="25"/>
  <c r="D38" i="24"/>
  <c r="D51" i="25"/>
  <c r="E51" i="26"/>
  <c r="E52" i="28"/>
  <c r="E53" i="28" s="1"/>
  <c r="D43" i="24"/>
  <c r="E43" i="25"/>
  <c r="D40" i="21"/>
  <c r="E40" i="23"/>
  <c r="E47" i="24"/>
  <c r="D47" i="23"/>
  <c r="E46" i="24"/>
  <c r="D46" i="23"/>
  <c r="D42" i="22"/>
  <c r="E42" i="21"/>
  <c r="E39" i="25"/>
  <c r="D39" i="24"/>
  <c r="D41" i="25"/>
  <c r="E41" i="26"/>
  <c r="D52" i="26"/>
  <c r="D53" i="26" s="1"/>
  <c r="D45" i="24"/>
  <c r="E45" i="25"/>
  <c r="D50" i="25"/>
  <c r="E50" i="26"/>
  <c r="J37" i="25"/>
  <c r="J39" i="26"/>
  <c r="D49" i="25"/>
  <c r="E49" i="26"/>
  <c r="M34" i="26"/>
  <c r="M8" i="25"/>
  <c r="AU22" i="39"/>
  <c r="J57" i="19"/>
  <c r="AB80" i="46" l="1"/>
  <c r="J20" i="4"/>
  <c r="J20" i="43" s="1"/>
  <c r="A19" i="1"/>
  <c r="A20" i="2" s="1"/>
  <c r="J56" i="17"/>
  <c r="J59" i="18"/>
  <c r="BO12" i="39"/>
  <c r="AY12" i="39"/>
  <c r="AM12" i="39"/>
  <c r="BE12" i="39"/>
  <c r="S13" i="39"/>
  <c r="U12" i="39"/>
  <c r="BI12" i="39" s="1"/>
  <c r="AS12" i="39"/>
  <c r="EX11" i="2"/>
  <c r="EZ11" i="2"/>
  <c r="F12" i="2"/>
  <c r="E44" i="25"/>
  <c r="M48" i="27"/>
  <c r="J41" i="27"/>
  <c r="J45" i="27"/>
  <c r="M45" i="27"/>
  <c r="K57" i="27"/>
  <c r="K56" i="27"/>
  <c r="J40" i="28"/>
  <c r="J48" i="27"/>
  <c r="Q18" i="39"/>
  <c r="AQ17" i="39"/>
  <c r="AK17" i="39"/>
  <c r="M47" i="23"/>
  <c r="J47" i="23"/>
  <c r="J38" i="21"/>
  <c r="J44" i="23"/>
  <c r="M44" i="23"/>
  <c r="E48" i="24"/>
  <c r="D48" i="23"/>
  <c r="D38" i="23"/>
  <c r="E38" i="24"/>
  <c r="E51" i="25"/>
  <c r="D51" i="24"/>
  <c r="D44" i="23"/>
  <c r="E44" i="24"/>
  <c r="D43" i="23"/>
  <c r="E43" i="24"/>
  <c r="D40" i="22"/>
  <c r="E40" i="21"/>
  <c r="D47" i="21"/>
  <c r="E47" i="23"/>
  <c r="E42" i="22"/>
  <c r="D42" i="20"/>
  <c r="E39" i="24"/>
  <c r="D39" i="23"/>
  <c r="D46" i="21"/>
  <c r="E46" i="23"/>
  <c r="E50" i="25"/>
  <c r="D50" i="24"/>
  <c r="D45" i="23"/>
  <c r="E45" i="24"/>
  <c r="E52" i="26"/>
  <c r="E53" i="26" s="1"/>
  <c r="D49" i="24"/>
  <c r="E49" i="25"/>
  <c r="J39" i="25"/>
  <c r="J37" i="24"/>
  <c r="E41" i="25"/>
  <c r="D41" i="24"/>
  <c r="D52" i="25"/>
  <c r="D53" i="25" s="1"/>
  <c r="M8" i="24"/>
  <c r="M34" i="25"/>
  <c r="J57" i="18"/>
  <c r="AU23" i="39"/>
  <c r="A20" i="1" l="1"/>
  <c r="A21" i="2" s="1"/>
  <c r="J56" i="16"/>
  <c r="J56" i="15" s="1"/>
  <c r="J56" i="14" s="1"/>
  <c r="J56" i="13" s="1"/>
  <c r="J56" i="12" s="1"/>
  <c r="J56" i="11" s="1"/>
  <c r="J56" i="10" s="1"/>
  <c r="J56" i="9" s="1"/>
  <c r="J56" i="8" s="1"/>
  <c r="J56" i="7" s="1"/>
  <c r="J56" i="6" s="1"/>
  <c r="J56" i="37" s="1"/>
  <c r="J56" i="4" s="1"/>
  <c r="J56" i="43" s="1"/>
  <c r="BE13" i="39"/>
  <c r="BO13" i="39"/>
  <c r="U13" i="39"/>
  <c r="BI13" i="39" s="1"/>
  <c r="S14" i="39"/>
  <c r="AY13" i="39"/>
  <c r="AM13" i="39"/>
  <c r="AS13" i="39"/>
  <c r="EX12" i="2"/>
  <c r="F13" i="2"/>
  <c r="EZ12" i="2"/>
  <c r="A21" i="1"/>
  <c r="A22" i="2" s="1"/>
  <c r="J45" i="28"/>
  <c r="J40" i="26"/>
  <c r="M48" i="28"/>
  <c r="J48" i="28"/>
  <c r="M45" i="28"/>
  <c r="J41" i="28"/>
  <c r="K56" i="28"/>
  <c r="K57" i="28"/>
  <c r="AQ18" i="39"/>
  <c r="AK18" i="39"/>
  <c r="Q19" i="39"/>
  <c r="J38" i="22"/>
  <c r="M44" i="21"/>
  <c r="M47" i="21"/>
  <c r="J47" i="21"/>
  <c r="J44" i="21"/>
  <c r="E48" i="23"/>
  <c r="D48" i="21"/>
  <c r="E51" i="24"/>
  <c r="D51" i="23"/>
  <c r="E38" i="23"/>
  <c r="D38" i="21"/>
  <c r="D44" i="21"/>
  <c r="E44" i="23"/>
  <c r="E43" i="23"/>
  <c r="D43" i="21"/>
  <c r="E40" i="22"/>
  <c r="D40" i="20"/>
  <c r="E47" i="21"/>
  <c r="D47" i="22"/>
  <c r="D46" i="22"/>
  <c r="E46" i="21"/>
  <c r="D39" i="21"/>
  <c r="E39" i="23"/>
  <c r="E42" i="20"/>
  <c r="D42" i="19"/>
  <c r="E52" i="25"/>
  <c r="E53" i="25" s="1"/>
  <c r="D49" i="23"/>
  <c r="E49" i="24"/>
  <c r="E45" i="23"/>
  <c r="D45" i="21"/>
  <c r="D41" i="23"/>
  <c r="E41" i="24"/>
  <c r="D52" i="24"/>
  <c r="D53" i="24" s="1"/>
  <c r="J39" i="24"/>
  <c r="J37" i="23"/>
  <c r="E50" i="24"/>
  <c r="D50" i="23"/>
  <c r="M8" i="23"/>
  <c r="M34" i="24"/>
  <c r="AU24" i="39"/>
  <c r="J57" i="17"/>
  <c r="AS14" i="39" l="1"/>
  <c r="BE14" i="39"/>
  <c r="U14" i="39"/>
  <c r="BI14" i="39" s="1"/>
  <c r="AY14" i="39"/>
  <c r="BO14" i="39"/>
  <c r="AM14" i="39"/>
  <c r="S15" i="39"/>
  <c r="EZ13" i="2"/>
  <c r="F14" i="2"/>
  <c r="EX13" i="2"/>
  <c r="A22" i="1"/>
  <c r="A23" i="2" s="1"/>
  <c r="J40" i="25"/>
  <c r="M45" i="26"/>
  <c r="J45" i="26"/>
  <c r="J48" i="26"/>
  <c r="M48" i="26"/>
  <c r="J41" i="26"/>
  <c r="K56" i="26"/>
  <c r="K57" i="26"/>
  <c r="J47" i="22"/>
  <c r="J44" i="22"/>
  <c r="J38" i="20"/>
  <c r="M44" i="22"/>
  <c r="M47" i="22"/>
  <c r="Q20" i="39"/>
  <c r="AK19" i="39"/>
  <c r="AQ19" i="39"/>
  <c r="E48" i="21"/>
  <c r="D48" i="22"/>
  <c r="E38" i="21"/>
  <c r="D38" i="22"/>
  <c r="D51" i="21"/>
  <c r="E51" i="23"/>
  <c r="D44" i="22"/>
  <c r="E44" i="21"/>
  <c r="D43" i="22"/>
  <c r="E43" i="21"/>
  <c r="D40" i="19"/>
  <c r="E40" i="20"/>
  <c r="E47" i="22"/>
  <c r="D47" i="20"/>
  <c r="E39" i="21"/>
  <c r="D39" i="22"/>
  <c r="E46" i="22"/>
  <c r="D46" i="20"/>
  <c r="E42" i="19"/>
  <c r="D42" i="18"/>
  <c r="E50" i="23"/>
  <c r="D50" i="21"/>
  <c r="J39" i="23"/>
  <c r="J37" i="21"/>
  <c r="E41" i="23"/>
  <c r="D41" i="21"/>
  <c r="D52" i="23"/>
  <c r="D53" i="23" s="1"/>
  <c r="D45" i="22"/>
  <c r="E45" i="21"/>
  <c r="E52" i="24"/>
  <c r="E53" i="24" s="1"/>
  <c r="E49" i="23"/>
  <c r="D49" i="21"/>
  <c r="M8" i="21"/>
  <c r="M34" i="23"/>
  <c r="J57" i="16"/>
  <c r="AU25" i="39"/>
  <c r="AM15" i="39" l="1"/>
  <c r="S16" i="39"/>
  <c r="AY15" i="39"/>
  <c r="U15" i="39"/>
  <c r="BI15" i="39" s="1"/>
  <c r="BO15" i="39"/>
  <c r="AS15" i="39"/>
  <c r="BE15" i="39"/>
  <c r="EZ14" i="2"/>
  <c r="EX14" i="2"/>
  <c r="F15" i="2"/>
  <c r="A23" i="1"/>
  <c r="A24" i="2" s="1"/>
  <c r="S17" i="39"/>
  <c r="U16" i="39"/>
  <c r="BI16" i="39" s="1"/>
  <c r="AM16" i="39"/>
  <c r="J41" i="25"/>
  <c r="J48" i="25"/>
  <c r="J40" i="24"/>
  <c r="M48" i="25"/>
  <c r="K56" i="25"/>
  <c r="J45" i="25"/>
  <c r="M45" i="25"/>
  <c r="K57" i="25"/>
  <c r="AQ20" i="39"/>
  <c r="AK20" i="39"/>
  <c r="Q21" i="39"/>
  <c r="M44" i="20"/>
  <c r="J47" i="20"/>
  <c r="J38" i="19"/>
  <c r="M47" i="20"/>
  <c r="J44" i="20"/>
  <c r="E48" i="22"/>
  <c r="D48" i="20"/>
  <c r="D38" i="20"/>
  <c r="E38" i="22"/>
  <c r="E51" i="21"/>
  <c r="D51" i="22"/>
  <c r="E44" i="22"/>
  <c r="D44" i="20"/>
  <c r="D43" i="20"/>
  <c r="E43" i="22"/>
  <c r="D40" i="18"/>
  <c r="E40" i="19"/>
  <c r="D47" i="19"/>
  <c r="E47" i="20"/>
  <c r="D42" i="17"/>
  <c r="E42" i="18"/>
  <c r="E46" i="20"/>
  <c r="D46" i="19"/>
  <c r="E39" i="22"/>
  <c r="D39" i="20"/>
  <c r="D45" i="20"/>
  <c r="E45" i="22"/>
  <c r="D41" i="22"/>
  <c r="E41" i="21"/>
  <c r="D52" i="21"/>
  <c r="D53" i="21" s="1"/>
  <c r="J39" i="21"/>
  <c r="J37" i="22"/>
  <c r="D50" i="22"/>
  <c r="E50" i="21"/>
  <c r="E49" i="21"/>
  <c r="D49" i="22"/>
  <c r="E52" i="23"/>
  <c r="E53" i="23" s="1"/>
  <c r="M8" i="22"/>
  <c r="M34" i="21"/>
  <c r="AU26" i="39"/>
  <c r="J57" i="15"/>
  <c r="BO16" i="39" l="1"/>
  <c r="AS16" i="39"/>
  <c r="AY16" i="39"/>
  <c r="BE16" i="39"/>
  <c r="BO17" i="39"/>
  <c r="EX15" i="2"/>
  <c r="EZ15" i="2"/>
  <c r="F16" i="2"/>
  <c r="A24" i="1"/>
  <c r="A25" i="2" s="1"/>
  <c r="J41" i="24"/>
  <c r="M48" i="24"/>
  <c r="J45" i="24"/>
  <c r="J48" i="24"/>
  <c r="K57" i="24"/>
  <c r="J40" i="23"/>
  <c r="K56" i="24"/>
  <c r="M45" i="24"/>
  <c r="AS17" i="39"/>
  <c r="AM17" i="39"/>
  <c r="BE17" i="39"/>
  <c r="AY17" i="39"/>
  <c r="U17" i="39"/>
  <c r="BI17" i="39" s="1"/>
  <c r="S18" i="39"/>
  <c r="J44" i="19"/>
  <c r="M44" i="19"/>
  <c r="J38" i="18"/>
  <c r="J47" i="19"/>
  <c r="M47" i="19"/>
  <c r="Q22" i="39"/>
  <c r="AQ21" i="39"/>
  <c r="AK21" i="39"/>
  <c r="E48" i="20"/>
  <c r="D48" i="19"/>
  <c r="E51" i="22"/>
  <c r="D51" i="20"/>
  <c r="E38" i="20"/>
  <c r="D38" i="19"/>
  <c r="E44" i="20"/>
  <c r="D44" i="19"/>
  <c r="E43" i="20"/>
  <c r="D43" i="19"/>
  <c r="E40" i="18"/>
  <c r="D40" i="17"/>
  <c r="D47" i="18"/>
  <c r="E47" i="19"/>
  <c r="E42" i="17"/>
  <c r="D42" i="16"/>
  <c r="D39" i="19"/>
  <c r="E39" i="20"/>
  <c r="E46" i="19"/>
  <c r="D46" i="18"/>
  <c r="E49" i="22"/>
  <c r="D49" i="20"/>
  <c r="J39" i="22"/>
  <c r="J37" i="20"/>
  <c r="E41" i="22"/>
  <c r="D41" i="20"/>
  <c r="D52" i="22"/>
  <c r="D53" i="22" s="1"/>
  <c r="D45" i="19"/>
  <c r="E45" i="20"/>
  <c r="D50" i="20"/>
  <c r="E50" i="22"/>
  <c r="E52" i="21"/>
  <c r="E53" i="21" s="1"/>
  <c r="M34" i="22"/>
  <c r="M8" i="20"/>
  <c r="J57" i="14"/>
  <c r="AU27" i="39"/>
  <c r="BO18" i="39" l="1"/>
  <c r="EZ16" i="2"/>
  <c r="EX16" i="2"/>
  <c r="F17" i="2"/>
  <c r="A25" i="1"/>
  <c r="A26" i="2" s="1"/>
  <c r="S19" i="39"/>
  <c r="AS18" i="39"/>
  <c r="U18" i="39"/>
  <c r="BI18" i="39" s="1"/>
  <c r="AM18" i="39"/>
  <c r="BE18" i="39"/>
  <c r="AY18" i="39"/>
  <c r="J41" i="23"/>
  <c r="M48" i="23"/>
  <c r="M45" i="23"/>
  <c r="K57" i="23"/>
  <c r="J40" i="21"/>
  <c r="J48" i="23"/>
  <c r="K56" i="23"/>
  <c r="J45" i="23"/>
  <c r="Q23" i="39"/>
  <c r="AQ22" i="39"/>
  <c r="AK22" i="39"/>
  <c r="J47" i="18"/>
  <c r="M47" i="18"/>
  <c r="J44" i="18"/>
  <c r="M44" i="18"/>
  <c r="J38" i="17"/>
  <c r="E48" i="19"/>
  <c r="D48" i="18"/>
  <c r="D38" i="18"/>
  <c r="E38" i="19"/>
  <c r="E51" i="20"/>
  <c r="D51" i="19"/>
  <c r="D44" i="18"/>
  <c r="E44" i="19"/>
  <c r="E43" i="19"/>
  <c r="D43" i="18"/>
  <c r="D40" i="16"/>
  <c r="E40" i="17"/>
  <c r="E47" i="18"/>
  <c r="D47" i="17"/>
  <c r="E46" i="18"/>
  <c r="D46" i="17"/>
  <c r="E42" i="16"/>
  <c r="D42" i="15"/>
  <c r="D39" i="18"/>
  <c r="E39" i="19"/>
  <c r="E45" i="19"/>
  <c r="D45" i="18"/>
  <c r="E41" i="20"/>
  <c r="D41" i="19"/>
  <c r="D52" i="20"/>
  <c r="D53" i="20" s="1"/>
  <c r="J37" i="19"/>
  <c r="J39" i="20"/>
  <c r="D49" i="19"/>
  <c r="E49" i="20"/>
  <c r="D50" i="19"/>
  <c r="E50" i="20"/>
  <c r="E52" i="22"/>
  <c r="E53" i="22" s="1"/>
  <c r="M34" i="20"/>
  <c r="M8" i="19"/>
  <c r="AU28" i="39"/>
  <c r="J57" i="13"/>
  <c r="BO19" i="39" l="1"/>
  <c r="EX17" i="2"/>
  <c r="EZ17" i="2"/>
  <c r="F18" i="2"/>
  <c r="A26" i="1"/>
  <c r="A27" i="2" s="1"/>
  <c r="J45" i="21"/>
  <c r="K56" i="21"/>
  <c r="M45" i="21"/>
  <c r="J40" i="22"/>
  <c r="J48" i="21"/>
  <c r="J41" i="21"/>
  <c r="M48" i="21"/>
  <c r="K57" i="21"/>
  <c r="AS19" i="39"/>
  <c r="BE19" i="39"/>
  <c r="AM19" i="39"/>
  <c r="AY19" i="39"/>
  <c r="U19" i="39"/>
  <c r="BI19" i="39" s="1"/>
  <c r="S20" i="39"/>
  <c r="AQ23" i="39"/>
  <c r="Q24" i="39"/>
  <c r="AK23" i="39"/>
  <c r="J44" i="17"/>
  <c r="J38" i="16"/>
  <c r="M47" i="17"/>
  <c r="J47" i="17"/>
  <c r="M44" i="17"/>
  <c r="D48" i="17"/>
  <c r="E48" i="18"/>
  <c r="D51" i="18"/>
  <c r="E51" i="19"/>
  <c r="D38" i="17"/>
  <c r="E38" i="18"/>
  <c r="D44" i="17"/>
  <c r="E44" i="18"/>
  <c r="E43" i="18"/>
  <c r="D43" i="17"/>
  <c r="E40" i="16"/>
  <c r="D40" i="15"/>
  <c r="E47" i="17"/>
  <c r="D47" i="16"/>
  <c r="D39" i="17"/>
  <c r="E39" i="18"/>
  <c r="E42" i="15"/>
  <c r="D42" i="14"/>
  <c r="E46" i="17"/>
  <c r="D46" i="16"/>
  <c r="D49" i="18"/>
  <c r="E49" i="19"/>
  <c r="J39" i="19"/>
  <c r="J37" i="18"/>
  <c r="E41" i="19"/>
  <c r="D41" i="18"/>
  <c r="D52" i="19"/>
  <c r="D53" i="19" s="1"/>
  <c r="D45" i="17"/>
  <c r="E45" i="18"/>
  <c r="D50" i="18"/>
  <c r="E50" i="19"/>
  <c r="E52" i="20"/>
  <c r="E53" i="20" s="1"/>
  <c r="M34" i="19"/>
  <c r="M8" i="18"/>
  <c r="AU29" i="39"/>
  <c r="J57" i="12"/>
  <c r="BO20" i="39" l="1"/>
  <c r="EZ18" i="2"/>
  <c r="EX18" i="2"/>
  <c r="F19" i="2"/>
  <c r="A27" i="1"/>
  <c r="A28" i="2" s="1"/>
  <c r="U20" i="39"/>
  <c r="BI20" i="39" s="1"/>
  <c r="AS20" i="39"/>
  <c r="S21" i="39"/>
  <c r="AY20" i="39"/>
  <c r="BE20" i="39"/>
  <c r="AM20" i="39"/>
  <c r="M48" i="22"/>
  <c r="M45" i="22"/>
  <c r="J45" i="22"/>
  <c r="K57" i="22"/>
  <c r="J41" i="22"/>
  <c r="K56" i="22"/>
  <c r="J40" i="20"/>
  <c r="J48" i="22"/>
  <c r="J44" i="16"/>
  <c r="J47" i="16"/>
  <c r="M47" i="16"/>
  <c r="J38" i="15"/>
  <c r="M44" i="16"/>
  <c r="Q25" i="39"/>
  <c r="AQ24" i="39"/>
  <c r="AK24" i="39"/>
  <c r="E48" i="17"/>
  <c r="D48" i="16"/>
  <c r="D38" i="16"/>
  <c r="E38" i="17"/>
  <c r="D51" i="17"/>
  <c r="E51" i="18"/>
  <c r="E44" i="17"/>
  <c r="D44" i="16"/>
  <c r="D43" i="16"/>
  <c r="E43" i="17"/>
  <c r="E40" i="15"/>
  <c r="D40" i="14"/>
  <c r="E47" i="16"/>
  <c r="D47" i="15"/>
  <c r="D46" i="15"/>
  <c r="E46" i="16"/>
  <c r="E42" i="14"/>
  <c r="D42" i="13"/>
  <c r="D39" i="16"/>
  <c r="E39" i="17"/>
  <c r="D45" i="16"/>
  <c r="E45" i="17"/>
  <c r="D41" i="17"/>
  <c r="E41" i="18"/>
  <c r="D52" i="18"/>
  <c r="D53" i="18" s="1"/>
  <c r="J37" i="17"/>
  <c r="J39" i="18"/>
  <c r="E50" i="18"/>
  <c r="D50" i="17"/>
  <c r="E52" i="19"/>
  <c r="E53" i="19" s="1"/>
  <c r="E49" i="18"/>
  <c r="D49" i="17"/>
  <c r="M34" i="18"/>
  <c r="M8" i="17"/>
  <c r="J57" i="11"/>
  <c r="AU30" i="39"/>
  <c r="BO21" i="39" l="1"/>
  <c r="EX19" i="2"/>
  <c r="EZ19" i="2"/>
  <c r="F20" i="2"/>
  <c r="A28" i="1"/>
  <c r="A29" i="2" s="1"/>
  <c r="J41" i="20"/>
  <c r="M48" i="20"/>
  <c r="J48" i="20"/>
  <c r="K57" i="20"/>
  <c r="J45" i="20"/>
  <c r="J40" i="19"/>
  <c r="K56" i="20"/>
  <c r="M45" i="20"/>
  <c r="AM21" i="39"/>
  <c r="AS21" i="39"/>
  <c r="BE21" i="39"/>
  <c r="S22" i="39"/>
  <c r="U21" i="39"/>
  <c r="BI21" i="39" s="1"/>
  <c r="AY21" i="39"/>
  <c r="AQ25" i="39"/>
  <c r="AK25" i="39"/>
  <c r="Q26" i="39"/>
  <c r="J38" i="14"/>
  <c r="J47" i="15"/>
  <c r="M47" i="15"/>
  <c r="J44" i="15"/>
  <c r="M44" i="15"/>
  <c r="E48" i="16"/>
  <c r="D48" i="15"/>
  <c r="D51" i="16"/>
  <c r="E51" i="17"/>
  <c r="D38" i="15"/>
  <c r="E38" i="16"/>
  <c r="D44" i="15"/>
  <c r="E44" i="16"/>
  <c r="E43" i="16"/>
  <c r="D43" i="15"/>
  <c r="D40" i="13"/>
  <c r="E40" i="14"/>
  <c r="E47" i="15"/>
  <c r="D47" i="14"/>
  <c r="E39" i="16"/>
  <c r="D39" i="15"/>
  <c r="D46" i="14"/>
  <c r="E46" i="15"/>
  <c r="D42" i="12"/>
  <c r="E42" i="13"/>
  <c r="D50" i="16"/>
  <c r="E50" i="17"/>
  <c r="J39" i="17"/>
  <c r="J37" i="16"/>
  <c r="E52" i="18"/>
  <c r="E53" i="18" s="1"/>
  <c r="D49" i="16"/>
  <c r="E49" i="17"/>
  <c r="E41" i="17"/>
  <c r="D41" i="16"/>
  <c r="D52" i="17"/>
  <c r="D53" i="17" s="1"/>
  <c r="E45" i="16"/>
  <c r="D45" i="15"/>
  <c r="M34" i="17"/>
  <c r="M8" i="16"/>
  <c r="AU31" i="39"/>
  <c r="J57" i="10"/>
  <c r="BO22" i="39" l="1"/>
  <c r="EZ20" i="2"/>
  <c r="EX20" i="2"/>
  <c r="F21" i="2"/>
  <c r="A29" i="1"/>
  <c r="A30" i="2" s="1"/>
  <c r="U22" i="39"/>
  <c r="BI22" i="39" s="1"/>
  <c r="AS22" i="39"/>
  <c r="S23" i="39"/>
  <c r="AY22" i="39"/>
  <c r="BE22" i="39"/>
  <c r="AM22" i="39"/>
  <c r="J41" i="19"/>
  <c r="M45" i="19"/>
  <c r="J40" i="18"/>
  <c r="J48" i="19"/>
  <c r="M48" i="19"/>
  <c r="K56" i="19"/>
  <c r="J45" i="19"/>
  <c r="K57" i="19"/>
  <c r="J47" i="14"/>
  <c r="M47" i="14"/>
  <c r="J38" i="13"/>
  <c r="M44" i="14"/>
  <c r="J44" i="14"/>
  <c r="Q27" i="39"/>
  <c r="AQ26" i="39"/>
  <c r="AK26" i="39"/>
  <c r="E48" i="15"/>
  <c r="D48" i="14"/>
  <c r="E38" i="15"/>
  <c r="D38" i="14"/>
  <c r="E51" i="16"/>
  <c r="D51" i="15"/>
  <c r="E44" i="15"/>
  <c r="D44" i="14"/>
  <c r="E43" i="15"/>
  <c r="D43" i="14"/>
  <c r="E40" i="13"/>
  <c r="D40" i="12"/>
  <c r="D47" i="13"/>
  <c r="E47" i="14"/>
  <c r="D39" i="14"/>
  <c r="E39" i="15"/>
  <c r="E52" i="17"/>
  <c r="E53" i="17" s="1"/>
  <c r="D42" i="11"/>
  <c r="E42" i="12"/>
  <c r="D46" i="13"/>
  <c r="E46" i="14"/>
  <c r="D41" i="15"/>
  <c r="E41" i="16"/>
  <c r="D52" i="16"/>
  <c r="D53" i="16" s="1"/>
  <c r="D50" i="15"/>
  <c r="E50" i="16"/>
  <c r="E45" i="15"/>
  <c r="D45" i="14"/>
  <c r="D49" i="15"/>
  <c r="E49" i="16"/>
  <c r="J39" i="16"/>
  <c r="J37" i="15"/>
  <c r="M34" i="16"/>
  <c r="M8" i="15"/>
  <c r="J57" i="9"/>
  <c r="AU32" i="39"/>
  <c r="BO23" i="39" l="1"/>
  <c r="EZ21" i="2"/>
  <c r="EX21" i="2"/>
  <c r="F22" i="2"/>
  <c r="A30" i="1"/>
  <c r="A31" i="2" s="1"/>
  <c r="M48" i="18"/>
  <c r="J41" i="18"/>
  <c r="J48" i="18"/>
  <c r="K57" i="18"/>
  <c r="J40" i="17"/>
  <c r="K56" i="18"/>
  <c r="J45" i="18"/>
  <c r="M45" i="18"/>
  <c r="U23" i="39"/>
  <c r="BI23" i="39" s="1"/>
  <c r="S24" i="39"/>
  <c r="AS23" i="39"/>
  <c r="BE23" i="39"/>
  <c r="AM23" i="39"/>
  <c r="AY23" i="39"/>
  <c r="AQ27" i="39"/>
  <c r="Q28" i="39"/>
  <c r="AK27" i="39"/>
  <c r="J38" i="12"/>
  <c r="J44" i="13"/>
  <c r="M47" i="13"/>
  <c r="J47" i="13"/>
  <c r="M44" i="13"/>
  <c r="E48" i="14"/>
  <c r="D48" i="13"/>
  <c r="D51" i="14"/>
  <c r="E51" i="15"/>
  <c r="E38" i="14"/>
  <c r="D38" i="13"/>
  <c r="E44" i="14"/>
  <c r="D44" i="13"/>
  <c r="E43" i="14"/>
  <c r="D43" i="13"/>
  <c r="E40" i="12"/>
  <c r="D40" i="11"/>
  <c r="E47" i="13"/>
  <c r="D47" i="12"/>
  <c r="E39" i="14"/>
  <c r="D39" i="13"/>
  <c r="D46" i="12"/>
  <c r="E46" i="13"/>
  <c r="D42" i="10"/>
  <c r="E42" i="11"/>
  <c r="J37" i="14"/>
  <c r="J39" i="15"/>
  <c r="D45" i="13"/>
  <c r="E45" i="14"/>
  <c r="E41" i="15"/>
  <c r="D41" i="14"/>
  <c r="D52" i="15"/>
  <c r="D53" i="15" s="1"/>
  <c r="D49" i="14"/>
  <c r="E49" i="15"/>
  <c r="E50" i="15"/>
  <c r="D50" i="14"/>
  <c r="E52" i="16"/>
  <c r="E53" i="16" s="1"/>
  <c r="M8" i="14"/>
  <c r="M34" i="15"/>
  <c r="AU33" i="39"/>
  <c r="J57" i="8"/>
  <c r="BO24" i="39" l="1"/>
  <c r="EX22" i="2"/>
  <c r="EZ22" i="2"/>
  <c r="F23" i="2"/>
  <c r="A31" i="1"/>
  <c r="A32" i="2" s="1"/>
  <c r="U24" i="39"/>
  <c r="BI24" i="39" s="1"/>
  <c r="AM24" i="39"/>
  <c r="S25" i="39"/>
  <c r="BE24" i="39"/>
  <c r="AS24" i="39"/>
  <c r="AY24" i="39"/>
  <c r="M48" i="17"/>
  <c r="J41" i="17"/>
  <c r="M45" i="17"/>
  <c r="K56" i="17"/>
  <c r="J40" i="16"/>
  <c r="J48" i="17"/>
  <c r="J45" i="17"/>
  <c r="K57" i="17"/>
  <c r="Q29" i="39"/>
  <c r="AQ28" i="39"/>
  <c r="AK28" i="39"/>
  <c r="J44" i="12"/>
  <c r="M44" i="12"/>
  <c r="M47" i="12"/>
  <c r="J38" i="11"/>
  <c r="J47" i="12"/>
  <c r="E48" i="13"/>
  <c r="D48" i="12"/>
  <c r="E38" i="13"/>
  <c r="D38" i="12"/>
  <c r="D51" i="13"/>
  <c r="E51" i="14"/>
  <c r="D44" i="12"/>
  <c r="E44" i="13"/>
  <c r="D43" i="12"/>
  <c r="E43" i="13"/>
  <c r="E40" i="11"/>
  <c r="D40" i="10"/>
  <c r="E47" i="12"/>
  <c r="D47" i="11"/>
  <c r="E39" i="13"/>
  <c r="D39" i="12"/>
  <c r="E42" i="10"/>
  <c r="D42" i="9"/>
  <c r="D46" i="11"/>
  <c r="E46" i="12"/>
  <c r="D50" i="13"/>
  <c r="E50" i="14"/>
  <c r="E41" i="14"/>
  <c r="D41" i="13"/>
  <c r="D52" i="14"/>
  <c r="D53" i="14" s="1"/>
  <c r="E49" i="14"/>
  <c r="D49" i="13"/>
  <c r="E52" i="15"/>
  <c r="E53" i="15" s="1"/>
  <c r="E45" i="13"/>
  <c r="D45" i="12"/>
  <c r="J37" i="13"/>
  <c r="J39" i="14"/>
  <c r="M8" i="13"/>
  <c r="M34" i="14"/>
  <c r="AU34" i="39"/>
  <c r="J57" i="7"/>
  <c r="BO25" i="39" l="1"/>
  <c r="EZ23" i="2"/>
  <c r="EX23" i="2"/>
  <c r="F24" i="2"/>
  <c r="A32" i="1"/>
  <c r="A33" i="2" s="1"/>
  <c r="U25" i="39"/>
  <c r="BI25" i="39" s="1"/>
  <c r="S26" i="39"/>
  <c r="BE25" i="39"/>
  <c r="AS25" i="39"/>
  <c r="AM25" i="39"/>
  <c r="AY25" i="39"/>
  <c r="K56" i="16"/>
  <c r="J45" i="16"/>
  <c r="M45" i="16"/>
  <c r="J40" i="15"/>
  <c r="M48" i="16"/>
  <c r="J41" i="16"/>
  <c r="J48" i="16"/>
  <c r="K57" i="16"/>
  <c r="J44" i="11"/>
  <c r="J38" i="10"/>
  <c r="M47" i="11"/>
  <c r="J47" i="11"/>
  <c r="M44" i="11"/>
  <c r="AQ29" i="39"/>
  <c r="AK29" i="39"/>
  <c r="Q30" i="39"/>
  <c r="E48" i="12"/>
  <c r="D48" i="11"/>
  <c r="E38" i="12"/>
  <c r="D38" i="11"/>
  <c r="E51" i="13"/>
  <c r="D51" i="12"/>
  <c r="D44" i="11"/>
  <c r="E44" i="12"/>
  <c r="E43" i="12"/>
  <c r="D43" i="11"/>
  <c r="E40" i="10"/>
  <c r="D40" i="9"/>
  <c r="D47" i="10"/>
  <c r="E47" i="11"/>
  <c r="D46" i="10"/>
  <c r="E46" i="11"/>
  <c r="E42" i="9"/>
  <c r="D42" i="8"/>
  <c r="D39" i="11"/>
  <c r="E39" i="12"/>
  <c r="J37" i="12"/>
  <c r="J39" i="13"/>
  <c r="D49" i="12"/>
  <c r="E49" i="13"/>
  <c r="E52" i="14"/>
  <c r="E53" i="14" s="1"/>
  <c r="E50" i="13"/>
  <c r="D50" i="12"/>
  <c r="D45" i="11"/>
  <c r="E45" i="12"/>
  <c r="D41" i="12"/>
  <c r="E41" i="13"/>
  <c r="D52" i="13"/>
  <c r="D53" i="13" s="1"/>
  <c r="M34" i="13"/>
  <c r="M8" i="12"/>
  <c r="AU35" i="39"/>
  <c r="J57" i="6"/>
  <c r="BO26" i="39" l="1"/>
  <c r="EZ24" i="2"/>
  <c r="EX24" i="2"/>
  <c r="F25" i="2"/>
  <c r="A33" i="1"/>
  <c r="A34" i="2" s="1"/>
  <c r="J41" i="15"/>
  <c r="M48" i="15"/>
  <c r="J45" i="15"/>
  <c r="J48" i="15"/>
  <c r="K57" i="15"/>
  <c r="J40" i="14"/>
  <c r="K56" i="15"/>
  <c r="M45" i="15"/>
  <c r="AS26" i="39"/>
  <c r="AM26" i="39"/>
  <c r="BE26" i="39"/>
  <c r="AY26" i="39"/>
  <c r="U26" i="39"/>
  <c r="BI26" i="39" s="1"/>
  <c r="S27" i="39"/>
  <c r="J44" i="10"/>
  <c r="J38" i="9"/>
  <c r="M47" i="10"/>
  <c r="J47" i="10"/>
  <c r="M44" i="10"/>
  <c r="AQ30" i="39"/>
  <c r="AK30" i="39"/>
  <c r="Q31" i="39"/>
  <c r="E48" i="11"/>
  <c r="D48" i="10"/>
  <c r="E51" i="12"/>
  <c r="D51" i="11"/>
  <c r="E38" i="11"/>
  <c r="D38" i="10"/>
  <c r="D44" i="10"/>
  <c r="E44" i="11"/>
  <c r="E43" i="11"/>
  <c r="D43" i="10"/>
  <c r="D40" i="8"/>
  <c r="E40" i="9"/>
  <c r="E47" i="10"/>
  <c r="D47" i="9"/>
  <c r="E42" i="8"/>
  <c r="D42" i="7"/>
  <c r="D39" i="10"/>
  <c r="E39" i="11"/>
  <c r="D46" i="9"/>
  <c r="E46" i="10"/>
  <c r="E52" i="13"/>
  <c r="E53" i="13" s="1"/>
  <c r="D50" i="11"/>
  <c r="E50" i="12"/>
  <c r="D49" i="11"/>
  <c r="E49" i="12"/>
  <c r="J39" i="12"/>
  <c r="J37" i="11"/>
  <c r="D41" i="11"/>
  <c r="E41" i="12"/>
  <c r="D52" i="12"/>
  <c r="D53" i="12" s="1"/>
  <c r="D45" i="10"/>
  <c r="E45" i="11"/>
  <c r="M34" i="12"/>
  <c r="M8" i="11"/>
  <c r="J57" i="37"/>
  <c r="AU36" i="39"/>
  <c r="Z173" i="54" l="1"/>
  <c r="Z173" i="46"/>
  <c r="BO27" i="39"/>
  <c r="EX25" i="2"/>
  <c r="EZ25" i="2"/>
  <c r="F26" i="2"/>
  <c r="A34" i="1"/>
  <c r="A35" i="2" s="1"/>
  <c r="U27" i="39"/>
  <c r="BI27" i="39" s="1"/>
  <c r="S28" i="39"/>
  <c r="AY27" i="39"/>
  <c r="AM27" i="39"/>
  <c r="AS27" i="39"/>
  <c r="BE27" i="39"/>
  <c r="J40" i="13"/>
  <c r="M48" i="14"/>
  <c r="J41" i="14"/>
  <c r="J48" i="14"/>
  <c r="K56" i="14"/>
  <c r="M45" i="14"/>
  <c r="J45" i="14"/>
  <c r="K57" i="14"/>
  <c r="AK31" i="39"/>
  <c r="AQ31" i="39"/>
  <c r="Q32" i="39"/>
  <c r="M47" i="9"/>
  <c r="J47" i="9"/>
  <c r="J38" i="8"/>
  <c r="J44" i="9"/>
  <c r="M44" i="9"/>
  <c r="E48" i="10"/>
  <c r="D48" i="9"/>
  <c r="E38" i="10"/>
  <c r="D38" i="9"/>
  <c r="D51" i="10"/>
  <c r="E51" i="11"/>
  <c r="D44" i="9"/>
  <c r="E44" i="10"/>
  <c r="E43" i="10"/>
  <c r="D43" i="9"/>
  <c r="E40" i="8"/>
  <c r="D40" i="7"/>
  <c r="D47" i="8"/>
  <c r="E47" i="9"/>
  <c r="E46" i="9"/>
  <c r="D46" i="8"/>
  <c r="D39" i="9"/>
  <c r="E39" i="10"/>
  <c r="E52" i="12"/>
  <c r="E53" i="12" s="1"/>
  <c r="E42" i="7"/>
  <c r="D42" i="6"/>
  <c r="D41" i="10"/>
  <c r="E41" i="11"/>
  <c r="D52" i="11"/>
  <c r="D53" i="11" s="1"/>
  <c r="J39" i="11"/>
  <c r="J37" i="10"/>
  <c r="E45" i="10"/>
  <c r="D45" i="9"/>
  <c r="E49" i="11"/>
  <c r="D49" i="10"/>
  <c r="D50" i="10"/>
  <c r="E50" i="11"/>
  <c r="M34" i="11"/>
  <c r="M8" i="10"/>
  <c r="AU37" i="39"/>
  <c r="J57" i="4"/>
  <c r="T2" i="53" l="1"/>
  <c r="N12" i="52" s="1"/>
  <c r="Z174" i="54"/>
  <c r="X182" i="54" s="1"/>
  <c r="Z175" i="54"/>
  <c r="I2" i="53"/>
  <c r="E12" i="52" s="1"/>
  <c r="Z175" i="46"/>
  <c r="AB173" i="54"/>
  <c r="AA173" i="54"/>
  <c r="BO28" i="39"/>
  <c r="EZ26" i="2"/>
  <c r="EX26" i="2"/>
  <c r="F27" i="2"/>
  <c r="A35" i="1"/>
  <c r="A36" i="2" s="1"/>
  <c r="J41" i="13"/>
  <c r="K56" i="13"/>
  <c r="M45" i="13"/>
  <c r="K57" i="13"/>
  <c r="J45" i="13"/>
  <c r="J48" i="13"/>
  <c r="J40" i="12"/>
  <c r="M48" i="13"/>
  <c r="BE28" i="39"/>
  <c r="U28" i="39"/>
  <c r="BI28" i="39" s="1"/>
  <c r="AS28" i="39"/>
  <c r="S29" i="39"/>
  <c r="AM28" i="39"/>
  <c r="AY28" i="39"/>
  <c r="AQ32" i="39"/>
  <c r="Q33" i="39"/>
  <c r="AK32" i="39"/>
  <c r="J38" i="7"/>
  <c r="J47" i="8"/>
  <c r="J44" i="8"/>
  <c r="M47" i="8"/>
  <c r="M44" i="8"/>
  <c r="D48" i="8"/>
  <c r="E48" i="9"/>
  <c r="D38" i="8"/>
  <c r="E38" i="9"/>
  <c r="E51" i="10"/>
  <c r="D51" i="9"/>
  <c r="E44" i="9"/>
  <c r="D44" i="8"/>
  <c r="E43" i="9"/>
  <c r="D43" i="8"/>
  <c r="D40" i="6"/>
  <c r="E40" i="7"/>
  <c r="D47" i="7"/>
  <c r="E47" i="8"/>
  <c r="D46" i="7"/>
  <c r="E46" i="8"/>
  <c r="E42" i="6"/>
  <c r="D42" i="37"/>
  <c r="D39" i="8"/>
  <c r="E39" i="9"/>
  <c r="E50" i="10"/>
  <c r="D50" i="9"/>
  <c r="J39" i="10"/>
  <c r="J37" i="9"/>
  <c r="D41" i="9"/>
  <c r="E41" i="10"/>
  <c r="D52" i="10"/>
  <c r="D53" i="10" s="1"/>
  <c r="D49" i="9"/>
  <c r="E49" i="10"/>
  <c r="E45" i="9"/>
  <c r="D45" i="8"/>
  <c r="E52" i="11"/>
  <c r="E53" i="11" s="1"/>
  <c r="M34" i="10"/>
  <c r="M8" i="9"/>
  <c r="J57" i="43"/>
  <c r="AU38" i="39"/>
  <c r="T4" i="53" l="1"/>
  <c r="N14" i="52" s="1"/>
  <c r="AB174" i="54"/>
  <c r="X185" i="54" s="1"/>
  <c r="AA174" i="54"/>
  <c r="X184" i="54" s="1"/>
  <c r="T3" i="53"/>
  <c r="N13" i="52" s="1"/>
  <c r="U2" i="53"/>
  <c r="O12" i="52" s="1"/>
  <c r="BO29" i="39"/>
  <c r="EZ27" i="2"/>
  <c r="EX27" i="2"/>
  <c r="F28" i="2"/>
  <c r="F29" i="2" s="1"/>
  <c r="A36" i="1"/>
  <c r="A37" i="2" s="1"/>
  <c r="J41" i="12"/>
  <c r="M45" i="12"/>
  <c r="J45" i="12"/>
  <c r="J48" i="12"/>
  <c r="K56" i="12"/>
  <c r="J40" i="11"/>
  <c r="K56" i="11" s="1"/>
  <c r="M48" i="12"/>
  <c r="K57" i="12"/>
  <c r="S30" i="39"/>
  <c r="U29" i="39"/>
  <c r="BI29" i="39" s="1"/>
  <c r="AY29" i="39"/>
  <c r="AM29" i="39"/>
  <c r="BE29" i="39"/>
  <c r="AS29" i="39"/>
  <c r="J44" i="7"/>
  <c r="J38" i="6"/>
  <c r="J44" i="6" s="1"/>
  <c r="M47" i="7"/>
  <c r="J47" i="7"/>
  <c r="M44" i="7"/>
  <c r="AK33" i="39"/>
  <c r="Q34" i="39"/>
  <c r="AK34" i="39" s="1"/>
  <c r="AQ33" i="39"/>
  <c r="D48" i="7"/>
  <c r="D48" i="6" s="1"/>
  <c r="E48" i="8"/>
  <c r="D51" i="8"/>
  <c r="E51" i="8" s="1"/>
  <c r="E51" i="9"/>
  <c r="E38" i="8"/>
  <c r="D38" i="7"/>
  <c r="E38" i="7" s="1"/>
  <c r="D44" i="7"/>
  <c r="D44" i="6" s="1"/>
  <c r="D44" i="37" s="1"/>
  <c r="E44" i="8"/>
  <c r="D43" i="7"/>
  <c r="E43" i="7" s="1"/>
  <c r="E43" i="8"/>
  <c r="E40" i="6"/>
  <c r="D40" i="37"/>
  <c r="D40" i="4" s="1"/>
  <c r="E47" i="7"/>
  <c r="D47" i="6"/>
  <c r="D47" i="37" s="1"/>
  <c r="D47" i="4" s="1"/>
  <c r="E39" i="8"/>
  <c r="D39" i="7"/>
  <c r="E39" i="7" s="1"/>
  <c r="D46" i="6"/>
  <c r="D46" i="37" s="1"/>
  <c r="D46" i="4" s="1"/>
  <c r="E46" i="7"/>
  <c r="E42" i="37"/>
  <c r="D42" i="4"/>
  <c r="E42" i="4" s="1"/>
  <c r="D45" i="7"/>
  <c r="D45" i="6" s="1"/>
  <c r="E45" i="8"/>
  <c r="E52" i="10"/>
  <c r="E53" i="10" s="1"/>
  <c r="J37" i="8"/>
  <c r="J37" i="7" s="1"/>
  <c r="J39" i="9"/>
  <c r="E50" i="9"/>
  <c r="D50" i="8"/>
  <c r="D50" i="7" s="1"/>
  <c r="E50" i="7" s="1"/>
  <c r="D49" i="8"/>
  <c r="E49" i="9"/>
  <c r="D41" i="8"/>
  <c r="E41" i="8" s="1"/>
  <c r="E41" i="9"/>
  <c r="D52" i="9"/>
  <c r="D53" i="9" s="1"/>
  <c r="M8" i="8"/>
  <c r="M34" i="8" s="1"/>
  <c r="R66" i="53" s="1"/>
  <c r="M34" i="9"/>
  <c r="AU39" i="39"/>
  <c r="EZ28" i="2"/>
  <c r="EX28" i="2"/>
  <c r="A37" i="1"/>
  <c r="A38" i="2" s="1"/>
  <c r="AQ34" i="39" l="1"/>
  <c r="U4" i="53"/>
  <c r="O14" i="52" s="1"/>
  <c r="P14" i="52" s="1"/>
  <c r="Q14" i="52" s="1"/>
  <c r="N42" i="52"/>
  <c r="E44" i="7"/>
  <c r="D38" i="6"/>
  <c r="E38" i="6" s="1"/>
  <c r="Q35" i="39"/>
  <c r="AK35" i="39" s="1"/>
  <c r="X204" i="54"/>
  <c r="X206" i="54" s="1"/>
  <c r="BE30" i="39"/>
  <c r="M8" i="7"/>
  <c r="D43" i="6"/>
  <c r="E43" i="6" s="1"/>
  <c r="E47" i="6"/>
  <c r="D41" i="7"/>
  <c r="D41" i="6" s="1"/>
  <c r="E41" i="6" s="1"/>
  <c r="AY30" i="39"/>
  <c r="AS30" i="39"/>
  <c r="M48" i="11"/>
  <c r="J48" i="11"/>
  <c r="K57" i="11"/>
  <c r="M45" i="11"/>
  <c r="J45" i="11"/>
  <c r="J41" i="11"/>
  <c r="J40" i="10"/>
  <c r="S31" i="39"/>
  <c r="BO30" i="39"/>
  <c r="AM30" i="39"/>
  <c r="U3" i="53"/>
  <c r="O13" i="52" s="1"/>
  <c r="P13" i="52" s="1"/>
  <c r="M44" i="6"/>
  <c r="M47" i="6"/>
  <c r="J47" i="6"/>
  <c r="J39" i="8"/>
  <c r="J37" i="6"/>
  <c r="J37" i="37" s="1"/>
  <c r="J39" i="7"/>
  <c r="EZ29" i="2"/>
  <c r="EX29" i="2"/>
  <c r="F30" i="2"/>
  <c r="F31" i="2" s="1"/>
  <c r="P12" i="52"/>
  <c r="U30" i="39"/>
  <c r="BI30" i="39" s="1"/>
  <c r="E52" i="9"/>
  <c r="E53" i="9" s="1"/>
  <c r="J38" i="37"/>
  <c r="D52" i="8"/>
  <c r="D53" i="8" s="1"/>
  <c r="D39" i="6"/>
  <c r="E39" i="6" s="1"/>
  <c r="E46" i="6"/>
  <c r="D51" i="7"/>
  <c r="E45" i="7"/>
  <c r="D45" i="37"/>
  <c r="D45" i="4" s="1"/>
  <c r="E45" i="6"/>
  <c r="E47" i="37"/>
  <c r="E50" i="8"/>
  <c r="E44" i="6"/>
  <c r="D42" i="43"/>
  <c r="E42" i="43" s="1"/>
  <c r="E46" i="37"/>
  <c r="E48" i="7"/>
  <c r="E40" i="4"/>
  <c r="D40" i="43"/>
  <c r="E40" i="43" s="1"/>
  <c r="E48" i="6"/>
  <c r="D48" i="37"/>
  <c r="E48" i="37" s="1"/>
  <c r="D49" i="7"/>
  <c r="E40" i="37"/>
  <c r="E49" i="8"/>
  <c r="D50" i="6"/>
  <c r="E50" i="6" s="1"/>
  <c r="A38" i="1"/>
  <c r="A39" i="2" s="1"/>
  <c r="D44" i="4"/>
  <c r="E44" i="37"/>
  <c r="D47" i="43"/>
  <c r="E47" i="43" s="1"/>
  <c r="E47" i="4"/>
  <c r="E46" i="4"/>
  <c r="D46" i="43"/>
  <c r="E46" i="43" s="1"/>
  <c r="D38" i="37" l="1"/>
  <c r="D38" i="4" s="1"/>
  <c r="D38" i="43" s="1"/>
  <c r="E38" i="43" s="1"/>
  <c r="Q36" i="39"/>
  <c r="AK36" i="39" s="1"/>
  <c r="AQ35" i="39"/>
  <c r="BE31" i="39"/>
  <c r="U31" i="39"/>
  <c r="BI31" i="39" s="1"/>
  <c r="S32" i="39"/>
  <c r="S33" i="39" s="1"/>
  <c r="AS33" i="39" s="1"/>
  <c r="AQ36" i="39"/>
  <c r="E41" i="7"/>
  <c r="EZ30" i="2"/>
  <c r="M8" i="6"/>
  <c r="M34" i="7"/>
  <c r="EX30" i="2"/>
  <c r="D43" i="37"/>
  <c r="D43" i="4" s="1"/>
  <c r="D43" i="43" s="1"/>
  <c r="E43" i="43" s="1"/>
  <c r="D41" i="37"/>
  <c r="D41" i="4" s="1"/>
  <c r="D39" i="37"/>
  <c r="D39" i="4" s="1"/>
  <c r="D39" i="43" s="1"/>
  <c r="E39" i="43" s="1"/>
  <c r="O42" i="52"/>
  <c r="O44" i="52" s="1"/>
  <c r="J39" i="6"/>
  <c r="J48" i="10"/>
  <c r="J41" i="10"/>
  <c r="K57" i="10"/>
  <c r="K56" i="10"/>
  <c r="J45" i="10"/>
  <c r="M48" i="10"/>
  <c r="M45" i="10"/>
  <c r="J40" i="9"/>
  <c r="AS31" i="39"/>
  <c r="BO31" i="39"/>
  <c r="AM31" i="39"/>
  <c r="AY31" i="39"/>
  <c r="Q12" i="52"/>
  <c r="Q42" i="52" s="1"/>
  <c r="Q44" i="52" s="1"/>
  <c r="R14" i="53" s="1"/>
  <c r="P42" i="52"/>
  <c r="P44" i="52" s="1"/>
  <c r="A39" i="1"/>
  <c r="A40" i="2" s="1"/>
  <c r="J44" i="37"/>
  <c r="J47" i="37"/>
  <c r="M47" i="37"/>
  <c r="M44" i="37"/>
  <c r="J38" i="4"/>
  <c r="E45" i="37"/>
  <c r="D50" i="37"/>
  <c r="E50" i="37" s="1"/>
  <c r="E51" i="7"/>
  <c r="D51" i="6"/>
  <c r="E52" i="8"/>
  <c r="E53" i="8" s="1"/>
  <c r="D48" i="4"/>
  <c r="E48" i="4" s="1"/>
  <c r="E49" i="7"/>
  <c r="D49" i="6"/>
  <c r="D52" i="7"/>
  <c r="D53" i="7" s="1"/>
  <c r="EZ31" i="2"/>
  <c r="EX31" i="2"/>
  <c r="F32" i="2"/>
  <c r="E44" i="4"/>
  <c r="D44" i="43"/>
  <c r="E44" i="43" s="1"/>
  <c r="J39" i="37"/>
  <c r="J37" i="4"/>
  <c r="E45" i="4"/>
  <c r="D45" i="43"/>
  <c r="E45" i="43" s="1"/>
  <c r="E38" i="4" l="1"/>
  <c r="E38" i="37"/>
  <c r="Q37" i="39"/>
  <c r="Q38" i="39" s="1"/>
  <c r="AK38" i="39" s="1"/>
  <c r="AM32" i="39"/>
  <c r="BO32" i="39"/>
  <c r="U32" i="39"/>
  <c r="BI32" i="39" s="1"/>
  <c r="BE32" i="39"/>
  <c r="AS32" i="39"/>
  <c r="AY32" i="39"/>
  <c r="S34" i="39"/>
  <c r="BO34" i="39" s="1"/>
  <c r="U33" i="39"/>
  <c r="BI33" i="39" s="1"/>
  <c r="AM33" i="39"/>
  <c r="BO33" i="39"/>
  <c r="BE33" i="39"/>
  <c r="AY33" i="39"/>
  <c r="AQ37" i="39"/>
  <c r="E43" i="37"/>
  <c r="E43" i="4"/>
  <c r="M34" i="6"/>
  <c r="M8" i="37"/>
  <c r="E39" i="4"/>
  <c r="E41" i="37"/>
  <c r="D50" i="4"/>
  <c r="D50" i="43" s="1"/>
  <c r="E39" i="37"/>
  <c r="J41" i="9"/>
  <c r="K56" i="9"/>
  <c r="J48" i="9"/>
  <c r="J45" i="9"/>
  <c r="J40" i="8"/>
  <c r="M48" i="9"/>
  <c r="K57" i="9"/>
  <c r="M45" i="9"/>
  <c r="E52" i="7"/>
  <c r="E53" i="7" s="1"/>
  <c r="J44" i="4"/>
  <c r="M44" i="4"/>
  <c r="M47" i="4"/>
  <c r="J47" i="4"/>
  <c r="J38" i="43"/>
  <c r="D48" i="43"/>
  <c r="E48" i="43" s="1"/>
  <c r="E51" i="6"/>
  <c r="D51" i="37"/>
  <c r="E49" i="6"/>
  <c r="D49" i="37"/>
  <c r="D52" i="6"/>
  <c r="D53" i="6" s="1"/>
  <c r="EZ32" i="2"/>
  <c r="EX32" i="2"/>
  <c r="F33" i="2"/>
  <c r="Q39" i="39"/>
  <c r="J37" i="43"/>
  <c r="J39" i="43" s="1"/>
  <c r="J39" i="4"/>
  <c r="D41" i="43"/>
  <c r="E41" i="4"/>
  <c r="E50" i="43" l="1"/>
  <c r="W43" i="43"/>
  <c r="X43" i="43" s="1"/>
  <c r="AQ38" i="39"/>
  <c r="AK37" i="39"/>
  <c r="AY34" i="39"/>
  <c r="AM34" i="39"/>
  <c r="BE34" i="39"/>
  <c r="AS34" i="39"/>
  <c r="U34" i="39"/>
  <c r="BI34" i="39" s="1"/>
  <c r="S35" i="39"/>
  <c r="BO35" i="39" s="1"/>
  <c r="E50" i="4"/>
  <c r="M8" i="4"/>
  <c r="M34" i="37"/>
  <c r="J41" i="8"/>
  <c r="K56" i="8"/>
  <c r="M45" i="8"/>
  <c r="M48" i="8"/>
  <c r="J40" i="7"/>
  <c r="J48" i="8"/>
  <c r="J45" i="8"/>
  <c r="K57" i="8"/>
  <c r="E52" i="6"/>
  <c r="E53" i="6" s="1"/>
  <c r="M47" i="43"/>
  <c r="M44" i="43"/>
  <c r="J47" i="43"/>
  <c r="J44" i="43"/>
  <c r="E51" i="37"/>
  <c r="D51" i="4"/>
  <c r="E49" i="37"/>
  <c r="D52" i="37"/>
  <c r="D53" i="37" s="1"/>
  <c r="D49" i="4"/>
  <c r="EZ33" i="2"/>
  <c r="EX33" i="2"/>
  <c r="F34" i="2"/>
  <c r="AK39" i="39"/>
  <c r="AQ39" i="39"/>
  <c r="E41" i="43"/>
  <c r="S36" i="39" l="1"/>
  <c r="AM35" i="39"/>
  <c r="U35" i="39"/>
  <c r="BI35" i="39" s="1"/>
  <c r="AY35" i="39"/>
  <c r="BE35" i="39"/>
  <c r="AS35" i="39"/>
  <c r="M34" i="4"/>
  <c r="M57" i="4" s="1"/>
  <c r="M8" i="43"/>
  <c r="M34" i="43" s="1"/>
  <c r="Z177" i="46" s="1"/>
  <c r="J41" i="7"/>
  <c r="K56" i="7"/>
  <c r="J45" i="7"/>
  <c r="K57" i="7"/>
  <c r="J40" i="6"/>
  <c r="J48" i="7"/>
  <c r="M45" i="7"/>
  <c r="M48" i="7"/>
  <c r="E52" i="37"/>
  <c r="E53" i="37" s="1"/>
  <c r="E51" i="4"/>
  <c r="D51" i="43"/>
  <c r="E51" i="43" s="1"/>
  <c r="D52" i="4"/>
  <c r="D53" i="4" s="1"/>
  <c r="D49" i="43"/>
  <c r="E49" i="4"/>
  <c r="BO36" i="39"/>
  <c r="EX34" i="2"/>
  <c r="EZ34" i="2"/>
  <c r="F35" i="2"/>
  <c r="U36" i="39"/>
  <c r="BI36" i="39" s="1"/>
  <c r="S37" i="39"/>
  <c r="AY36" i="39"/>
  <c r="BE36" i="39"/>
  <c r="AS36" i="39"/>
  <c r="AM36" i="39"/>
  <c r="W175" i="46" l="1"/>
  <c r="E52" i="4"/>
  <c r="E53" i="4" s="1"/>
  <c r="J41" i="6"/>
  <c r="J48" i="6"/>
  <c r="J40" i="37"/>
  <c r="M48" i="6"/>
  <c r="M45" i="6"/>
  <c r="K57" i="6"/>
  <c r="J45" i="6"/>
  <c r="K56" i="6"/>
  <c r="E49" i="43"/>
  <c r="E52" i="43" s="1"/>
  <c r="E53" i="43" s="1"/>
  <c r="D52" i="43"/>
  <c r="BO37" i="39"/>
  <c r="EZ35" i="2"/>
  <c r="EX35" i="2"/>
  <c r="F36" i="2"/>
  <c r="AM37" i="39"/>
  <c r="AS37" i="39"/>
  <c r="BE37" i="39"/>
  <c r="U37" i="39"/>
  <c r="BI37" i="39" s="1"/>
  <c r="S38" i="39"/>
  <c r="AY37" i="39"/>
  <c r="K56" i="37" l="1"/>
  <c r="K57" i="37"/>
  <c r="J48" i="37"/>
  <c r="M45" i="37"/>
  <c r="J41" i="37"/>
  <c r="J45" i="37"/>
  <c r="M48" i="37"/>
  <c r="J40" i="4"/>
  <c r="D53" i="43"/>
  <c r="BO38" i="39"/>
  <c r="EX36" i="2"/>
  <c r="EZ36" i="2"/>
  <c r="F37" i="2"/>
  <c r="AS38" i="39"/>
  <c r="U38" i="39"/>
  <c r="BI38" i="39" s="1"/>
  <c r="S39" i="39"/>
  <c r="AM38" i="39"/>
  <c r="BE38" i="39"/>
  <c r="AY38" i="39"/>
  <c r="K56" i="4" l="1"/>
  <c r="M48" i="4"/>
  <c r="K57" i="4"/>
  <c r="J48" i="4"/>
  <c r="J40" i="43"/>
  <c r="J41" i="4"/>
  <c r="M45" i="4"/>
  <c r="J45" i="4"/>
  <c r="BO39" i="39"/>
  <c r="EX37" i="2"/>
  <c r="EZ37" i="2"/>
  <c r="F38" i="2"/>
  <c r="AS39" i="39"/>
  <c r="BE39" i="39"/>
  <c r="U39" i="39"/>
  <c r="BI39" i="39" s="1"/>
  <c r="AM39" i="39"/>
  <c r="AY39" i="39"/>
  <c r="K56" i="43" l="1"/>
  <c r="M48" i="43"/>
  <c r="M45" i="43"/>
  <c r="K57" i="43"/>
  <c r="J41" i="43"/>
  <c r="J45" i="43"/>
  <c r="J48" i="43"/>
  <c r="EX38" i="2"/>
  <c r="EZ38" i="2"/>
  <c r="F39" i="2"/>
  <c r="F40" i="2" s="1"/>
  <c r="EZ40" i="2" l="1"/>
  <c r="EX40" i="2"/>
  <c r="EX39" i="2"/>
  <c r="EZ39" i="2"/>
  <c r="BB10" i="39" l="1"/>
  <c r="H10" i="39"/>
  <c r="J10" i="39"/>
  <c r="AV10" i="39"/>
  <c r="V10" i="39"/>
  <c r="L41" i="39"/>
  <c r="M10" i="39"/>
  <c r="T173" i="46"/>
  <c r="P173" i="46"/>
  <c r="K173" i="46"/>
  <c r="C173" i="46"/>
  <c r="Q173" i="46"/>
  <c r="Q174" i="46" s="1"/>
  <c r="U173" i="46"/>
  <c r="X176" i="46" s="1"/>
  <c r="BD175" i="46" l="1"/>
  <c r="BE175" i="46"/>
  <c r="BF175" i="46"/>
  <c r="BB175" i="46"/>
  <c r="BC175" i="46"/>
  <c r="AH4" i="50"/>
  <c r="AH3" i="50"/>
  <c r="AH38" i="50"/>
  <c r="O173" i="46"/>
  <c r="H41" i="39"/>
  <c r="J41" i="39"/>
  <c r="V41" i="39"/>
  <c r="BB41" i="39" s="1"/>
  <c r="BC10" i="39"/>
  <c r="M11" i="39"/>
  <c r="AW10" i="39"/>
  <c r="K10" i="39"/>
  <c r="W10" i="39"/>
  <c r="AC173" i="46"/>
  <c r="Z174" i="46"/>
  <c r="X182" i="46" s="1"/>
  <c r="X173" i="46"/>
  <c r="F43" i="52" s="1"/>
  <c r="G43" i="52" s="1"/>
  <c r="H43" i="52" s="1"/>
  <c r="Y174" i="46"/>
  <c r="X181" i="46" s="1"/>
  <c r="V174" i="46"/>
  <c r="I8" i="53"/>
  <c r="F12" i="52" s="1"/>
  <c r="G12" i="52" s="1"/>
  <c r="S174" i="46"/>
  <c r="R174" i="46"/>
  <c r="AI3" i="50" l="1"/>
  <c r="AK174" i="46"/>
  <c r="X191" i="46" s="1"/>
  <c r="AS174" i="46"/>
  <c r="X197" i="46" s="1"/>
  <c r="AW174" i="46"/>
  <c r="X200" i="46" s="1"/>
  <c r="AM174" i="46"/>
  <c r="AU174" i="46"/>
  <c r="X199" i="46" s="1"/>
  <c r="AJ174" i="46"/>
  <c r="X190" i="46" s="1"/>
  <c r="AO174" i="46"/>
  <c r="X194" i="46" s="1"/>
  <c r="AR174" i="46"/>
  <c r="AI174" i="46"/>
  <c r="X189" i="46" s="1"/>
  <c r="AT174" i="46"/>
  <c r="X198" i="46" s="1"/>
  <c r="AY174" i="46"/>
  <c r="AF174" i="46"/>
  <c r="X186" i="46" s="1"/>
  <c r="AG174" i="46"/>
  <c r="X187" i="46" s="1"/>
  <c r="AV174" i="46"/>
  <c r="X201" i="46" s="1"/>
  <c r="AQ174" i="46"/>
  <c r="X196" i="46" s="1"/>
  <c r="AH174" i="46"/>
  <c r="X188" i="46" s="1"/>
  <c r="AP174" i="46"/>
  <c r="X195" i="46" s="1"/>
  <c r="AX174" i="46"/>
  <c r="AN174" i="46"/>
  <c r="X193" i="46" s="1"/>
  <c r="BA174" i="46"/>
  <c r="AL174" i="46"/>
  <c r="X192" i="46" s="1"/>
  <c r="AZ174" i="46"/>
  <c r="AC174" i="46"/>
  <c r="X183" i="46" s="1"/>
  <c r="I5" i="53"/>
  <c r="E15" i="52" s="1"/>
  <c r="F15" i="52" s="1"/>
  <c r="G15" i="52" s="1"/>
  <c r="G10" i="39"/>
  <c r="N41" i="39"/>
  <c r="G41" i="39" s="1"/>
  <c r="O10" i="39"/>
  <c r="O11" i="39" s="1"/>
  <c r="O12" i="39" s="1"/>
  <c r="O13" i="39" s="1"/>
  <c r="O14" i="39" s="1"/>
  <c r="O15" i="39" s="1"/>
  <c r="O16" i="39" s="1"/>
  <c r="O17" i="39" s="1"/>
  <c r="O18" i="39" s="1"/>
  <c r="O19" i="39" s="1"/>
  <c r="O20" i="39" s="1"/>
  <c r="O21" i="39" s="1"/>
  <c r="O22" i="39" s="1"/>
  <c r="O23" i="39" s="1"/>
  <c r="O24" i="39" s="1"/>
  <c r="O25" i="39" s="1"/>
  <c r="O26" i="39" s="1"/>
  <c r="O27" i="39" s="1"/>
  <c r="O28" i="39" s="1"/>
  <c r="O29" i="39" s="1"/>
  <c r="O30" i="39" s="1"/>
  <c r="O31" i="39" s="1"/>
  <c r="O32" i="39" s="1"/>
  <c r="O33" i="39" s="1"/>
  <c r="O34" i="39" s="1"/>
  <c r="O35" i="39" s="1"/>
  <c r="O36" i="39" s="1"/>
  <c r="O37" i="39" s="1"/>
  <c r="O38" i="39" s="1"/>
  <c r="O39" i="39" s="1"/>
  <c r="AB173" i="46"/>
  <c r="AB174" i="46" s="1"/>
  <c r="X185" i="46" s="1"/>
  <c r="BC11" i="39"/>
  <c r="AW11" i="39"/>
  <c r="M12" i="39"/>
  <c r="W11" i="39"/>
  <c r="K11" i="39"/>
  <c r="J2" i="53"/>
  <c r="I11" i="53"/>
  <c r="AA174" i="46"/>
  <c r="X184" i="46" s="1"/>
  <c r="I3" i="53"/>
  <c r="E13" i="52" s="1"/>
  <c r="F35" i="52" l="1"/>
  <c r="F37" i="52"/>
  <c r="F13" i="52"/>
  <c r="G13" i="52" s="1"/>
  <c r="H12" i="52" s="1"/>
  <c r="F36" i="52"/>
  <c r="F31" i="52"/>
  <c r="F29" i="52"/>
  <c r="F33" i="52"/>
  <c r="G33" i="52" s="1"/>
  <c r="F6" i="52"/>
  <c r="G6" i="52" s="1"/>
  <c r="F17" i="52"/>
  <c r="F25" i="52"/>
  <c r="F21" i="52"/>
  <c r="F27" i="52"/>
  <c r="F41" i="52"/>
  <c r="F26" i="52"/>
  <c r="F18" i="52"/>
  <c r="G18" i="52" s="1"/>
  <c r="F5" i="52"/>
  <c r="G5" i="52" s="1"/>
  <c r="F24" i="52"/>
  <c r="F28" i="52"/>
  <c r="F11" i="52"/>
  <c r="G11" i="52" s="1"/>
  <c r="F22" i="52"/>
  <c r="F16" i="52"/>
  <c r="F39" i="52"/>
  <c r="F9" i="52"/>
  <c r="G9" i="52" s="1"/>
  <c r="F10" i="52"/>
  <c r="G10" i="52" s="1"/>
  <c r="F20" i="52"/>
  <c r="F8" i="52"/>
  <c r="G8" i="52" s="1"/>
  <c r="F30" i="52"/>
  <c r="F38" i="52"/>
  <c r="F19" i="52"/>
  <c r="F23" i="52"/>
  <c r="F4" i="52"/>
  <c r="F40" i="52"/>
  <c r="F32" i="52"/>
  <c r="F34" i="52"/>
  <c r="F7" i="52"/>
  <c r="G7" i="52" s="1"/>
  <c r="X202" i="46"/>
  <c r="X204" i="46" s="1"/>
  <c r="X206" i="46" s="1"/>
  <c r="J5" i="53"/>
  <c r="I4" i="53"/>
  <c r="E14" i="52" s="1"/>
  <c r="F14" i="52" s="1"/>
  <c r="G14" i="52" s="1"/>
  <c r="BC12" i="39"/>
  <c r="M13" i="39"/>
  <c r="AW13" i="39" s="1"/>
  <c r="AW12" i="39"/>
  <c r="W12" i="39"/>
  <c r="K12" i="39"/>
  <c r="J3" i="53"/>
  <c r="G31" i="52" l="1"/>
  <c r="G40" i="52"/>
  <c r="H40" i="52" s="1"/>
  <c r="M14" i="39"/>
  <c r="K14" i="39" s="1"/>
  <c r="K13" i="39"/>
  <c r="BC13" i="39"/>
  <c r="W13" i="39"/>
  <c r="G24" i="52"/>
  <c r="J4" i="53"/>
  <c r="G4" i="52"/>
  <c r="F42" i="52"/>
  <c r="F44" i="52" s="1"/>
  <c r="G19" i="52"/>
  <c r="G16" i="52"/>
  <c r="G38" i="52"/>
  <c r="E42" i="52"/>
  <c r="W14" i="39" l="1"/>
  <c r="G68" i="53" s="1"/>
  <c r="H24" i="52"/>
  <c r="BC14" i="39"/>
  <c r="AW14" i="39"/>
  <c r="M15" i="39"/>
  <c r="H14" i="52"/>
  <c r="H4" i="52"/>
  <c r="G42" i="52"/>
  <c r="G44" i="52" s="1"/>
  <c r="H42" i="52" l="1"/>
  <c r="H44" i="52" s="1"/>
  <c r="G15" i="53" s="1"/>
  <c r="K15" i="39"/>
  <c r="W15" i="39"/>
  <c r="AW15" i="39"/>
  <c r="BC15" i="39"/>
  <c r="M16" i="39"/>
  <c r="BC16" i="39" l="1"/>
  <c r="M17" i="39"/>
  <c r="K16" i="39"/>
  <c r="AW16" i="39"/>
  <c r="W16" i="39"/>
  <c r="AW17" i="39" l="1"/>
  <c r="W17" i="39"/>
  <c r="M18" i="39"/>
  <c r="BC17" i="39"/>
  <c r="K17" i="39"/>
  <c r="K18" i="39" l="1"/>
  <c r="W18" i="39"/>
  <c r="BC18" i="39"/>
  <c r="AW18" i="39"/>
  <c r="M19" i="39"/>
  <c r="K19" i="39" l="1"/>
  <c r="W19" i="39"/>
  <c r="M20" i="39"/>
  <c r="AW19" i="39"/>
  <c r="BC19" i="39"/>
  <c r="W20" i="39" l="1"/>
  <c r="K20" i="39"/>
  <c r="M21" i="39"/>
  <c r="AW20" i="39"/>
  <c r="BC20" i="39"/>
  <c r="K21" i="39" l="1"/>
  <c r="W21" i="39"/>
  <c r="M22" i="39"/>
  <c r="BC21" i="39"/>
  <c r="AW21" i="39"/>
  <c r="K22" i="39" l="1"/>
  <c r="W22" i="39"/>
  <c r="BC22" i="39"/>
  <c r="AW22" i="39"/>
  <c r="M23" i="39"/>
  <c r="W23" i="39" l="1"/>
  <c r="AW23" i="39"/>
  <c r="K23" i="39"/>
  <c r="M24" i="39"/>
  <c r="BC23" i="39"/>
  <c r="K24" i="39" l="1"/>
  <c r="W24" i="39"/>
  <c r="M25" i="39"/>
  <c r="AW24" i="39"/>
  <c r="BC24" i="39"/>
  <c r="K25" i="39" l="1"/>
  <c r="M26" i="39"/>
  <c r="W25" i="39"/>
  <c r="BC25" i="39"/>
  <c r="AW25" i="39"/>
  <c r="K26" i="39" l="1"/>
  <c r="W26" i="39"/>
  <c r="AW26" i="39"/>
  <c r="M27" i="39"/>
  <c r="BC26" i="39"/>
  <c r="K27" i="39" l="1"/>
  <c r="AW27" i="39"/>
  <c r="W27" i="39"/>
  <c r="M28" i="39"/>
  <c r="BC27" i="39"/>
  <c r="W28" i="39" l="1"/>
  <c r="K28" i="39"/>
  <c r="BC28" i="39"/>
  <c r="AW28" i="39"/>
  <c r="M29" i="39"/>
  <c r="K29" i="39" l="1"/>
  <c r="W29" i="39"/>
  <c r="BC29" i="39"/>
  <c r="AW29" i="39"/>
  <c r="M30" i="39"/>
  <c r="W30" i="39" l="1"/>
  <c r="K30" i="39"/>
  <c r="BC30" i="39"/>
  <c r="M31" i="39"/>
  <c r="AW30" i="39"/>
  <c r="W31" i="39" l="1"/>
  <c r="BC31" i="39"/>
  <c r="K31" i="39"/>
  <c r="M32" i="39"/>
  <c r="AW31" i="39"/>
  <c r="K32" i="39" l="1"/>
  <c r="W32" i="39"/>
  <c r="BC32" i="39"/>
  <c r="M33" i="39"/>
  <c r="AW32" i="39"/>
  <c r="W33" i="39" l="1"/>
  <c r="K33" i="39"/>
  <c r="BC33" i="39"/>
  <c r="M34" i="39"/>
  <c r="AW33" i="39"/>
  <c r="W34" i="39" l="1"/>
  <c r="BC34" i="39"/>
  <c r="M35" i="39"/>
  <c r="AW34" i="39"/>
  <c r="K34" i="39"/>
  <c r="K35" i="39" l="1"/>
  <c r="W35" i="39"/>
  <c r="AW35" i="39"/>
  <c r="M36" i="39"/>
  <c r="BC35" i="39"/>
  <c r="K36" i="39" l="1"/>
  <c r="W36" i="39"/>
  <c r="BC36" i="39"/>
  <c r="AW36" i="39"/>
  <c r="M37" i="39"/>
  <c r="K37" i="39" l="1"/>
  <c r="BC37" i="39"/>
  <c r="W37" i="39"/>
  <c r="M38" i="39"/>
  <c r="AW37" i="39"/>
  <c r="IK9" i="1"/>
  <c r="KU9" i="1" s="1"/>
  <c r="IJ9" i="1"/>
  <c r="K38" i="39" l="1"/>
  <c r="BC38" i="39"/>
  <c r="W38" i="39"/>
  <c r="M39" i="39"/>
  <c r="AW38" i="39"/>
  <c r="AV41" i="1"/>
  <c r="AW10" i="1"/>
  <c r="AX10" i="1"/>
  <c r="KT10" i="1" s="1"/>
  <c r="W39" i="39" l="1"/>
  <c r="K39" i="39"/>
  <c r="AW39" i="39"/>
  <c r="BC39" i="39"/>
  <c r="AW41" i="1"/>
  <c r="AX41" i="1"/>
  <c r="II41" i="1" l="1"/>
  <c r="IK27" i="1"/>
  <c r="KU27" i="1" s="1"/>
  <c r="IJ27" i="1"/>
  <c r="IJ41" i="1" l="1"/>
  <c r="IK41" i="1"/>
  <c r="KU41" i="1" s="1"/>
  <c r="CH33" i="1" l="1"/>
  <c r="KT33" i="1" s="1"/>
  <c r="CF41" i="1"/>
  <c r="CG33" i="1"/>
  <c r="CG41" i="1" l="1"/>
  <c r="CH41" i="1"/>
  <c r="ES12" i="1" l="1"/>
  <c r="KT12" i="1" s="1"/>
  <c r="ER12" i="1"/>
  <c r="AJ41" i="1" l="1"/>
  <c r="AL13" i="1"/>
  <c r="AK13" i="1"/>
  <c r="AK41" i="1" l="1"/>
  <c r="AL41" i="1"/>
  <c r="EP13" i="1"/>
  <c r="KT13" i="1" s="1"/>
  <c r="EN41" i="1"/>
  <c r="EO41" i="1" s="1"/>
  <c r="EO13" i="1"/>
  <c r="EP41" i="1" l="1"/>
  <c r="ES14" i="1" l="1"/>
  <c r="KT14" i="1" s="1"/>
  <c r="EQ41" i="1"/>
  <c r="ER14" i="1"/>
  <c r="ER41" i="1" l="1"/>
  <c r="ES41" i="1"/>
  <c r="AB9" i="39" l="1"/>
  <c r="AC9" i="39" l="1"/>
  <c r="AF9" i="39"/>
  <c r="AD9" i="39"/>
  <c r="AE9" i="39" l="1"/>
  <c r="AG9" i="39"/>
  <c r="EE41" i="1" l="1"/>
  <c r="EF38" i="1"/>
  <c r="EG38" i="1"/>
  <c r="KT38" i="1"/>
  <c r="EG41" i="1" l="1"/>
  <c r="KT41" i="1" s="1"/>
  <c r="EF41" i="1"/>
  <c r="AB38" i="39" l="1"/>
  <c r="AB39" i="39"/>
  <c r="AB32" i="39"/>
  <c r="AB13" i="39"/>
  <c r="AB12" i="39"/>
  <c r="AB34" i="39"/>
  <c r="AB31" i="39"/>
  <c r="AB35" i="39"/>
  <c r="AB10" i="39"/>
  <c r="AB11" i="39"/>
  <c r="AB18" i="39"/>
  <c r="AB22" i="39"/>
  <c r="AB25" i="39"/>
  <c r="AB17" i="39"/>
  <c r="AB21" i="39"/>
  <c r="AB15" i="39"/>
  <c r="AB16" i="39"/>
  <c r="AB19" i="39"/>
  <c r="AB23" i="39"/>
  <c r="AB20" i="39"/>
  <c r="AB33" i="39"/>
  <c r="AB36" i="39"/>
  <c r="AB37" i="39"/>
  <c r="AD25" i="39" l="1"/>
  <c r="AF25" i="39"/>
  <c r="I49" i="17"/>
  <c r="AD34" i="39"/>
  <c r="AF34" i="39"/>
  <c r="I49" i="8"/>
  <c r="I49" i="19"/>
  <c r="AD23" i="39"/>
  <c r="AF23" i="39"/>
  <c r="AF20" i="39"/>
  <c r="AD20" i="39"/>
  <c r="I49" i="21"/>
  <c r="I49" i="23"/>
  <c r="AD19" i="39"/>
  <c r="AF19" i="39"/>
  <c r="AD22" i="39"/>
  <c r="I49" i="20"/>
  <c r="AF22" i="39"/>
  <c r="AF11" i="39"/>
  <c r="I49" i="31"/>
  <c r="AD11" i="39"/>
  <c r="I49" i="11"/>
  <c r="AD31" i="39"/>
  <c r="AF31" i="39"/>
  <c r="I49" i="37"/>
  <c r="AD37" i="39"/>
  <c r="AF37" i="39"/>
  <c r="AD16" i="39"/>
  <c r="I49" i="26"/>
  <c r="AF16" i="39"/>
  <c r="AF12" i="39"/>
  <c r="AD12" i="39"/>
  <c r="I49" i="30"/>
  <c r="I49" i="4"/>
  <c r="AF38" i="39"/>
  <c r="AD38" i="39"/>
  <c r="I49" i="28"/>
  <c r="AF15" i="39"/>
  <c r="AD15" i="39"/>
  <c r="I49" i="22"/>
  <c r="AD21" i="39"/>
  <c r="AF21" i="39"/>
  <c r="I49" i="24"/>
  <c r="AF18" i="39"/>
  <c r="AD18" i="39"/>
  <c r="AF10" i="39"/>
  <c r="I49" i="32"/>
  <c r="AD10" i="39"/>
  <c r="AC10" i="39"/>
  <c r="AF13" i="39"/>
  <c r="I49" i="29"/>
  <c r="AD13" i="39"/>
  <c r="AD36" i="39"/>
  <c r="AF36" i="39"/>
  <c r="I49" i="6"/>
  <c r="I49" i="9"/>
  <c r="AD33" i="39"/>
  <c r="AF33" i="39"/>
  <c r="I49" i="25"/>
  <c r="AD17" i="39"/>
  <c r="AF17" i="39"/>
  <c r="I49" i="7"/>
  <c r="AD35" i="39"/>
  <c r="AF35" i="39"/>
  <c r="I49" i="10"/>
  <c r="AD32" i="39"/>
  <c r="AF32" i="39"/>
  <c r="I49" i="43"/>
  <c r="AD39" i="39"/>
  <c r="AF39" i="39"/>
  <c r="AB30" i="39"/>
  <c r="AB14" i="39"/>
  <c r="AB41" i="39" s="1"/>
  <c r="AB24" i="39"/>
  <c r="AB27" i="39"/>
  <c r="AB26" i="39"/>
  <c r="AB29" i="39"/>
  <c r="AB28" i="39"/>
  <c r="I50" i="6" l="1"/>
  <c r="I51" i="6"/>
  <c r="I50" i="21"/>
  <c r="I51" i="21"/>
  <c r="I50" i="8"/>
  <c r="I51" i="8"/>
  <c r="I50" i="32"/>
  <c r="J49" i="32"/>
  <c r="J49" i="31" s="1"/>
  <c r="J49" i="30" s="1"/>
  <c r="I51" i="32"/>
  <c r="I51" i="26"/>
  <c r="I50" i="26"/>
  <c r="I51" i="20"/>
  <c r="I50" i="20"/>
  <c r="AD28" i="39"/>
  <c r="I49" i="14"/>
  <c r="AF28" i="39"/>
  <c r="AE10" i="39"/>
  <c r="AG10" i="39"/>
  <c r="I51" i="10"/>
  <c r="I50" i="10"/>
  <c r="I50" i="25"/>
  <c r="I51" i="25"/>
  <c r="I50" i="22"/>
  <c r="I51" i="22"/>
  <c r="I50" i="4"/>
  <c r="I51" i="4"/>
  <c r="I50" i="11"/>
  <c r="I51" i="11"/>
  <c r="AD26" i="39"/>
  <c r="AF26" i="39"/>
  <c r="I49" i="16"/>
  <c r="AF27" i="39"/>
  <c r="AD27" i="39"/>
  <c r="I49" i="15"/>
  <c r="AC11" i="39"/>
  <c r="AD24" i="39"/>
  <c r="AF24" i="39"/>
  <c r="I49" i="18"/>
  <c r="I51" i="30"/>
  <c r="I50" i="30"/>
  <c r="I51" i="17"/>
  <c r="I50" i="17"/>
  <c r="I51" i="29"/>
  <c r="I50" i="29"/>
  <c r="I50" i="31"/>
  <c r="I51" i="31"/>
  <c r="I49" i="13"/>
  <c r="AD29" i="39"/>
  <c r="AF29" i="39"/>
  <c r="AF14" i="39"/>
  <c r="I49" i="27"/>
  <c r="AD14" i="39"/>
  <c r="I49" i="12"/>
  <c r="AD30" i="39"/>
  <c r="AF30" i="39"/>
  <c r="I50" i="7"/>
  <c r="I51" i="7"/>
  <c r="I51" i="9"/>
  <c r="I50" i="9"/>
  <c r="I51" i="24"/>
  <c r="I50" i="24"/>
  <c r="I51" i="28"/>
  <c r="I50" i="28"/>
  <c r="I50" i="37"/>
  <c r="I51" i="37"/>
  <c r="I51" i="23"/>
  <c r="I50" i="23"/>
  <c r="I50" i="19"/>
  <c r="I51" i="19"/>
  <c r="AF41" i="39"/>
  <c r="AD41" i="39"/>
  <c r="I50" i="43"/>
  <c r="I51" i="43"/>
  <c r="J51" i="30" l="1"/>
  <c r="J50" i="30"/>
  <c r="J49" i="29"/>
  <c r="AE11" i="39"/>
  <c r="AG11" i="39"/>
  <c r="AC12" i="39"/>
  <c r="I51" i="27"/>
  <c r="I50" i="27"/>
  <c r="I51" i="15"/>
  <c r="I50" i="15"/>
  <c r="I51" i="14"/>
  <c r="I50" i="14"/>
  <c r="I50" i="18"/>
  <c r="I51" i="18"/>
  <c r="J51" i="32"/>
  <c r="J50" i="32"/>
  <c r="J51" i="31"/>
  <c r="J50" i="31"/>
  <c r="I51" i="16"/>
  <c r="I50" i="16"/>
  <c r="I50" i="12"/>
  <c r="I51" i="12"/>
  <c r="I50" i="13"/>
  <c r="I51" i="13"/>
  <c r="AE12" i="39" l="1"/>
  <c r="AG12" i="39"/>
  <c r="AC13" i="39"/>
  <c r="J51" i="29"/>
  <c r="J50" i="29"/>
  <c r="J49" i="27"/>
  <c r="J51" i="27" l="1"/>
  <c r="J50" i="27"/>
  <c r="J49" i="28"/>
  <c r="AE13" i="39"/>
  <c r="AG13" i="39"/>
  <c r="AC14" i="39"/>
  <c r="AE14" i="39" l="1"/>
  <c r="AG14" i="39"/>
  <c r="AC15" i="39"/>
  <c r="J51" i="28"/>
  <c r="J50" i="28"/>
  <c r="J49" i="26"/>
  <c r="J51" i="26" l="1"/>
  <c r="J50" i="26"/>
  <c r="J49" i="25"/>
  <c r="AG15" i="39"/>
  <c r="AE15" i="39"/>
  <c r="AC16" i="39"/>
  <c r="J51" i="25" l="1"/>
  <c r="J50" i="25"/>
  <c r="J49" i="24"/>
  <c r="AE16" i="39"/>
  <c r="AG16" i="39"/>
  <c r="AC17" i="39"/>
  <c r="AG17" i="39" l="1"/>
  <c r="AE17" i="39"/>
  <c r="AC18" i="39"/>
  <c r="J50" i="24"/>
  <c r="J51" i="24"/>
  <c r="J49" i="23"/>
  <c r="AE18" i="39" l="1"/>
  <c r="AG18" i="39"/>
  <c r="AC19" i="39"/>
  <c r="J50" i="23"/>
  <c r="J51" i="23"/>
  <c r="J49" i="21"/>
  <c r="J50" i="21" l="1"/>
  <c r="J51" i="21"/>
  <c r="J49" i="22"/>
  <c r="AE19" i="39"/>
  <c r="AG19" i="39"/>
  <c r="AC20" i="39"/>
  <c r="AG20" i="39" l="1"/>
  <c r="AE20" i="39"/>
  <c r="AC21" i="39"/>
  <c r="J50" i="22"/>
  <c r="J51" i="22"/>
  <c r="J49" i="20"/>
  <c r="J51" i="20" l="1"/>
  <c r="J50" i="20"/>
  <c r="J49" i="19"/>
  <c r="AE21" i="39"/>
  <c r="AG21" i="39"/>
  <c r="AC22" i="39"/>
  <c r="AE22" i="39" l="1"/>
  <c r="AG22" i="39"/>
  <c r="AC23" i="39"/>
  <c r="J51" i="19"/>
  <c r="J50" i="19"/>
  <c r="J49" i="18"/>
  <c r="J50" i="18" l="1"/>
  <c r="J51" i="18"/>
  <c r="J49" i="17"/>
  <c r="AG23" i="39"/>
  <c r="AE23" i="39"/>
  <c r="AC24" i="39"/>
  <c r="AE24" i="39" l="1"/>
  <c r="AG24" i="39"/>
  <c r="AC25" i="39"/>
  <c r="J51" i="17"/>
  <c r="J50" i="17"/>
  <c r="J49" i="16"/>
  <c r="J51" i="16" l="1"/>
  <c r="J50" i="16"/>
  <c r="J49" i="15"/>
  <c r="AE25" i="39"/>
  <c r="AG25" i="39"/>
  <c r="AC26" i="39"/>
  <c r="AG26" i="39" l="1"/>
  <c r="AE26" i="39"/>
  <c r="AC27" i="39"/>
  <c r="J51" i="15"/>
  <c r="J50" i="15"/>
  <c r="J49" i="14"/>
  <c r="J51" i="14" l="1"/>
  <c r="J50" i="14"/>
  <c r="J49" i="13"/>
  <c r="AE27" i="39"/>
  <c r="AG27" i="39"/>
  <c r="AC28" i="39"/>
  <c r="AG28" i="39" l="1"/>
  <c r="AE28" i="39"/>
  <c r="AC29" i="39"/>
  <c r="J51" i="13"/>
  <c r="J50" i="13"/>
  <c r="J49" i="12"/>
  <c r="J51" i="12" l="1"/>
  <c r="J50" i="12"/>
  <c r="J49" i="11"/>
  <c r="AG29" i="39"/>
  <c r="AE29" i="39"/>
  <c r="AC30" i="39"/>
  <c r="AG30" i="39" l="1"/>
  <c r="AE30" i="39"/>
  <c r="AC31" i="39"/>
  <c r="J51" i="11"/>
  <c r="J50" i="11"/>
  <c r="J49" i="10"/>
  <c r="J50" i="10" l="1"/>
  <c r="J51" i="10"/>
  <c r="J49" i="9"/>
  <c r="AE31" i="39"/>
  <c r="AG31" i="39"/>
  <c r="AC32" i="39"/>
  <c r="AE32" i="39" l="1"/>
  <c r="AG32" i="39"/>
  <c r="AC33" i="39"/>
  <c r="J50" i="9"/>
  <c r="J51" i="9"/>
  <c r="J49" i="8"/>
  <c r="J51" i="8" l="1"/>
  <c r="J50" i="8"/>
  <c r="J49" i="7"/>
  <c r="AE33" i="39"/>
  <c r="AG33" i="39"/>
  <c r="AC34" i="39"/>
  <c r="AG34" i="39" l="1"/>
  <c r="AE34" i="39"/>
  <c r="AC35" i="39"/>
  <c r="J50" i="7"/>
  <c r="J51" i="7"/>
  <c r="J49" i="6"/>
  <c r="J50" i="6" l="1"/>
  <c r="J51" i="6"/>
  <c r="J49" i="37"/>
  <c r="AE35" i="39"/>
  <c r="AG35" i="39"/>
  <c r="AC36" i="39"/>
  <c r="AE36" i="39" l="1"/>
  <c r="AG36" i="39"/>
  <c r="AC37" i="39"/>
  <c r="J50" i="37"/>
  <c r="J51" i="37"/>
  <c r="J49" i="4"/>
  <c r="J50" i="4" l="1"/>
  <c r="J51" i="4"/>
  <c r="J49" i="43"/>
  <c r="AG37" i="39"/>
  <c r="AE37" i="39"/>
  <c r="AC38" i="39"/>
  <c r="J50" i="43" l="1"/>
  <c r="J51" i="43"/>
  <c r="AG38" i="39"/>
  <c r="AE38" i="39"/>
  <c r="AC39" i="39"/>
  <c r="AG39" i="39" l="1"/>
  <c r="AE39" i="39"/>
  <c r="H35" i="32" l="1"/>
</calcChain>
</file>

<file path=xl/comments1.xml><?xml version="1.0" encoding="utf-8"?>
<comments xmlns="http://schemas.openxmlformats.org/spreadsheetml/2006/main">
  <authors>
    <author>Produksi-PM</author>
  </authors>
  <commentList>
    <comment ref="G102" authorId="0" shapeId="0">
      <text>
        <r>
          <rPr>
            <b/>
            <sz val="9"/>
            <color indexed="81"/>
            <rFont val="Tahoma"/>
            <family val="2"/>
          </rPr>
          <t>Produksi-PM:</t>
        </r>
        <r>
          <rPr>
            <sz val="9"/>
            <color indexed="81"/>
            <rFont val="Tahoma"/>
            <family val="2"/>
          </rPr>
          <t xml:space="preserve">
Spek Khusus</t>
        </r>
      </text>
    </comment>
    <comment ref="G105" authorId="0" shapeId="0">
      <text>
        <r>
          <rPr>
            <b/>
            <sz val="9"/>
            <color indexed="81"/>
            <rFont val="Tahoma"/>
            <family val="2"/>
          </rPr>
          <t>Produksi-PM:</t>
        </r>
        <r>
          <rPr>
            <sz val="9"/>
            <color indexed="81"/>
            <rFont val="Tahoma"/>
            <family val="2"/>
          </rPr>
          <t xml:space="preserve">
Spek Khusus</t>
        </r>
      </text>
    </comment>
    <comment ref="G110" authorId="0" shapeId="0">
      <text>
        <r>
          <rPr>
            <b/>
            <sz val="9"/>
            <color indexed="81"/>
            <rFont val="Tahoma"/>
            <family val="2"/>
          </rPr>
          <t>Produksi-PM:</t>
        </r>
        <r>
          <rPr>
            <sz val="9"/>
            <color indexed="81"/>
            <rFont val="Tahoma"/>
            <family val="2"/>
          </rPr>
          <t xml:space="preserve">
Spek Khusus</t>
        </r>
      </text>
    </comment>
    <comment ref="G115" authorId="0" shapeId="0">
      <text>
        <r>
          <rPr>
            <b/>
            <sz val="9"/>
            <color indexed="81"/>
            <rFont val="Tahoma"/>
            <family val="2"/>
          </rPr>
          <t>Produksi-PM:</t>
        </r>
        <r>
          <rPr>
            <sz val="9"/>
            <color indexed="81"/>
            <rFont val="Tahoma"/>
            <family val="2"/>
          </rPr>
          <t xml:space="preserve">
Spek Khusus</t>
        </r>
      </text>
    </comment>
    <comment ref="G120" authorId="0" shapeId="0">
      <text>
        <r>
          <rPr>
            <b/>
            <sz val="9"/>
            <color indexed="81"/>
            <rFont val="Tahoma"/>
            <family val="2"/>
          </rPr>
          <t>Produksi-PM:</t>
        </r>
        <r>
          <rPr>
            <sz val="9"/>
            <color indexed="81"/>
            <rFont val="Tahoma"/>
            <family val="2"/>
          </rPr>
          <t xml:space="preserve">
Spek Khusus</t>
        </r>
      </text>
    </comment>
  </commentList>
</comments>
</file>

<file path=xl/comments2.xml><?xml version="1.0" encoding="utf-8"?>
<comments xmlns="http://schemas.openxmlformats.org/spreadsheetml/2006/main">
  <authors>
    <author>Produksi-PM</author>
  </authors>
  <commentList>
    <comment ref="G102" authorId="0" shapeId="0">
      <text>
        <r>
          <rPr>
            <b/>
            <sz val="9"/>
            <color indexed="81"/>
            <rFont val="Tahoma"/>
            <family val="2"/>
          </rPr>
          <t>Produksi-PM:</t>
        </r>
        <r>
          <rPr>
            <sz val="9"/>
            <color indexed="81"/>
            <rFont val="Tahoma"/>
            <family val="2"/>
          </rPr>
          <t xml:space="preserve">
Spek Khusus</t>
        </r>
      </text>
    </comment>
    <comment ref="G105" authorId="0" shapeId="0">
      <text>
        <r>
          <rPr>
            <b/>
            <sz val="9"/>
            <color indexed="81"/>
            <rFont val="Tahoma"/>
            <family val="2"/>
          </rPr>
          <t>Produksi-PM:</t>
        </r>
        <r>
          <rPr>
            <sz val="9"/>
            <color indexed="81"/>
            <rFont val="Tahoma"/>
            <family val="2"/>
          </rPr>
          <t xml:space="preserve">
Spek Khusus</t>
        </r>
      </text>
    </comment>
    <comment ref="G110" authorId="0" shapeId="0">
      <text>
        <r>
          <rPr>
            <b/>
            <sz val="9"/>
            <color indexed="81"/>
            <rFont val="Tahoma"/>
            <family val="2"/>
          </rPr>
          <t>Produksi-PM:</t>
        </r>
        <r>
          <rPr>
            <sz val="9"/>
            <color indexed="81"/>
            <rFont val="Tahoma"/>
            <family val="2"/>
          </rPr>
          <t xml:space="preserve">
Spek Khusus</t>
        </r>
      </text>
    </comment>
    <comment ref="G115" authorId="0" shapeId="0">
      <text>
        <r>
          <rPr>
            <b/>
            <sz val="9"/>
            <color indexed="81"/>
            <rFont val="Tahoma"/>
            <family val="2"/>
          </rPr>
          <t>Produksi-PM:</t>
        </r>
        <r>
          <rPr>
            <sz val="9"/>
            <color indexed="81"/>
            <rFont val="Tahoma"/>
            <family val="2"/>
          </rPr>
          <t xml:space="preserve">
Spek Khusus</t>
        </r>
      </text>
    </comment>
    <comment ref="G120" authorId="0" shapeId="0">
      <text>
        <r>
          <rPr>
            <b/>
            <sz val="9"/>
            <color indexed="81"/>
            <rFont val="Tahoma"/>
            <family val="2"/>
          </rPr>
          <t>Produksi-PM:</t>
        </r>
        <r>
          <rPr>
            <sz val="9"/>
            <color indexed="81"/>
            <rFont val="Tahoma"/>
            <family val="2"/>
          </rPr>
          <t xml:space="preserve">
Spek Khusus</t>
        </r>
      </text>
    </comment>
  </commentList>
</comments>
</file>

<file path=xl/comments3.xml><?xml version="1.0" encoding="utf-8"?>
<comments xmlns="http://schemas.openxmlformats.org/spreadsheetml/2006/main">
  <authors>
    <author>win10</author>
  </authors>
  <commentList>
    <comment ref="X22" authorId="0" shapeId="0">
      <text>
        <r>
          <rPr>
            <b/>
            <sz val="9"/>
            <color indexed="81"/>
            <rFont val="Tahoma"/>
            <family val="2"/>
          </rPr>
          <t>win10:</t>
        </r>
        <r>
          <rPr>
            <sz val="9"/>
            <color indexed="81"/>
            <rFont val="Tahoma"/>
            <family val="2"/>
          </rPr>
          <t xml:space="preserve">
refiner aus nbkp bypass mdt&lt;std tissue putus2 soping
info pak agus iku loss proses</t>
        </r>
      </text>
    </comment>
  </commentList>
</comments>
</file>

<file path=xl/sharedStrings.xml><?xml version="1.0" encoding="utf-8"?>
<sst xmlns="http://schemas.openxmlformats.org/spreadsheetml/2006/main" count="6612" uniqueCount="809">
  <si>
    <t xml:space="preserve"> </t>
  </si>
  <si>
    <t xml:space="preserve">  </t>
  </si>
  <si>
    <t>Efficiency</t>
  </si>
  <si>
    <t>Total</t>
  </si>
  <si>
    <t>NBKP</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</si>
  <si>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</si>
  <si>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</si>
  <si>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</si>
  <si>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</si>
  <si>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</si>
  <si>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</si>
  <si>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</si>
  <si>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</si>
  <si>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</si>
  <si>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</si>
  <si>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</si>
  <si>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</si>
  <si>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</si>
  <si>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</si>
  <si>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</si>
  <si>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</si>
  <si>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</si>
  <si>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</si>
  <si>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</si>
  <si>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</si>
  <si>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</si>
  <si>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</si>
  <si>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</si>
  <si>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</si>
  <si>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</si>
  <si>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</si>
  <si>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</si>
  <si>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NET GROSS  (Timbangan)   (%)</t>
  </si>
  <si>
    <t>NET GROSS             ( Scanner)          (%)</t>
  </si>
  <si>
    <t>FRESH WATER</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</si>
  <si>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</si>
  <si>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</si>
  <si>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</si>
  <si>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</si>
  <si>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</si>
  <si>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</si>
  <si>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</si>
  <si>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</si>
  <si>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</si>
  <si>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</si>
  <si>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</si>
  <si>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</si>
  <si>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</si>
  <si>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</si>
  <si>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</si>
  <si>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</si>
  <si>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</si>
  <si>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</si>
  <si>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</si>
  <si>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</si>
  <si>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</si>
  <si>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</si>
  <si>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</si>
  <si>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</si>
  <si>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</si>
  <si>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</si>
  <si>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</si>
  <si>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</si>
  <si>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</si>
  <si>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</si>
  <si>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</si>
  <si>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</si>
  <si>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</si>
  <si>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</si>
  <si>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</si>
  <si>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</si>
  <si>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</si>
  <si>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</si>
  <si>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</si>
  <si>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</si>
  <si>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</si>
  <si>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</si>
  <si>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</si>
  <si>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</si>
  <si>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</si>
  <si>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</si>
  <si>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</si>
  <si>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</si>
  <si>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</si>
  <si>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</si>
  <si>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</si>
  <si>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</si>
  <si>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</si>
  <si>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</si>
  <si>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</si>
  <si>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</si>
  <si>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</si>
  <si>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</si>
  <si>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</si>
  <si>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</si>
  <si>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</si>
  <si>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</si>
  <si>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</si>
  <si>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</si>
  <si>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</si>
  <si>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</si>
  <si>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</si>
  <si>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</si>
  <si>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EBKP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</si>
  <si>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</si>
  <si>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</si>
  <si>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</si>
  <si>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</si>
  <si>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</si>
  <si>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</si>
  <si>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</si>
  <si>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</si>
  <si>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</si>
  <si>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</si>
  <si>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</si>
  <si>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</si>
  <si>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</si>
  <si>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</si>
  <si>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</si>
  <si>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</si>
  <si>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</si>
  <si>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</si>
  <si>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</si>
  <si>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</si>
  <si>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</si>
  <si>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</si>
  <si>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</si>
  <si>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</si>
  <si>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</si>
  <si>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</si>
  <si>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</si>
  <si>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</si>
  <si>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</si>
  <si>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</si>
  <si>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</si>
  <si>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</si>
  <si>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</si>
  <si>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</si>
  <si>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</si>
  <si>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</si>
  <si>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</si>
  <si>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</si>
  <si>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</si>
  <si>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</si>
  <si>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</si>
  <si>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</si>
  <si>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</si>
  <si>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</si>
  <si>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</si>
  <si>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</si>
  <si>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</si>
  <si>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</si>
  <si>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</si>
  <si>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</si>
  <si>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</si>
  <si>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</si>
  <si>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</si>
  <si>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</si>
  <si>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</si>
  <si>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</si>
  <si>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</si>
  <si>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</si>
  <si>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</si>
  <si>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</si>
  <si>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</si>
  <si>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</si>
  <si>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</si>
  <si>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</si>
  <si>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</si>
  <si>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</si>
  <si>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</si>
  <si>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</si>
  <si>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</si>
  <si>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</si>
  <si>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</si>
  <si>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</si>
  <si>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</si>
  <si>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</si>
  <si>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</si>
  <si>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</si>
  <si>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</si>
  <si>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</si>
  <si>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Gas ConsumptionHood PM 11</t>
  </si>
  <si>
    <t>Off Reel</t>
  </si>
  <si>
    <t>Off Rewinder</t>
  </si>
  <si>
    <t>TISSUE MACHINE 12</t>
  </si>
  <si>
    <t>DI N40</t>
  </si>
  <si>
    <t>DEINKING</t>
  </si>
  <si>
    <t>POWER (kWh) DEINKING</t>
  </si>
  <si>
    <t>STEAM (TON) DEINKING</t>
  </si>
  <si>
    <t>SWL</t>
  </si>
  <si>
    <t>Speed yankee (mpm)</t>
  </si>
  <si>
    <t>Speed reel (mpm)</t>
  </si>
  <si>
    <t>Creep ( % )</t>
  </si>
  <si>
    <t>Real Eff PM vs Target (%)</t>
  </si>
  <si>
    <t>Real Eff FG vs Real Eff PM (%)</t>
  </si>
  <si>
    <t>Eff FG vs Target (%)</t>
  </si>
  <si>
    <t xml:space="preserve">Kapasitas Target (ton) </t>
  </si>
  <si>
    <t>Real Eff PM ( % )</t>
  </si>
  <si>
    <t xml:space="preserve">Kapasitas Teori Real (ton) </t>
  </si>
  <si>
    <t>Speed real (ton) with Available Time</t>
  </si>
  <si>
    <t>Marketing</t>
  </si>
  <si>
    <t>Change Grade</t>
  </si>
  <si>
    <t>Loss time sheet break</t>
  </si>
  <si>
    <t>Loss time change blade</t>
  </si>
  <si>
    <t>Baklog</t>
  </si>
  <si>
    <t xml:space="preserve">Sisa Spool seset </t>
  </si>
  <si>
    <t>Gripis</t>
  </si>
  <si>
    <t>Ngelokor</t>
  </si>
  <si>
    <t>Keriput</t>
  </si>
  <si>
    <t>Start up</t>
  </si>
  <si>
    <t>Potongan jelek</t>
  </si>
  <si>
    <t>Hole</t>
  </si>
  <si>
    <t>Dirt</t>
  </si>
  <si>
    <t>Jumbo gandeng</t>
  </si>
  <si>
    <t>Formasi jelek</t>
  </si>
  <si>
    <t>MDT &lt; std</t>
  </si>
  <si>
    <t>Lembab</t>
  </si>
  <si>
    <t>Diameter &lt; std</t>
  </si>
  <si>
    <t>Gelembung</t>
  </si>
  <si>
    <t>Bw &lt; std</t>
  </si>
  <si>
    <t>Lebar kertas kurang</t>
  </si>
  <si>
    <t>Cap garis doctor</t>
  </si>
  <si>
    <t>White spot</t>
  </si>
  <si>
    <t>Thickness &lt; std</t>
  </si>
  <si>
    <t>Bulky &lt; std</t>
  </si>
  <si>
    <t>Bw &gt; std</t>
  </si>
  <si>
    <t>Kertas melipat</t>
  </si>
  <si>
    <t>- Cleaning</t>
  </si>
  <si>
    <t>Loss time change grade</t>
  </si>
  <si>
    <t>NGR 900</t>
  </si>
  <si>
    <t>NGR 200</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</si>
  <si>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</si>
  <si>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</si>
  <si>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</si>
  <si>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</si>
  <si>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</si>
  <si>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</si>
  <si>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</si>
  <si>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</si>
  <si>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</si>
  <si>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</si>
  <si>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</si>
  <si>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</si>
  <si>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</si>
  <si>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</si>
  <si>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</si>
  <si>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</si>
  <si>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</si>
  <si>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</si>
  <si>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</si>
  <si>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</si>
  <si>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</si>
  <si>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</si>
  <si>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</si>
  <si>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</si>
  <si>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</si>
  <si>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</si>
  <si>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</si>
  <si>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</si>
  <si>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</si>
  <si>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</si>
  <si>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</si>
  <si>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</si>
  <si>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</si>
  <si>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</si>
  <si>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</si>
  <si>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</si>
  <si>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</si>
  <si>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</si>
  <si>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Total Prosentase</t>
  </si>
  <si>
    <t>Sisa spool popereel</t>
  </si>
  <si>
    <t>Sisa Spool rewinder</t>
  </si>
  <si>
    <t>Pending</t>
  </si>
  <si>
    <t>Trim</t>
  </si>
  <si>
    <t>Kertas sobek pinggir</t>
  </si>
  <si>
    <t>Joint</t>
  </si>
  <si>
    <t>Seset Change Grade</t>
  </si>
  <si>
    <t>soping</t>
  </si>
  <si>
    <t>crushing</t>
  </si>
  <si>
    <t>UNKNOWN</t>
  </si>
  <si>
    <t>MERCER</t>
  </si>
  <si>
    <t>Tissue Waste Brown</t>
  </si>
  <si>
    <t>TOTAL BB Recycle</t>
  </si>
  <si>
    <t>Reject Roll</t>
  </si>
  <si>
    <t>Encore T</t>
  </si>
  <si>
    <t>Yield BB Recycle</t>
  </si>
  <si>
    <t>Produksi</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</si>
  <si>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</si>
  <si>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</si>
  <si>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</si>
  <si>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</si>
  <si>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</si>
  <si>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</si>
  <si>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</si>
  <si>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</si>
  <si>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</si>
  <si>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</si>
  <si>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</si>
  <si>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DEKAINK</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</si>
  <si>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</si>
  <si>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</si>
  <si>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</si>
  <si>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</si>
  <si>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</si>
  <si>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</si>
  <si>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</si>
  <si>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</si>
  <si>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</si>
  <si>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</si>
  <si>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</si>
  <si>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</si>
  <si>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</si>
  <si>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</si>
  <si>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</si>
  <si>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</si>
  <si>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</si>
  <si>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</si>
  <si>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</si>
  <si>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</si>
  <si>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</si>
  <si>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</si>
  <si>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</si>
  <si>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</si>
  <si>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</si>
  <si>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</si>
  <si>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</si>
  <si>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</si>
  <si>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</si>
  <si>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</si>
  <si>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</si>
  <si>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</si>
  <si>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</si>
  <si>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</si>
  <si>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</si>
  <si>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</si>
  <si>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</si>
  <si>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</si>
  <si>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</si>
  <si>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</si>
  <si>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</si>
  <si>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</si>
  <si>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</si>
  <si>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</si>
  <si>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</si>
  <si>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</si>
  <si>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</si>
  <si>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</si>
  <si>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DI 370/DKF 250</t>
  </si>
  <si>
    <t>ELTEXIN</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</si>
  <si>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</si>
  <si>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</si>
  <si>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</si>
  <si>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</si>
  <si>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</si>
  <si>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</si>
  <si>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</si>
  <si>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</si>
  <si>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</si>
  <si>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</si>
  <si>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</si>
  <si>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CHROMACLEAR</t>
  </si>
  <si>
    <t>Price</t>
  </si>
  <si>
    <t>Running</t>
  </si>
  <si>
    <t>Down Time PLN</t>
  </si>
  <si>
    <t>Change Spool</t>
  </si>
  <si>
    <t xml:space="preserve">Kapasitas Running (ton) </t>
  </si>
  <si>
    <t>Eff FG vs Target  Running(%)</t>
  </si>
  <si>
    <t>EPOSTRONG</t>
  </si>
  <si>
    <t>NBKP SCA</t>
  </si>
  <si>
    <t>PULP CURAH</t>
  </si>
  <si>
    <t>TOTAL LBKP</t>
  </si>
  <si>
    <t>Steam, &amp; gangguan sinergy (X)</t>
  </si>
  <si>
    <t>Freq, Trip PLN (X)</t>
  </si>
  <si>
    <t>Cleaning Holes (X)</t>
  </si>
  <si>
    <t>Per hari</t>
  </si>
  <si>
    <t>LBKP HOWE/HSPP</t>
  </si>
  <si>
    <t>Seset Warna blm ACC</t>
  </si>
  <si>
    <t>LBKP CAKRAWALA</t>
  </si>
  <si>
    <t>DFR 810S</t>
  </si>
  <si>
    <t>Pot Serabut</t>
  </si>
  <si>
    <t>NBKP Crofton/Catalyst</t>
  </si>
  <si>
    <t>BTCMP</t>
  </si>
  <si>
    <t>Total PM15</t>
  </si>
  <si>
    <t xml:space="preserve">PM15 Efficiency Report </t>
  </si>
  <si>
    <t>PM 15</t>
  </si>
  <si>
    <t>Kehilangan Effisiensi PM 15 terdiri dari:</t>
  </si>
  <si>
    <t>CHEMICAL DAILY REPORT PM 15</t>
  </si>
  <si>
    <t>PULP AND BROKE DAILY REPORT PM 15</t>
  </si>
  <si>
    <t>PM 15 Summary</t>
  </si>
  <si>
    <t>PM 15 Running Time</t>
  </si>
  <si>
    <t>- Sheet Breaks (0x)</t>
  </si>
  <si>
    <t>- Change Blade (0x)</t>
  </si>
  <si>
    <t>PAPER MACHINE 15 DAILY REPORT 1</t>
  </si>
  <si>
    <t>Deinking</t>
  </si>
  <si>
    <t>Trafo 3000 (barat)</t>
  </si>
  <si>
    <t>Trafo 3000 (Timur)</t>
  </si>
  <si>
    <t>Rewinder tengah</t>
  </si>
  <si>
    <t>0</t>
  </si>
  <si>
    <t>- Change Blade (6x)</t>
  </si>
  <si>
    <t>133*2</t>
  </si>
  <si>
    <t>SUZANO</t>
  </si>
  <si>
    <t>Change Grade/Cleaning</t>
  </si>
  <si>
    <t>SS</t>
  </si>
  <si>
    <t>PHP PM</t>
  </si>
  <si>
    <t xml:space="preserve">PM15 Efficiency Running Report </t>
  </si>
  <si>
    <t>.03.26</t>
  </si>
  <si>
    <t>- Awal Shift PM Produksi T14
Speed: 1120mpm / 24%</t>
  </si>
  <si>
    <t>9.19  jr turun pinhole 
Lap wire dg solar
Karcher wire
10.18 jr turun pin hole msh ada
10.20 pm stop, cleaning felt dg solar
Karcher wire
11.40 bilas felt wire
12.00 pm start up
12.20 pm on reel produksi T15,5</t>
  </si>
  <si>
    <t>- Awal Shift PM Produksi T15.5
Speed : 1000 mpm/24%</t>
  </si>
  <si>
    <t>awal shift kertas pin hole rata pm turun speed 1000 mpm, setiap jumbo lap wire pakai madjun dg solar, membaik</t>
  </si>
  <si>
    <t>- Awal Shift PM Produksi T15.5
Speed actual/ crepe : 1000 mpm/24%</t>
  </si>
  <si>
    <t>03:36 press stean drop 9.3 bar</t>
  </si>
  <si>
    <t>T 14</t>
  </si>
  <si>
    <t>T 15,5</t>
  </si>
  <si>
    <t>1088,89/827,56</t>
  </si>
  <si>
    <t>1050/798</t>
  </si>
  <si>
    <t>1000/760</t>
  </si>
  <si>
    <t>1048,67/796,99</t>
  </si>
  <si>
    <t>- Change Spool (6x)</t>
  </si>
  <si>
    <t>- Change Blade (2x)</t>
  </si>
  <si>
    <t>- Change Spool (9x)</t>
  </si>
  <si>
    <t>- Change Spool (7x)</t>
  </si>
  <si>
    <t>Toilet</t>
  </si>
  <si>
    <t>14/15,5</t>
  </si>
  <si>
    <t>RC HW</t>
  </si>
  <si>
    <t>- Change Blade (14x)</t>
  </si>
  <si>
    <t>- Change Spool (22x)</t>
  </si>
  <si>
    <t>- 10.20 pm stop, cleaning felt dg solar</t>
  </si>
  <si>
    <t>POWER WPL (kWh)</t>
  </si>
  <si>
    <t>Agus K</t>
  </si>
  <si>
    <t>Hadi F</t>
  </si>
  <si>
    <t>Erwin R</t>
  </si>
  <si>
    <t>T 14 RC HW</t>
  </si>
  <si>
    <t>T 15,5 RC HW</t>
  </si>
  <si>
    <t>275*1</t>
  </si>
  <si>
    <t>269,5*1</t>
  </si>
  <si>
    <t>METSA</t>
  </si>
  <si>
    <t>SWL B + B Mix</t>
  </si>
  <si>
    <t>TWS + Core</t>
  </si>
  <si>
    <t>CVT Broke</t>
  </si>
  <si>
    <t>RR PPIC</t>
  </si>
  <si>
    <t>SODIUM HYPOCHLORID</t>
  </si>
  <si>
    <t>Detac DC779F</t>
  </si>
  <si>
    <t>CHEMZYME CL</t>
  </si>
  <si>
    <t>Cytreat 427</t>
  </si>
  <si>
    <t>Cylube 901</t>
  </si>
  <si>
    <t>- awal shift JR turun pin hole rata pm stop, cleaning felt katcer wire
- med adjust jarak hpp ke wire 
- 19.15 pm persiapan jalan
- 19.20 pm gagal jalan ducting hood sobek perbaikan MED
- 20.40 MED selesai perbaikan
- 20.55 pm persiapan jalan
- 21.05 pm stock on
- 21.15 pm on reel prod T15.5 speed 1000mpm/24%
- pinhole masih ada</t>
  </si>
  <si>
    <t>- Awal Shift PM Produksi  T15,5
Speed: 1000mpm / 24%</t>
  </si>
  <si>
    <t>10.16 jr turun pinhole makin banyak dan merata
10.21 pm stop, cleaning felt dan wire
11.41 bilas felt wire
12.00 pm start up
12.15 pm on reel produksi T15,5 speed 1000/-24%
14.15 Jr turun pinhole tambah banyak ( lap wire , turun kan sudut head box
15.00 Jr turun pinhole msh ada TDK ada perubahan .
15.05 pm stop cleaning</t>
  </si>
  <si>
    <t>- Awal Shift PM Produksi : T15.5
Speed : 1000 mpm/24%</t>
  </si>
  <si>
    <t>- Awal Shift PM Produksi T15.5 Speed actual/ crepe : 1000 mpm/24%</t>
  </si>
  <si>
    <t>- Change Blade (5x)</t>
  </si>
  <si>
    <t>- Sheet Breaks (1x)</t>
  </si>
  <si>
    <t>- Change Spool (3x)</t>
  </si>
  <si>
    <t>- Change Blade (1x)</t>
  </si>
  <si>
    <t>- Change Spool (8x)</t>
  </si>
  <si>
    <t>- Change Blade (7x)</t>
  </si>
  <si>
    <t>15,5</t>
  </si>
  <si>
    <t>- 10.21 pm stop, cleaning felt dan wire</t>
  </si>
  <si>
    <t>- 19.20 pm gagal jalan ducting hood sobek perbaikan MED</t>
  </si>
  <si>
    <t>- Change Blade (13x)</t>
  </si>
  <si>
    <t>- Change Spool (18x)</t>
  </si>
  <si>
    <t>Protolan pulp/Pulp Kotor</t>
  </si>
  <si>
    <t xml:space="preserve">- Awal Shift PM Produksi  T14
Speed: 1000 mpm / -22% </t>
  </si>
  <si>
    <t>Blade no 2 load unload manual dari DCS</t>
  </si>
  <si>
    <t>- Awal Shift PM Produksi T15,5
Speed: 1000mpm / 24%</t>
  </si>
  <si>
    <t>- Awal Shift PM Produksi  T15.5/14
Speed : 1000 mpm/23%</t>
  </si>
  <si>
    <r>
      <t xml:space="preserve"># 15.30 speed up 30 mpm pinhole tambah banyak, speed down 30 mpm, membaik
#16.20 change grade /14 speed 1000mpm/23%
# setiap 1 jumbo lap wire dg madjun+solar
</t>
    </r>
    <r>
      <rPr>
        <b/>
        <sz val="10"/>
        <color rgb="FFFF0000"/>
        <rFont val="Arial"/>
        <family val="2"/>
      </rPr>
      <t>- 21.30 doctor blade no 2 unload sendiri pm stock off, perbaikan EID</t>
    </r>
    <r>
      <rPr>
        <b/>
        <sz val="10"/>
        <color indexed="8"/>
        <rFont val="Arial"/>
        <family val="2"/>
      </rPr>
      <t xml:space="preserve">
- 21.35 doctor blade manual dcs pm stock on
- 21.40 eid selesai perbaikan panel
- 21.55 pm onreel</t>
    </r>
  </si>
  <si>
    <t>1000/780</t>
  </si>
  <si>
    <t>1003,13/772,41</t>
  </si>
  <si>
    <t>15,5/14</t>
  </si>
  <si>
    <t>1001,04/770,8</t>
  </si>
  <si>
    <t>- Change Spool (10x)</t>
  </si>
  <si>
    <t>- Change Blade (4x)</t>
  </si>
  <si>
    <t>- Change Spool (26x)</t>
  </si>
  <si>
    <t>- 21.30 doctor blade no 2 unload sendiri pm stock off, perbaikan EID</t>
  </si>
  <si>
    <t>Ariko P</t>
  </si>
  <si>
    <t>- Awal Shift PM Produksi  T15.5
Speed: 1000 mpm / -23</t>
  </si>
  <si>
    <t>- Awal Shift PM Produksi  T15.5
Speed : 1000 mpm/23%</t>
  </si>
  <si>
    <t>- 15.40 JR turun ada hole acak, coba cleaning felt sambil jalan
- 16.55 JR turun masih ada hole, pm stop cleaning solat felt &amp; katcer wire
- 19.00 pm persiapan jalan
- 19.20 pm stock on
- 19.25 hood mati proses nyalakan hood EID
- 19.45 hood sudah nyala pm on reel prod T15.5
- setiap jumbo lap wire dg solar</t>
  </si>
  <si>
    <t>- Awal Shift PM Produksi T14
Speed: 1000mpm / 24%</t>
  </si>
  <si>
    <t>11.07 change grade T15,5 speed 1000/-24%</t>
  </si>
  <si>
    <t>1000/770</t>
  </si>
  <si>
    <t>- 19.25 hood mati proses nyalakan hood EID</t>
  </si>
  <si>
    <t>- 16.55 JR turun masih ada hole, pm stop cleaning solat felt &amp; katcer wire</t>
  </si>
  <si>
    <t>- Sheet Breaks (2x)</t>
  </si>
  <si>
    <t>- Change Blade (3x)</t>
  </si>
  <si>
    <t>- Sheet Breaks (3x)</t>
  </si>
  <si>
    <t>- Change Blade (8x)</t>
  </si>
  <si>
    <t>- Change Spool (23x)</t>
  </si>
  <si>
    <t>1000/763,78</t>
  </si>
  <si>
    <t>- Awal Shift PM Produksi T5,5
Speed: 1000mpm / 23%</t>
  </si>
  <si>
    <t>11.31 motor pompa boster coating release trip, tisu sirkulasi
11.46 tisu on reel</t>
  </si>
  <si>
    <t xml:space="preserve">- Awal Shift PM Produksi  T15.5
Speed: 1000 mpm / -23% </t>
  </si>
  <si>
    <t>01.57 change grade T13.5</t>
  </si>
  <si>
    <t>- Awal Shift PM Produksi  T15.5
Speed actual/ crepe : 1000 mpm/23%</t>
  </si>
  <si>
    <t>T 13,5</t>
  </si>
  <si>
    <t>15,5/13,5</t>
  </si>
  <si>
    <t>- 11.31 motor pompa boster coating release trip, tisu sirkulasi</t>
  </si>
  <si>
    <t>ANMOL Super 7175</t>
  </si>
  <si>
    <t>T 13,5 RC HW</t>
  </si>
  <si>
    <t>- Awal Shift PM Produksi T13,5
Speed: 1000mpm / 18%</t>
  </si>
  <si>
    <t>-08.52 coba change grade T.20 masih ada pinhole
09.02 balik change grade T.13.5</t>
  </si>
  <si>
    <t>- Awal Shift PM Produksi  T13.5 &amp; T14
Speed actual/ crepe : 1000 mpm/18 &amp;22%</t>
  </si>
  <si>
    <t xml:space="preserve">20:43 change grade T14
22:01 Pm 15 stop. Sinergy trip </t>
  </si>
  <si>
    <t>23.00 awal shift pm masih stop, Valve steam sinergy pecah
- cleaning couch pit 
- cleaning felt wire
- cleaning silo
- cleaning water tray
- cek nozzle hpp felt
- cleaning filter air couting
- 01.30 bilas felt
- 02.09 bilas felt selesai, pm tidak jadi jalan
- sinergi masih trouble, masih tunggu power</t>
  </si>
  <si>
    <t>1000/820</t>
  </si>
  <si>
    <t>STOP</t>
  </si>
  <si>
    <t>T 20</t>
  </si>
  <si>
    <t>- Change Blade (9x)</t>
  </si>
  <si>
    <t>- Change Spool (17x)</t>
  </si>
  <si>
    <t>- Sinergy Black Out</t>
  </si>
  <si>
    <t>256,5*1</t>
  </si>
  <si>
    <t>254+15</t>
  </si>
  <si>
    <t>- Awal Shift PM Produksi  STOP</t>
  </si>
  <si>
    <t>13,5/20/14</t>
  </si>
  <si>
    <t>200+</t>
  </si>
  <si>
    <t>200+247+</t>
  </si>
  <si>
    <t>600+</t>
  </si>
  <si>
    <t>690+</t>
  </si>
  <si>
    <t>200+336+</t>
  </si>
  <si>
    <t>210+</t>
  </si>
  <si>
    <t>103+154+</t>
  </si>
  <si>
    <t>260+25+403+2130</t>
  </si>
  <si>
    <t>228+210+55+</t>
  </si>
  <si>
    <t>100+</t>
  </si>
  <si>
    <t>240+</t>
  </si>
  <si>
    <t>100+231+345+</t>
  </si>
  <si>
    <t>110+</t>
  </si>
  <si>
    <t>200+254+345+</t>
  </si>
  <si>
    <t>170+</t>
  </si>
  <si>
    <t>150+</t>
  </si>
  <si>
    <t>150+320+</t>
  </si>
  <si>
    <t xml:space="preserve">- Awal Shift PM Produksi  T16
Speed: 900 mpm / -18% </t>
  </si>
  <si>
    <t>- Awal Shift PM Produksi T17 &amp; T16
Speed actual/ crepe : 900 mpm/22 &amp; 18%</t>
  </si>
  <si>
    <t>17:14 change grade T16
18:47 change grade T16 LB</t>
  </si>
  <si>
    <t>- Awal Shift PM Produksi  T17
Speed : 850 mpm/22%</t>
  </si>
  <si>
    <t>- Tiap jumbo cleaning wire, masih ada pinhole
- akhir shift speed pm 900 mpm</t>
  </si>
  <si>
    <t xml:space="preserve">- Awal Shift PM Produksi  T20
Speed: 850 mpm / -22% </t>
  </si>
  <si>
    <t>- 06.57 change grade T17</t>
  </si>
  <si>
    <t>- Awal Shift PM Produksi T20
Speed actual/ crepe : 850 mpm/22%</t>
  </si>
  <si>
    <t>- Awal Shift PM Produksi T20
Speed : 850 mpm/22%</t>
  </si>
  <si>
    <t>- awal shift pm stop SIN perbaikan
- cek dan ganti hpp felt dan wire yang rusak
- cleaning shower yang buntu
- ganti scraper rool
- katcer wire
- 12.45 change power SIN
- 12.55 power SIN masuk pm persiapan jalan
- 13.20 pm stock on
- 13.25 pm on reel prod T20 speed 850mpm/22%</t>
  </si>
  <si>
    <t>T 17</t>
  </si>
  <si>
    <t>T 16</t>
  </si>
  <si>
    <t>T 16 LB</t>
  </si>
  <si>
    <t>850/663</t>
  </si>
  <si>
    <t>- Change Spool (2x)</t>
  </si>
  <si>
    <t>900/738</t>
  </si>
  <si>
    <t>886,04/710,09</t>
  </si>
  <si>
    <t>875/682,5</t>
  </si>
  <si>
    <t>887,01/710,2</t>
  </si>
  <si>
    <t>20/17</t>
  </si>
  <si>
    <t>17/16</t>
  </si>
  <si>
    <t>- Change Blade (10x)</t>
  </si>
  <si>
    <t>- Change Spool (19x)</t>
  </si>
  <si>
    <t>258*1</t>
  </si>
  <si>
    <t>264*1</t>
  </si>
  <si>
    <t>268*1</t>
  </si>
  <si>
    <t>T 20 RC HW</t>
  </si>
  <si>
    <t>T 17 RC HW</t>
  </si>
  <si>
    <t>T 16 RC HW</t>
  </si>
  <si>
    <t>- Awal Shift PM Produksi T16
Speed : 900 mpm/18%</t>
  </si>
  <si>
    <t>- Tiap jumbo cleaning wire
- 13.10 change grade N15.5 speed 980mpm/14%</t>
  </si>
  <si>
    <t>- Awal Shift PM Produksi N15,5
Speed: 1000mpm / 14%</t>
  </si>
  <si>
    <t>03.16 jr turun mulai muncul jalur hole jarum sisi ds, down speed ke 970 mpm dan checking shower hpp felt
Hpp felt up 20 bar
03.44 hole jarum sudah hilang, speed up bertahap
*speed akhir 1000mpm</t>
  </si>
  <si>
    <t>- Awal Shift PM Produksi N15.5
Speed actual/ crepe : 1000 mpm/14%</t>
  </si>
  <si>
    <t>N 15,5</t>
  </si>
  <si>
    <t>998,25/858,5</t>
  </si>
  <si>
    <t>1000/860</t>
  </si>
  <si>
    <t>918,33/762,02</t>
  </si>
  <si>
    <t>972,19/826,84</t>
  </si>
  <si>
    <t>Toilet/Napkin</t>
  </si>
  <si>
    <t>16/15,5</t>
  </si>
  <si>
    <t>Napkin</t>
  </si>
  <si>
    <t>- Change Blade (11x)</t>
  </si>
  <si>
    <t>86*3</t>
  </si>
  <si>
    <t>N 15,5 RC HW</t>
  </si>
  <si>
    <t>- Awal Shift PM Produksi  N15.5
Speed : 1000 mpm/14%</t>
  </si>
  <si>
    <t>- 04.27 ban spool stater pecah, sementara tidak dipakai karena stok ban habis</t>
  </si>
  <si>
    <t>TW 22</t>
  </si>
  <si>
    <t>780/670,8</t>
  </si>
  <si>
    <t>793,75/682,63</t>
  </si>
  <si>
    <t>15,5/22</t>
  </si>
  <si>
    <t>Napkin/Towel</t>
  </si>
  <si>
    <t>Towel</t>
  </si>
  <si>
    <t>- Change Spool (28x)</t>
  </si>
  <si>
    <t>257*1</t>
  </si>
  <si>
    <t>TW 22 RC HW</t>
  </si>
  <si>
    <t>- Rpm fanpump sering hunting</t>
  </si>
  <si>
    <t>22</t>
  </si>
  <si>
    <t>- Change Spool (25x)</t>
  </si>
  <si>
    <t>- 05.30 change grade N15,5 speed 1000/-14%</t>
  </si>
  <si>
    <t>Towel/Napkin</t>
  </si>
  <si>
    <t>22/15,5</t>
  </si>
  <si>
    <t>- Change Spool (20x)</t>
  </si>
  <si>
    <t>- Awal Shift PM Produksi N15,5
Speed: 780mpm / 14%</t>
  </si>
  <si>
    <t xml:space="preserve">- Awal Shift PM Produksi  N15.5
Speed: 1030 mpm / -14% </t>
  </si>
  <si>
    <t>- 08:49 speed naik 1020</t>
  </si>
  <si>
    <t>1015,46/873,29</t>
  </si>
  <si>
    <t>1030/885,8</t>
  </si>
  <si>
    <t>942,69/810,71</t>
  </si>
  <si>
    <t>72*3+46</t>
  </si>
  <si>
    <t>281+56+</t>
  </si>
  <si>
    <t>154+276+58+</t>
  </si>
  <si>
    <t>190+178+200+</t>
  </si>
  <si>
    <t>540+200+</t>
  </si>
  <si>
    <t>350+</t>
  </si>
  <si>
    <t>135+254+200+</t>
  </si>
  <si>
    <t>250+</t>
  </si>
  <si>
    <t>314+100+120+</t>
  </si>
  <si>
    <t>85+120+</t>
  </si>
  <si>
    <t>- awal shift adjus MDT pm turun speed 20 mpm, maximalkan load&amp;bacflow rifainer</t>
  </si>
  <si>
    <t>05.25 kertas mulai muncul soping, cek shower dan cleaning area pm</t>
  </si>
  <si>
    <t>790/679,4</t>
  </si>
  <si>
    <t>781,67/672,23</t>
  </si>
  <si>
    <t>- Change Spool (11x)</t>
  </si>
  <si>
    <t>- Change Spool (27x)</t>
  </si>
  <si>
    <t>256*1</t>
  </si>
  <si>
    <t>- 02.55 refiner NBKP stop bocor, proses perbaikan MED
- 03.25 refiner ok , 
- 03.30 rifainer jalan</t>
  </si>
  <si>
    <t>- Awal Shift PM Produksi TW 22 Speed 780 mpm/-14%</t>
  </si>
  <si>
    <t>- 15 20 Jr turun ada hole 115 dan 127 cm dr ds</t>
  </si>
  <si>
    <t>- 16.00 down speed 1010</t>
  </si>
  <si>
    <t>- Cleaning/ karcher wire dg solar dan xyline.</t>
  </si>
  <si>
    <t>- 19.20 up bertahap lagi sampai 1150/-22%</t>
  </si>
  <si>
    <t>- Awal Shift PM Produksi T 14 Speed 1150 mpm/-22%</t>
  </si>
  <si>
    <t>- fanpump hunting, semetara dimanua</t>
  </si>
  <si>
    <t>- Awal Shift PM Produksi T14 speed 1100/-22%</t>
  </si>
  <si>
    <t>- 11.03 change grade T14 speed 1050/-22%</t>
  </si>
  <si>
    <t>913/743</t>
  </si>
  <si>
    <t>1085/846</t>
  </si>
  <si>
    <t>1150/897</t>
  </si>
  <si>
    <t>1049/828</t>
  </si>
  <si>
    <t>- Change Spool (30x)</t>
  </si>
  <si>
    <t>Towel/Toilet</t>
  </si>
  <si>
    <t>22/14</t>
  </si>
  <si>
    <t>14</t>
  </si>
  <si>
    <t>- Awal Shift PM Produksi T 14 speed: 1200/22%</t>
  </si>
  <si>
    <t>- 13.58 stop pope reel ganti scraper</t>
  </si>
  <si>
    <t>- Awal Shift PM Produksi T 14
speed: 1200/22%</t>
  </si>
  <si>
    <t>- 04:40 sower coating pecah bagian DS ganti nozel</t>
  </si>
  <si>
    <t>- Awal Shift PM Produksi T14
Speed: 1200mpm / 22%</t>
  </si>
  <si>
    <t>- Awal Shift PM Produksi  T14
Speed : 1200 mpm/22%</t>
  </si>
  <si>
    <t>- 18.25 primary trip, spool tidak bisa turun
18.30 primary oke
- tisu sering putus, bag ts nyelilit</t>
  </si>
  <si>
    <t xml:space="preserve">- Awal Shift PM Produksi T14
Speed: 1150 mpm / -22% </t>
  </si>
  <si>
    <t>- 08.34 sp up bertahap
- sp akhir 1200mpm
- 14.00 primary trip, spool tidak bisa turun
- 14.15 primary oke</t>
  </si>
  <si>
    <t>- Awal Shift PM Produksi T 14,5
speed: 1200/22%</t>
  </si>
  <si>
    <t>- 06:20 tutup wire dengan wire bekas + terpal</t>
  </si>
  <si>
    <t>- 17.40 change grade T14,5 speed 1200 mpm /22%</t>
  </si>
  <si>
    <t>1190,21/928,363</t>
  </si>
  <si>
    <t>1200/936</t>
  </si>
  <si>
    <t>T 14,5</t>
  </si>
  <si>
    <t>14/14,5</t>
  </si>
  <si>
    <t>1196,74/933,45</t>
  </si>
  <si>
    <t>1183,33/923</t>
  </si>
  <si>
    <t>271*1</t>
  </si>
  <si>
    <t>137*2</t>
  </si>
  <si>
    <t>T 14,5 RC HW</t>
  </si>
  <si>
    <t>128*2</t>
  </si>
  <si>
    <t>- 14.00 primary trip, spool tidak bisa turu</t>
  </si>
  <si>
    <t xml:space="preserve">- Awal Shift PM Produksi T14.5
Speed: 1210 mpm / -22% </t>
  </si>
  <si>
    <t>- Awal Shift PM Produksi T 14
speed: 1250/22%</t>
  </si>
  <si>
    <t>- 05:40 change gride T 13</t>
  </si>
  <si>
    <t>- Awal Shift PM Produksi T14
Speed 1220mpm/-22% 
Deckle 2,59cm</t>
  </si>
  <si>
    <t>- 15:25 jumbo turun hole blade Ds, ganti blade, turun kan temperatur hood dan yankee 
15:40 kertas oke
Speed up 1250 mpm</t>
  </si>
  <si>
    <t>T 13</t>
  </si>
  <si>
    <t>1210/943,8</t>
  </si>
  <si>
    <t>1247,5/973,05</t>
  </si>
  <si>
    <t>1250/975</t>
  </si>
  <si>
    <t>14,5/13</t>
  </si>
  <si>
    <t>1235,83/963,95</t>
  </si>
  <si>
    <t>259*1</t>
  </si>
  <si>
    <t>T 13 RC HW</t>
  </si>
  <si>
    <t>199+</t>
  </si>
  <si>
    <t>376+854+</t>
  </si>
  <si>
    <t>170+325+</t>
  </si>
  <si>
    <t>150+145+</t>
  </si>
  <si>
    <t>160+</t>
  </si>
  <si>
    <t>282+110+290+</t>
  </si>
  <si>
    <t>230+60+350+</t>
  </si>
  <si>
    <t>354+100+50+</t>
  </si>
  <si>
    <t>150+65+</t>
  </si>
  <si>
    <t>55+</t>
  </si>
  <si>
    <t>55+160+</t>
  </si>
  <si>
    <t>185+</t>
  </si>
  <si>
    <t>165+</t>
  </si>
  <si>
    <t>273+135+150+</t>
  </si>
  <si>
    <t>260+321+75+</t>
  </si>
  <si>
    <t>95+</t>
  </si>
  <si>
    <t>274+228+</t>
  </si>
  <si>
    <t>950+</t>
  </si>
  <si>
    <t>293+225+80+</t>
  </si>
  <si>
    <t>230+100+</t>
  </si>
  <si>
    <t>200+67+365</t>
  </si>
  <si>
    <t>- Awal Shift PM Produksi T15
Speed : 1200 mpm/22%</t>
  </si>
  <si>
    <t>- 07.48 sp up bertahap 
- 10.00 sp 1300
- 12.00 change grade T15, sp 1180</t>
  </si>
  <si>
    <t>- Awal Shift PM Produksi  T15
Speed : 1200 mpm/22%</t>
  </si>
  <si>
    <t>- pinhole bagian ds, cek hpp wire, lap wire pin hole berkurang</t>
  </si>
  <si>
    <t>T 15</t>
  </si>
  <si>
    <t>1180/920,4</t>
  </si>
  <si>
    <t>1236,25/964,28</t>
  </si>
  <si>
    <t>1198,75/935,03</t>
  </si>
  <si>
    <t>13/15</t>
  </si>
  <si>
    <t xml:space="preserve">- Awal Shift PM Produksi T13
Speed: 1250 mpm / -22% </t>
  </si>
  <si>
    <t>- Change Blade 4x)</t>
  </si>
  <si>
    <t>267*1</t>
  </si>
  <si>
    <t>T 15 RC HW</t>
  </si>
  <si>
    <t>EBKP Cakrawala/GHN</t>
  </si>
  <si>
    <t>- Awal Shift PM Produksi T15
Speed: 1200mpm / 22%</t>
  </si>
  <si>
    <t>08.28, pasang blade scraper, kertas sirkulasi
08.35 on reel
09.37 blade scraper lepas, stop lagi &amp;pasang
09.43 On reel</t>
  </si>
  <si>
    <t>15</t>
  </si>
  <si>
    <t>- pinhole bagian ds, lap wire pin hole berkurang
- 00.33 rew ganti pot 2.56,5</t>
  </si>
  <si>
    <t>Awal shift press head box manual masih hunting.
Coba auto bisa lebih stabil.</t>
  </si>
  <si>
    <t>10.42 tisu nglokor saat sambung, stop pope reel, seset kertas di spool
10.47 kertas on reel</t>
  </si>
  <si>
    <t>- Awal Shift PM Produksi T13.5
Speed : 1250 mpm/22%</t>
  </si>
  <si>
    <t>- pinhole bagian center, lap wire pin hole berkurang
- scop krofta macet perbaikan med,</t>
  </si>
  <si>
    <t>- Awal Shift PM Produksi T15
Speed: 1250mpm / 22%</t>
  </si>
  <si>
    <t>- 07.35 Change grade T13,5 speed 1250mpm/-22%</t>
  </si>
  <si>
    <t xml:space="preserve">- Awal Shift PM Produksi T13.5
Speed: 1250 mpm / -22% </t>
  </si>
  <si>
    <t>15/13,5</t>
  </si>
  <si>
    <t>- Change Blade (12x)</t>
  </si>
  <si>
    <t>- Awal Shift PM Produksi T13,5
Speed: 1250mpm / 22%</t>
  </si>
  <si>
    <t>1228,57/958,28</t>
  </si>
  <si>
    <t>- Change Spool (5x)</t>
  </si>
  <si>
    <t>13,5/15,5</t>
  </si>
  <si>
    <t>137,5*2</t>
  </si>
  <si>
    <t>Cleaning felt &amp; wire</t>
  </si>
  <si>
    <t>Ducting hood sobek</t>
  </si>
  <si>
    <t>Doctor blade unload</t>
  </si>
  <si>
    <t>Hood padam</t>
  </si>
  <si>
    <t>Pompa release trip</t>
  </si>
  <si>
    <t>Sinergy black out</t>
  </si>
  <si>
    <t>Primary trip</t>
  </si>
  <si>
    <t>- 14.00 primary trip, spool tidak bisa turun</t>
  </si>
  <si>
    <t xml:space="preserve">- Awal Shift PM Produksi  T15.5
Speed: 1050 mpm / -22% </t>
  </si>
  <si>
    <t>- 23.05 dip mulai isi chest
- 00.11 sp mulai up bertahap 
- 02.50 sp 1180
- 04.01 motor sirkulasi hood trip, sp down 1000
- Tissue sirkulasi ± 20 menit
- 04.10 motor sirkulasi hood oke
- 04.30 motor sirkulasi hood trip lagi
- 04.33 sp down 950
- 04.35 motor sirkulasi hood oke</t>
  </si>
  <si>
    <t>- Awal Shift PM Produksi T15.5
Speed actual 1100 mpm/212%</t>
  </si>
  <si>
    <t>18.20 sirkulasi fan trip, burner trip pengecekan eid
18.33 burner nyala, tisu on reel speed 800mpm
18.35 speed bertahap ke 1100mpm</t>
  </si>
  <si>
    <t>1035,27/807,51</t>
  </si>
  <si>
    <t>1098,75/857,03</t>
  </si>
  <si>
    <t>788,75/678,33</t>
  </si>
  <si>
    <t>740/636,4</t>
  </si>
  <si>
    <t>-  08.30 change grade TW22 speed 740mpm/14%</t>
  </si>
  <si>
    <t>- Awal Shift PM Produksi TW22
Speed actual/ crepe : 740 mpm/14%</t>
  </si>
  <si>
    <t>- 23.05 change grade Tw22 speed 740/-14%</t>
  </si>
  <si>
    <t>743,02/639</t>
  </si>
  <si>
    <t>- Awal Shift PM Produksi Tw22
Speed: 740 mpm</t>
  </si>
  <si>
    <t>17.09 jr muncul hole bag ts, tisu marking spr rata indikasi felt mulai mampet
- speed naik 760 mpm, hpp up 24bar
- jr turun tisu oke
- speed up bertahap 790 mpm</t>
  </si>
  <si>
    <t>750/645</t>
  </si>
  <si>
    <t>- Awal Shift PM Produksi Tw22
Speed : 740 mpm/14%</t>
  </si>
  <si>
    <t>- 16.10 ejecktor rw c macet perbaikan eid
- 16.25 ejecktor ok
- 16.45 ejecktor rw c macet
- 17.00 ejecktor ok
- 20.45 change grade T15.5 speed 1150/22%</t>
  </si>
  <si>
    <t>- Awal Shift PM Produksi T15.5
Speed: 1150 mpm / -22%</t>
  </si>
  <si>
    <t>1221,88/953,063</t>
  </si>
  <si>
    <t>- Awal Shift PM Produksi T15,5
Speed: 1150 mpm / 22%</t>
  </si>
  <si>
    <t>- Awal Shift PM Produksi  T15,5
Speed: 1150 mpm / 22</t>
  </si>
  <si>
    <t>08.50 circulating fan hood trip, pengecekan eid (tisu sirkulasi) .
09.20 hood nyala
09.22 tisu on reel, 
speed 850mpm naik bertahap ke 1150 mpm</t>
  </si>
  <si>
    <t>1061,25/831,824</t>
  </si>
  <si>
    <t>1065,09/832,12</t>
  </si>
  <si>
    <t>- circulating fan hood trip, pengecekan eid (tisu sirkulasi) .</t>
  </si>
  <si>
    <t>- Change Blade (17x)</t>
  </si>
  <si>
    <t>- Change Spool (31x)</t>
  </si>
  <si>
    <t>- Awal Shift PM Produksi T15.5
Speed : 1100 mpm/22%</t>
  </si>
  <si>
    <t>- 07.02 hood mati, kertas sirkulasi utm, pm turun speed 1000 mpm
- 07.25 hood nyala pm on reel
- akhir shift speed 1180 mpm</t>
  </si>
  <si>
    <t>- Awal Shift PM Produksi T15.5
Speed actual 1180 mpm/22%</t>
  </si>
  <si>
    <t>17.15 change grade T16 speed 1100mpn/14%
18.05 burner trip sirkulasi fan trip
18.08 burner nyala
18.13 tisu on reel
19.10 burner trip sirkulasi fan trip
19.17 burner nyala
19.22 tisu on reel
19.29 burner trip sirkulasi fan trip
19.35 burner nyala
19.42 on reel
21.32 burner trip sirkulasi fan trip
21.37 burner nyala
21.45 tisu on reel
21.50 burner trip
22.53 burner trip</t>
  </si>
  <si>
    <t xml:space="preserve">- Awal Shift PM Produksi T16
Speed: 900 mpm / -18% </t>
  </si>
  <si>
    <r>
      <t xml:space="preserve">- 23.21 motor sirkulasi hood trip
- 23.25 motor sirkulasi hood ok
- 23.31 motor sirkulasi trip lagi
</t>
    </r>
    <r>
      <rPr>
        <b/>
        <sz val="10"/>
        <color rgb="FFFF0000"/>
        <rFont val="Arial"/>
        <family val="2"/>
      </rPr>
      <t xml:space="preserve">- 23.34 pm stop, Drive hood terbakar </t>
    </r>
    <r>
      <rPr>
        <b/>
        <sz val="10"/>
        <color indexed="8"/>
        <rFont val="Arial"/>
        <family val="2"/>
      </rPr>
      <t xml:space="preserve">
- 23.40 Eid persiapan ganti Drive hood
- cleaning felt wire 
- cleaning couch pit 
- 01.20 eid coba Drive hood
- 01.38 bilas felt 
- 02.19 persiapan jalan
</t>
    </r>
    <r>
      <rPr>
        <b/>
        <sz val="10"/>
        <color rgb="FFFF0000"/>
        <rFont val="Arial"/>
        <family val="2"/>
      </rPr>
      <t>- 02.39 on reel prod T16</t>
    </r>
    <r>
      <rPr>
        <b/>
        <sz val="10"/>
        <color indexed="8"/>
        <rFont val="Arial"/>
        <family val="2"/>
      </rPr>
      <t xml:space="preserve">
- 02.44 jr turun masih ada hole, coba cleaning sambil jalan
-</t>
    </r>
    <r>
      <rPr>
        <b/>
        <sz val="10"/>
        <color rgb="FFFF0000"/>
        <rFont val="Arial"/>
        <family val="2"/>
      </rPr>
      <t xml:space="preserve"> 03.46 jr turun masih ada hole, pm stop cleaning felt wir</t>
    </r>
    <r>
      <rPr>
        <b/>
        <sz val="10"/>
        <color indexed="8"/>
        <rFont val="Arial"/>
        <family val="2"/>
      </rPr>
      <t xml:space="preserve">e 
- cleaning couch pit 
- 05.14 bilas felt 
- 05.53 persiapan jalan 
</t>
    </r>
    <r>
      <rPr>
        <b/>
        <sz val="10"/>
        <color rgb="FFFF0000"/>
        <rFont val="Arial"/>
        <family val="2"/>
      </rPr>
      <t>- 06.17 on reel prod T16</t>
    </r>
  </si>
  <si>
    <t>15,5/16</t>
  </si>
  <si>
    <t>- seset SU 2134 kg / %</t>
  </si>
  <si>
    <t>1052,78/863,28</t>
  </si>
  <si>
    <t>1122,5/938,8</t>
  </si>
  <si>
    <t>1090,33/850,46</t>
  </si>
  <si>
    <t>1099,42/890,54</t>
  </si>
  <si>
    <t>- Change Spool (24x)</t>
  </si>
  <si>
    <t xml:space="preserve">- 23.34 pm stop, Drive hood terbakar </t>
  </si>
  <si>
    <t>speed real</t>
  </si>
  <si>
    <t>speed target</t>
  </si>
  <si>
    <t>reel</t>
  </si>
  <si>
    <t>creeping</t>
  </si>
  <si>
    <t>time</t>
  </si>
  <si>
    <t>trim</t>
  </si>
  <si>
    <t>Teori</t>
  </si>
  <si>
    <t>Accept</t>
  </si>
  <si>
    <t>Eff</t>
  </si>
  <si>
    <t>- 18.05 burner trip sirkulasi fan trip &amp; Seset 2134 kg</t>
  </si>
  <si>
    <t>Fan hood trip</t>
  </si>
  <si>
    <t>Drive hood terbakar</t>
  </si>
  <si>
    <t>MARET</t>
  </si>
  <si>
    <t>305+209+120+</t>
  </si>
  <si>
    <t>386+</t>
  </si>
  <si>
    <t>58+115+100+350+</t>
  </si>
  <si>
    <t>385+450+365+154+</t>
  </si>
  <si>
    <t>275+170+</t>
  </si>
  <si>
    <t>55+120+</t>
  </si>
  <si>
    <t>275+150+</t>
  </si>
  <si>
    <t>258+</t>
  </si>
  <si>
    <t>175+200+</t>
  </si>
  <si>
    <t>238+190+</t>
  </si>
  <si>
    <t>217+210+</t>
  </si>
  <si>
    <t>227+226+357+200+</t>
  </si>
  <si>
    <t>195+</t>
  </si>
  <si>
    <t>248+268+</t>
  </si>
  <si>
    <t>125+</t>
  </si>
  <si>
    <t>295+150+</t>
  </si>
  <si>
    <t>215+150+</t>
  </si>
  <si>
    <t>130+</t>
  </si>
  <si>
    <t>292+180+</t>
  </si>
  <si>
    <t>145+180+</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</si>
</sst>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409]mmm\-yy;@"/>
    <numFmt numFmtId="181" formatCode="_(* #,##0.000_);_(* \(#,##0.000\);_(* &quot;-&quot;_);_(@_)"/>
    <numFmt numFmtId="182" formatCode="_(* #,##0.0_);_(* \(#,##0.0\);_(* &quot;-&quot;_);_(@_)"/>
  </numFmts>
  <fonts count="67">
    <font>
      <sz val="10"/>
      <name val="Arial"/>
    </font>
    <font>
      <sz val="11"/>
      <color theme="1"/>
      <name val="Calibri"/>
      <family val="2"/>
      <scheme val="minor"/>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sz val="10"/>
      <name val="Arial"/>
      <family val="2"/>
    </font>
    <font>
      <b/>
      <sz val="11"/>
      <color theme="1"/>
      <name val="Calibri"/>
      <family val="2"/>
      <scheme val="minor"/>
    </font>
    <font>
      <b/>
      <sz val="11"/>
      <name val="Calibri"/>
      <family val="2"/>
      <scheme val="minor"/>
    </font>
    <font>
      <b/>
      <sz val="11"/>
      <color rgb="FFFF0000"/>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sz val="12"/>
      <name val="Calibri"/>
      <family val="2"/>
      <scheme val="minor"/>
    </font>
    <font>
      <b/>
      <sz val="10"/>
      <color rgb="FFFF0000"/>
      <name val="Arial"/>
      <family val="2"/>
    </font>
    <font>
      <sz val="11"/>
      <name val="Calibri"/>
      <family val="2"/>
      <charset val="1"/>
      <scheme val="minor"/>
    </font>
  </fonts>
  <fills count="38">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61">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9" fillId="3" borderId="0" applyNumberFormat="0" applyBorder="0" applyAlignment="0" applyProtection="0"/>
    <xf numFmtId="0" fontId="12" fillId="20" borderId="1" applyNumberFormat="0" applyAlignment="0" applyProtection="0"/>
    <xf numFmtId="0" fontId="17" fillId="21" borderId="2" applyNumberFormat="0" applyAlignment="0" applyProtection="0"/>
    <xf numFmtId="165" fontId="45" fillId="0" borderId="0" applyFont="0" applyFill="0" applyBorder="0" applyAlignment="0" applyProtection="0"/>
    <xf numFmtId="164" fontId="45" fillId="0" borderId="0" applyFont="0" applyFill="0" applyBorder="0" applyAlignment="0" applyProtection="0"/>
    <xf numFmtId="165" fontId="5" fillId="0" borderId="0" applyFont="0" applyFill="0" applyBorder="0" applyAlignment="0" applyProtection="0">
      <alignment vertical="center"/>
    </xf>
    <xf numFmtId="165" fontId="5" fillId="0" borderId="0" applyFont="0" applyFill="0" applyBorder="0" applyAlignment="0" applyProtection="0">
      <alignment vertical="center"/>
    </xf>
    <xf numFmtId="0" fontId="11"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7" borderId="1" applyNumberFormat="0" applyAlignment="0" applyProtection="0"/>
    <xf numFmtId="0" fontId="8" fillId="0" borderId="6" applyNumberFormat="0" applyFill="0" applyAlignment="0" applyProtection="0"/>
    <xf numFmtId="0" fontId="3" fillId="22" borderId="0" applyNumberFormat="0" applyBorder="0" applyAlignment="0" applyProtection="0"/>
    <xf numFmtId="0" fontId="48" fillId="0" borderId="0"/>
    <xf numFmtId="0" fontId="48" fillId="0" borderId="0"/>
    <xf numFmtId="0" fontId="45" fillId="0" borderId="0"/>
    <xf numFmtId="0" fontId="45" fillId="0" borderId="0"/>
    <xf numFmtId="0" fontId="45" fillId="0" borderId="0"/>
    <xf numFmtId="0" fontId="45" fillId="0" borderId="0"/>
    <xf numFmtId="0" fontId="45" fillId="0" borderId="0"/>
    <xf numFmtId="0" fontId="45" fillId="23" borderId="7" applyNumberFormat="0" applyFont="0" applyAlignment="0" applyProtection="0"/>
    <xf numFmtId="0" fontId="13" fillId="20" borderId="8" applyNumberFormat="0" applyAlignment="0" applyProtection="0"/>
    <xf numFmtId="9" fontId="45" fillId="0" borderId="0" applyFont="0" applyFill="0" applyBorder="0" applyAlignment="0" applyProtection="0"/>
    <xf numFmtId="9" fontId="49" fillId="0" borderId="0" applyFont="0" applyFill="0" applyBorder="0" applyAlignment="0" applyProtection="0">
      <alignment vertical="center"/>
    </xf>
    <xf numFmtId="0" fontId="6" fillId="0" borderId="0" applyNumberFormat="0" applyFill="0" applyBorder="0" applyAlignment="0" applyProtection="0"/>
    <xf numFmtId="0" fontId="4" fillId="0" borderId="9" applyNumberFormat="0" applyFill="0" applyAlignment="0" applyProtection="0"/>
    <xf numFmtId="0" fontId="7" fillId="0" borderId="0" applyNumberFormat="0" applyFill="0" applyBorder="0" applyAlignment="0" applyProtection="0"/>
    <xf numFmtId="0" fontId="45" fillId="0" borderId="0"/>
    <xf numFmtId="164" fontId="45" fillId="0" borderId="0" applyFont="0" applyFill="0" applyBorder="0" applyAlignment="0" applyProtection="0"/>
    <xf numFmtId="43" fontId="1" fillId="0" borderId="0" applyFont="0" applyFill="0" applyBorder="0" applyAlignment="0" applyProtection="0"/>
    <xf numFmtId="0" fontId="45" fillId="0" borderId="0"/>
    <xf numFmtId="0" fontId="1" fillId="0" borderId="0"/>
    <xf numFmtId="9" fontId="1" fillId="0" borderId="0" applyFont="0" applyFill="0" applyBorder="0" applyAlignment="0" applyProtection="0"/>
  </cellStyleXfs>
  <cellXfs count="806">
    <xf numFmtId="0" fontId="0" fillId="0" borderId="0" xfId="0"/>
    <xf numFmtId="0" fontId="0" fillId="0" borderId="0" xfId="0" applyAlignment="1">
      <alignment horizontal="center"/>
    </xf>
    <xf numFmtId="0" fontId="28"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0" fontId="0" fillId="0" borderId="11" xfId="0" applyNumberFormat="1" applyBorder="1"/>
    <xf numFmtId="165" fontId="0" fillId="0" borderId="11" xfId="0" applyNumberFormat="1" applyBorder="1"/>
    <xf numFmtId="0" fontId="28" fillId="0" borderId="16" xfId="0" applyFont="1" applyBorder="1" applyAlignment="1">
      <alignment horizontal="center" vertical="center" wrapText="1"/>
    </xf>
    <xf numFmtId="165" fontId="0" fillId="0" borderId="11" xfId="28" applyFont="1" applyBorder="1"/>
    <xf numFmtId="0" fontId="28" fillId="0" borderId="18" xfId="0" applyFont="1" applyBorder="1"/>
    <xf numFmtId="165" fontId="28" fillId="0" borderId="18" xfId="28" applyFont="1" applyBorder="1"/>
    <xf numFmtId="4" fontId="0" fillId="0" borderId="11" xfId="0" applyNumberFormat="1" applyBorder="1"/>
    <xf numFmtId="165" fontId="0" fillId="0" borderId="0" xfId="0" applyNumberFormat="1"/>
    <xf numFmtId="171" fontId="0" fillId="0" borderId="11" xfId="0" applyNumberFormat="1" applyBorder="1"/>
    <xf numFmtId="2" fontId="0" fillId="0" borderId="11" xfId="28" applyNumberFormat="1" applyFont="1" applyBorder="1"/>
    <xf numFmtId="16" fontId="0" fillId="0" borderId="11" xfId="0" applyNumberFormat="1" applyBorder="1"/>
    <xf numFmtId="2" fontId="28" fillId="0" borderId="11" xfId="0" applyNumberFormat="1" applyFont="1" applyBorder="1"/>
    <xf numFmtId="165" fontId="28" fillId="0" borderId="18" xfId="28" applyFont="1" applyFill="1" applyBorder="1"/>
    <xf numFmtId="0" fontId="28" fillId="0" borderId="0" xfId="0" applyFont="1"/>
    <xf numFmtId="0" fontId="28" fillId="0" borderId="18" xfId="28" applyNumberFormat="1" applyFont="1" applyBorder="1"/>
    <xf numFmtId="0" fontId="27" fillId="24" borderId="11" xfId="0" quotePrefix="1" applyFont="1" applyFill="1" applyBorder="1"/>
    <xf numFmtId="0" fontId="41" fillId="0" borderId="0" xfId="0" applyFont="1"/>
    <xf numFmtId="0" fontId="42" fillId="0" borderId="0" xfId="0" applyFont="1" applyAlignment="1">
      <alignment horizontal="center" vertical="center" wrapText="1"/>
    </xf>
    <xf numFmtId="164" fontId="42" fillId="0" borderId="0" xfId="29" applyFont="1" applyFill="1" applyBorder="1" applyAlignment="1">
      <alignment horizontal="center" vertical="center" wrapText="1"/>
    </xf>
    <xf numFmtId="178" fontId="42" fillId="0" borderId="0" xfId="0" applyNumberFormat="1" applyFont="1" applyAlignment="1">
      <alignment horizontal="center" vertical="center" wrapText="1"/>
    </xf>
    <xf numFmtId="179" fontId="42" fillId="0" borderId="0" xfId="29" applyNumberFormat="1" applyFont="1" applyFill="1" applyBorder="1" applyAlignment="1">
      <alignment horizontal="center" vertical="center" wrapText="1"/>
    </xf>
    <xf numFmtId="166" fontId="42" fillId="0" borderId="0" xfId="50" applyNumberFormat="1" applyFont="1" applyFill="1" applyBorder="1" applyAlignment="1">
      <alignment horizontal="center" vertical="center" wrapText="1"/>
    </xf>
    <xf numFmtId="0" fontId="43" fillId="0" borderId="0" xfId="0" applyFont="1"/>
    <xf numFmtId="179" fontId="42" fillId="0" borderId="11" xfId="29" applyNumberFormat="1" applyFont="1" applyFill="1" applyBorder="1" applyAlignment="1">
      <alignment horizontal="center"/>
    </xf>
    <xf numFmtId="0" fontId="42" fillId="0" borderId="0" xfId="0" applyFont="1"/>
    <xf numFmtId="0" fontId="43" fillId="25" borderId="14" xfId="0" applyFont="1" applyFill="1" applyBorder="1" applyAlignment="1">
      <alignment horizontal="center" vertical="center" wrapText="1"/>
    </xf>
    <xf numFmtId="178" fontId="43" fillId="0" borderId="14" xfId="0" applyNumberFormat="1" applyFont="1" applyBorder="1" applyAlignment="1">
      <alignment horizontal="center" vertical="center" wrapText="1"/>
    </xf>
    <xf numFmtId="0" fontId="43" fillId="0" borderId="0" xfId="0" applyFont="1" applyAlignment="1">
      <alignment horizontal="center" vertical="center" wrapText="1"/>
    </xf>
    <xf numFmtId="0" fontId="42" fillId="0" borderId="11" xfId="0" applyFont="1" applyBorder="1"/>
    <xf numFmtId="164" fontId="42" fillId="0" borderId="11" xfId="29" applyFont="1" applyFill="1" applyBorder="1" applyAlignment="1">
      <alignment vertical="center"/>
    </xf>
    <xf numFmtId="178" fontId="42" fillId="0" borderId="11" xfId="0" applyNumberFormat="1" applyFont="1" applyBorder="1"/>
    <xf numFmtId="164" fontId="42" fillId="0" borderId="11" xfId="29" applyFont="1" applyFill="1" applyBorder="1" applyAlignment="1">
      <alignment horizontal="center"/>
    </xf>
    <xf numFmtId="179" fontId="42" fillId="0" borderId="11" xfId="29" applyNumberFormat="1" applyFont="1" applyFill="1" applyBorder="1" applyAlignment="1">
      <alignment vertical="center"/>
    </xf>
    <xf numFmtId="166" fontId="42" fillId="0" borderId="11" xfId="50" applyNumberFormat="1" applyFont="1" applyFill="1" applyBorder="1" applyAlignment="1">
      <alignment vertical="center"/>
    </xf>
    <xf numFmtId="0" fontId="42" fillId="0" borderId="11" xfId="0" applyFont="1" applyBorder="1" applyAlignment="1">
      <alignment wrapText="1"/>
    </xf>
    <xf numFmtId="173" fontId="39" fillId="0" borderId="11" xfId="44" applyNumberFormat="1" applyFont="1" applyBorder="1" applyAlignment="1">
      <alignment horizontal="center"/>
    </xf>
    <xf numFmtId="0" fontId="39" fillId="0" borderId="11" xfId="44" applyFont="1" applyBorder="1" applyAlignment="1">
      <alignment horizontal="center"/>
    </xf>
    <xf numFmtId="0" fontId="39" fillId="0" borderId="11" xfId="31" applyNumberFormat="1" applyFont="1" applyFill="1" applyBorder="1" applyAlignment="1">
      <alignment horizontal="center"/>
    </xf>
    <xf numFmtId="0" fontId="42" fillId="0" borderId="11" xfId="0" applyFont="1" applyBorder="1" applyAlignment="1">
      <alignment horizontal="center" vertical="center" wrapText="1"/>
    </xf>
    <xf numFmtId="9" fontId="42" fillId="0" borderId="11" xfId="0" applyNumberFormat="1" applyFont="1" applyBorder="1" applyAlignment="1">
      <alignment horizontal="center" vertical="center" wrapText="1"/>
    </xf>
    <xf numFmtId="9" fontId="42" fillId="0" borderId="11" xfId="29" applyNumberFormat="1" applyFont="1" applyFill="1" applyBorder="1" applyAlignment="1">
      <alignment vertical="center"/>
    </xf>
    <xf numFmtId="9" fontId="42" fillId="0" borderId="11" xfId="50" applyFont="1" applyFill="1" applyBorder="1" applyAlignment="1">
      <alignment vertical="center"/>
    </xf>
    <xf numFmtId="164" fontId="39" fillId="0" borderId="11" xfId="29" applyFont="1" applyFill="1" applyBorder="1" applyAlignment="1">
      <alignment horizontal="center"/>
    </xf>
    <xf numFmtId="179" fontId="39" fillId="0" borderId="11" xfId="29" applyNumberFormat="1" applyFont="1" applyFill="1" applyBorder="1" applyAlignment="1">
      <alignment horizontal="center"/>
    </xf>
    <xf numFmtId="179" fontId="42" fillId="0" borderId="11" xfId="29" applyNumberFormat="1" applyFont="1" applyBorder="1" applyAlignment="1">
      <alignment vertical="center"/>
    </xf>
    <xf numFmtId="2" fontId="42" fillId="0" borderId="11" xfId="0" applyNumberFormat="1" applyFont="1" applyBorder="1"/>
    <xf numFmtId="2" fontId="39" fillId="0" borderId="11" xfId="46" applyNumberFormat="1" applyFont="1" applyBorder="1"/>
    <xf numFmtId="179" fontId="43" fillId="0" borderId="11" xfId="29" applyNumberFormat="1" applyFont="1" applyFill="1" applyBorder="1" applyAlignment="1">
      <alignment vertical="center"/>
    </xf>
    <xf numFmtId="179" fontId="42" fillId="0" borderId="0" xfId="29" applyNumberFormat="1" applyFont="1" applyFill="1" applyBorder="1" applyAlignment="1">
      <alignment vertical="center"/>
    </xf>
    <xf numFmtId="0" fontId="42" fillId="0" borderId="0" xfId="0" applyFont="1" applyAlignment="1">
      <alignment horizontal="center"/>
    </xf>
    <xf numFmtId="178" fontId="42" fillId="0" borderId="0" xfId="0" applyNumberFormat="1" applyFont="1"/>
    <xf numFmtId="173" fontId="39" fillId="0" borderId="11" xfId="43" applyNumberFormat="1" applyFont="1" applyBorder="1" applyAlignment="1">
      <alignment horizontal="center"/>
    </xf>
    <xf numFmtId="0" fontId="39" fillId="0" borderId="11" xfId="43" applyFont="1" applyBorder="1" applyAlignment="1">
      <alignment horizontal="center"/>
    </xf>
    <xf numFmtId="0" fontId="39" fillId="0" borderId="11" xfId="30" applyNumberFormat="1" applyFont="1" applyFill="1" applyBorder="1" applyAlignment="1">
      <alignment horizontal="center"/>
    </xf>
    <xf numFmtId="164" fontId="43" fillId="0" borderId="11" xfId="29" applyFont="1" applyFill="1" applyBorder="1" applyAlignment="1">
      <alignment vertical="center"/>
    </xf>
    <xf numFmtId="9" fontId="43" fillId="25" borderId="11" xfId="29" applyNumberFormat="1" applyFont="1" applyFill="1" applyBorder="1" applyAlignment="1">
      <alignment vertical="center"/>
    </xf>
    <xf numFmtId="179" fontId="43" fillId="25" borderId="11" xfId="29" applyNumberFormat="1" applyFont="1" applyFill="1" applyBorder="1" applyAlignment="1">
      <alignment vertical="center"/>
    </xf>
    <xf numFmtId="178" fontId="43" fillId="0" borderId="11" xfId="0" applyNumberFormat="1" applyFont="1" applyBorder="1"/>
    <xf numFmtId="0" fontId="43" fillId="0" borderId="11" xfId="0" applyFont="1" applyBorder="1"/>
    <xf numFmtId="164" fontId="43" fillId="25" borderId="11" xfId="29" applyFont="1" applyFill="1" applyBorder="1" applyAlignment="1">
      <alignment horizontal="center"/>
    </xf>
    <xf numFmtId="0" fontId="42" fillId="0" borderId="11" xfId="47" applyFont="1" applyBorder="1"/>
    <xf numFmtId="10" fontId="43" fillId="25" borderId="11" xfId="50" applyNumberFormat="1" applyFont="1" applyFill="1" applyBorder="1" applyAlignment="1">
      <alignment vertical="center"/>
    </xf>
    <xf numFmtId="166" fontId="43" fillId="25" borderId="11" xfId="50" applyNumberFormat="1" applyFont="1" applyFill="1" applyBorder="1" applyAlignment="1">
      <alignment vertical="center"/>
    </xf>
    <xf numFmtId="165" fontId="43" fillId="0" borderId="11" xfId="0" applyNumberFormat="1" applyFont="1" applyBorder="1" applyAlignment="1">
      <alignment horizontal="right"/>
    </xf>
    <xf numFmtId="173" fontId="39" fillId="0" borderId="0" xfId="43" applyNumberFormat="1" applyFont="1" applyAlignment="1">
      <alignment horizontal="center"/>
    </xf>
    <xf numFmtId="0" fontId="39" fillId="0" borderId="0" xfId="43" applyFont="1" applyAlignment="1">
      <alignment horizontal="center"/>
    </xf>
    <xf numFmtId="0" fontId="39" fillId="0" borderId="0" xfId="30" applyNumberFormat="1" applyFont="1" applyFill="1" applyBorder="1" applyAlignment="1">
      <alignment horizontal="center"/>
    </xf>
    <xf numFmtId="164" fontId="42" fillId="0" borderId="0" xfId="29" applyFont="1" applyFill="1" applyBorder="1" applyAlignment="1">
      <alignment vertical="center"/>
    </xf>
    <xf numFmtId="164" fontId="42" fillId="0" borderId="0" xfId="29" applyFont="1" applyFill="1" applyBorder="1" applyAlignment="1">
      <alignment horizontal="center"/>
    </xf>
    <xf numFmtId="179" fontId="42" fillId="0" borderId="0" xfId="29" applyNumberFormat="1" applyFont="1" applyFill="1" applyBorder="1" applyAlignment="1">
      <alignment horizontal="center"/>
    </xf>
    <xf numFmtId="165" fontId="43" fillId="0" borderId="0" xfId="0" applyNumberFormat="1" applyFont="1" applyAlignment="1">
      <alignment horizontal="right"/>
    </xf>
    <xf numFmtId="179" fontId="43" fillId="0" borderId="0" xfId="29" applyNumberFormat="1" applyFont="1" applyFill="1" applyBorder="1" applyAlignment="1">
      <alignment horizontal="right"/>
    </xf>
    <xf numFmtId="166" fontId="43" fillId="0" borderId="0" xfId="50" applyNumberFormat="1" applyFont="1" applyFill="1" applyBorder="1" applyAlignment="1">
      <alignment vertical="center"/>
    </xf>
    <xf numFmtId="0" fontId="42" fillId="0" borderId="0" xfId="0" applyFont="1" applyAlignment="1">
      <alignment wrapText="1"/>
    </xf>
    <xf numFmtId="0" fontId="43" fillId="0" borderId="0" xfId="50" applyNumberFormat="1" applyFont="1" applyFill="1" applyBorder="1" applyAlignment="1">
      <alignment vertical="center"/>
    </xf>
    <xf numFmtId="165" fontId="42" fillId="0" borderId="0" xfId="29" applyNumberFormat="1" applyFont="1" applyFill="1" applyBorder="1" applyAlignment="1">
      <alignment horizontal="center" vertical="center" wrapText="1"/>
    </xf>
    <xf numFmtId="165" fontId="43" fillId="0" borderId="14" xfId="0" applyNumberFormat="1" applyFont="1" applyBorder="1" applyAlignment="1">
      <alignment horizontal="center" vertical="center" wrapText="1"/>
    </xf>
    <xf numFmtId="165" fontId="42" fillId="0" borderId="11" xfId="29" applyNumberFormat="1" applyFont="1" applyFill="1" applyBorder="1" applyAlignment="1">
      <alignment vertical="center"/>
    </xf>
    <xf numFmtId="165" fontId="42" fillId="0" borderId="0" xfId="0" applyNumberFormat="1" applyFont="1"/>
    <xf numFmtId="165" fontId="43" fillId="25" borderId="11" xfId="29" applyNumberFormat="1" applyFont="1" applyFill="1" applyBorder="1" applyAlignment="1">
      <alignment vertical="center"/>
    </xf>
    <xf numFmtId="165" fontId="43" fillId="0" borderId="11" xfId="29" applyNumberFormat="1" applyFont="1" applyFill="1" applyBorder="1" applyAlignment="1">
      <alignment vertical="center"/>
    </xf>
    <xf numFmtId="165" fontId="42"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2" fillId="0" borderId="0" xfId="0" applyNumberFormat="1" applyFont="1"/>
    <xf numFmtId="15" fontId="43"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7" fillId="24" borderId="32" xfId="28" applyFont="1" applyFill="1" applyBorder="1" applyAlignment="1" applyProtection="1">
      <alignment horizontal="center" vertical="center"/>
    </xf>
    <xf numFmtId="165" fontId="27" fillId="24" borderId="33" xfId="28" applyFont="1" applyFill="1" applyBorder="1" applyAlignment="1" applyProtection="1">
      <alignment horizontal="center" vertical="center"/>
    </xf>
    <xf numFmtId="165" fontId="27" fillId="24" borderId="34" xfId="28" applyFont="1" applyFill="1" applyBorder="1" applyAlignment="1" applyProtection="1">
      <alignment horizontal="center" vertical="center"/>
    </xf>
    <xf numFmtId="165" fontId="27" fillId="24" borderId="35" xfId="28" applyFont="1" applyFill="1" applyBorder="1" applyAlignment="1" applyProtection="1">
      <alignment horizontal="center" vertical="center"/>
    </xf>
    <xf numFmtId="166" fontId="27" fillId="24" borderId="36" xfId="50" applyNumberFormat="1" applyFont="1" applyFill="1" applyBorder="1" applyAlignment="1" applyProtection="1">
      <alignment horizontal="center" vertical="center"/>
    </xf>
    <xf numFmtId="166" fontId="27" fillId="24" borderId="29" xfId="50" applyNumberFormat="1" applyFont="1" applyFill="1" applyBorder="1" applyAlignment="1" applyProtection="1">
      <alignment horizontal="center" vertical="center"/>
    </xf>
    <xf numFmtId="166" fontId="27" fillId="24" borderId="37" xfId="50" applyNumberFormat="1" applyFont="1" applyFill="1" applyBorder="1" applyAlignment="1" applyProtection="1">
      <alignment horizontal="center" vertical="center"/>
    </xf>
    <xf numFmtId="165" fontId="27" fillId="24" borderId="38" xfId="28" applyFont="1" applyFill="1" applyBorder="1" applyAlignment="1" applyProtection="1">
      <alignment horizontal="center" vertical="center"/>
    </xf>
    <xf numFmtId="165" fontId="27" fillId="24" borderId="38" xfId="28" applyFont="1" applyFill="1" applyBorder="1" applyAlignment="1" applyProtection="1">
      <alignment horizontal="center"/>
    </xf>
    <xf numFmtId="165" fontId="27" fillId="24" borderId="39" xfId="28" applyFont="1" applyFill="1" applyBorder="1" applyAlignment="1" applyProtection="1">
      <alignment horizontal="center"/>
    </xf>
    <xf numFmtId="166" fontId="27" fillId="24" borderId="40" xfId="50" applyNumberFormat="1" applyFont="1" applyFill="1" applyBorder="1" applyAlignment="1" applyProtection="1">
      <alignment horizontal="center" vertical="center"/>
    </xf>
    <xf numFmtId="165" fontId="23" fillId="24" borderId="0" xfId="28" applyFont="1" applyFill="1" applyProtection="1"/>
    <xf numFmtId="165" fontId="27" fillId="24" borderId="15" xfId="28" applyFont="1" applyFill="1" applyBorder="1" applyAlignment="1" applyProtection="1">
      <alignment horizontal="center" vertical="center"/>
    </xf>
    <xf numFmtId="165" fontId="27" fillId="24" borderId="41" xfId="28" applyFont="1" applyFill="1" applyBorder="1" applyAlignment="1" applyProtection="1">
      <alignment horizontal="center" vertical="center"/>
    </xf>
    <xf numFmtId="166" fontId="27" fillId="24" borderId="35" xfId="50" applyNumberFormat="1" applyFont="1" applyFill="1" applyBorder="1" applyAlignment="1" applyProtection="1">
      <alignment horizontal="center" vertical="center"/>
    </xf>
    <xf numFmtId="166" fontId="27" fillId="24" borderId="15" xfId="50" applyNumberFormat="1" applyFont="1" applyFill="1" applyBorder="1" applyAlignment="1" applyProtection="1">
      <alignment horizontal="center" vertical="center"/>
    </xf>
    <xf numFmtId="166" fontId="27" fillId="24" borderId="34" xfId="50" applyNumberFormat="1" applyFont="1" applyFill="1" applyBorder="1" applyAlignment="1" applyProtection="1">
      <alignment horizontal="center" vertical="center"/>
    </xf>
    <xf numFmtId="165" fontId="27" fillId="24" borderId="35" xfId="28" applyFont="1" applyFill="1" applyBorder="1" applyAlignment="1" applyProtection="1">
      <alignment horizontal="center"/>
    </xf>
    <xf numFmtId="165" fontId="27" fillId="24" borderId="42" xfId="28" applyFont="1" applyFill="1" applyBorder="1" applyAlignment="1" applyProtection="1">
      <alignment horizontal="center"/>
    </xf>
    <xf numFmtId="165" fontId="27" fillId="24" borderId="11" xfId="28" applyFont="1" applyFill="1" applyBorder="1" applyAlignment="1" applyProtection="1">
      <alignment horizontal="center"/>
    </xf>
    <xf numFmtId="165" fontId="27" fillId="24" borderId="43" xfId="28" applyFont="1" applyFill="1" applyBorder="1" applyAlignment="1" applyProtection="1">
      <alignment horizontal="center"/>
    </xf>
    <xf numFmtId="165" fontId="27" fillId="24" borderId="37" xfId="28" applyFont="1" applyFill="1" applyBorder="1" applyAlignment="1" applyProtection="1">
      <alignment horizontal="center"/>
    </xf>
    <xf numFmtId="0" fontId="27" fillId="24" borderId="44" xfId="0" applyFont="1" applyFill="1" applyBorder="1" applyAlignment="1">
      <alignment horizontal="left"/>
    </xf>
    <xf numFmtId="0" fontId="27" fillId="24" borderId="45" xfId="0" applyFont="1" applyFill="1" applyBorder="1" applyAlignment="1">
      <alignment horizontal="left"/>
    </xf>
    <xf numFmtId="0" fontId="27" fillId="24" borderId="46" xfId="0" applyFont="1" applyFill="1" applyBorder="1" applyAlignment="1">
      <alignment horizontal="left"/>
    </xf>
    <xf numFmtId="165" fontId="27" fillId="24" borderId="26" xfId="0" applyNumberFormat="1" applyFont="1" applyFill="1" applyBorder="1" applyAlignment="1">
      <alignment horizontal="left"/>
    </xf>
    <xf numFmtId="165" fontId="27" fillId="24" borderId="21" xfId="28" applyFont="1" applyFill="1" applyBorder="1" applyAlignment="1" applyProtection="1">
      <alignment horizontal="right" vertical="center"/>
    </xf>
    <xf numFmtId="0" fontId="27" fillId="24" borderId="47" xfId="0" applyFont="1" applyFill="1" applyBorder="1" applyAlignment="1">
      <alignment horizontal="center"/>
    </xf>
    <xf numFmtId="165" fontId="27" fillId="24" borderId="17" xfId="28" applyFont="1" applyFill="1" applyBorder="1" applyAlignment="1" applyProtection="1">
      <alignment horizontal="right" vertical="center"/>
    </xf>
    <xf numFmtId="0" fontId="27" fillId="24" borderId="48" xfId="0" applyFont="1" applyFill="1" applyBorder="1" applyAlignment="1">
      <alignment horizontal="center"/>
    </xf>
    <xf numFmtId="165" fontId="27" fillId="0" borderId="11" xfId="28" applyFont="1" applyFill="1" applyBorder="1" applyAlignment="1" applyProtection="1">
      <alignment horizontal="right"/>
    </xf>
    <xf numFmtId="0" fontId="27" fillId="24" borderId="49" xfId="0" applyFont="1" applyFill="1" applyBorder="1" applyAlignment="1">
      <alignment horizontal="center"/>
    </xf>
    <xf numFmtId="165" fontId="27" fillId="24" borderId="11" xfId="28" applyFont="1" applyFill="1" applyBorder="1" applyAlignment="1" applyProtection="1">
      <alignment horizontal="right" vertical="center"/>
    </xf>
    <xf numFmtId="165" fontId="23" fillId="20" borderId="11" xfId="28" applyFont="1" applyFill="1" applyBorder="1" applyAlignment="1" applyProtection="1">
      <alignment horizontal="right"/>
    </xf>
    <xf numFmtId="165" fontId="27" fillId="24" borderId="11" xfId="28" applyFont="1" applyFill="1" applyBorder="1" applyAlignment="1" applyProtection="1">
      <alignment horizontal="right"/>
    </xf>
    <xf numFmtId="175" fontId="27" fillId="24" borderId="11" xfId="28" applyNumberFormat="1" applyFont="1" applyFill="1" applyBorder="1" applyAlignment="1" applyProtection="1">
      <alignment horizontal="right"/>
    </xf>
    <xf numFmtId="39" fontId="27" fillId="24" borderId="11" xfId="28" applyNumberFormat="1" applyFont="1" applyFill="1" applyBorder="1" applyAlignment="1" applyProtection="1">
      <alignment horizontal="right"/>
    </xf>
    <xf numFmtId="165" fontId="27" fillId="24" borderId="14" xfId="28" applyFont="1" applyFill="1" applyBorder="1" applyAlignment="1" applyProtection="1">
      <alignment horizontal="right"/>
    </xf>
    <xf numFmtId="0" fontId="27" fillId="24" borderId="50" xfId="0" applyFont="1" applyFill="1" applyBorder="1" applyAlignment="1">
      <alignment horizontal="center"/>
    </xf>
    <xf numFmtId="165" fontId="27" fillId="24" borderId="23" xfId="0" applyNumberFormat="1" applyFont="1" applyFill="1" applyBorder="1" applyAlignment="1">
      <alignment horizontal="right"/>
    </xf>
    <xf numFmtId="0" fontId="27" fillId="24" borderId="24" xfId="0" applyFont="1" applyFill="1" applyBorder="1" applyAlignment="1">
      <alignment horizontal="center"/>
    </xf>
    <xf numFmtId="165" fontId="27" fillId="24" borderId="11" xfId="28" applyFont="1" applyFill="1" applyBorder="1" applyProtection="1"/>
    <xf numFmtId="165" fontId="27" fillId="24" borderId="14" xfId="28" applyFont="1" applyFill="1" applyBorder="1" applyProtection="1"/>
    <xf numFmtId="165" fontId="23" fillId="20" borderId="11" xfId="28" applyFont="1" applyFill="1" applyBorder="1" applyProtection="1"/>
    <xf numFmtId="165" fontId="27" fillId="24" borderId="49" xfId="28" applyFont="1" applyFill="1" applyBorder="1" applyAlignment="1" applyProtection="1">
      <alignment horizontal="center"/>
    </xf>
    <xf numFmtId="165" fontId="27" fillId="24" borderId="21" xfId="28" applyFont="1" applyFill="1" applyBorder="1" applyAlignment="1" applyProtection="1">
      <alignment horizontal="center"/>
    </xf>
    <xf numFmtId="165" fontId="27" fillId="24" borderId="47" xfId="28" applyFont="1" applyFill="1" applyBorder="1" applyAlignment="1" applyProtection="1">
      <alignment horizontal="center"/>
    </xf>
    <xf numFmtId="166" fontId="27" fillId="24" borderId="23" xfId="50" applyNumberFormat="1" applyFont="1" applyFill="1" applyBorder="1" applyProtection="1"/>
    <xf numFmtId="166" fontId="27" fillId="24" borderId="24" xfId="50" applyNumberFormat="1" applyFont="1" applyFill="1" applyBorder="1" applyProtection="1"/>
    <xf numFmtId="0" fontId="20" fillId="0" borderId="0" xfId="0" applyFont="1"/>
    <xf numFmtId="0" fontId="23" fillId="24" borderId="0" xfId="0" applyFont="1" applyFill="1"/>
    <xf numFmtId="0" fontId="21" fillId="0" borderId="0" xfId="0" applyFont="1"/>
    <xf numFmtId="0" fontId="22" fillId="0" borderId="0" xfId="0" applyFont="1"/>
    <xf numFmtId="0" fontId="24" fillId="24" borderId="0" xfId="0" applyFont="1" applyFill="1"/>
    <xf numFmtId="165" fontId="25" fillId="24" borderId="0" xfId="28" applyFont="1" applyFill="1" applyAlignment="1" applyProtection="1">
      <alignment horizontal="right"/>
    </xf>
    <xf numFmtId="0" fontId="26" fillId="24" borderId="0" xfId="0" applyFont="1" applyFill="1"/>
    <xf numFmtId="165" fontId="23" fillId="24" borderId="0" xfId="0" applyNumberFormat="1" applyFont="1" applyFill="1"/>
    <xf numFmtId="0" fontId="27" fillId="24" borderId="32" xfId="0" applyFont="1" applyFill="1" applyBorder="1" applyAlignment="1">
      <alignment horizontal="center" vertical="center"/>
    </xf>
    <xf numFmtId="0" fontId="27" fillId="24" borderId="15" xfId="0" applyFont="1" applyFill="1" applyBorder="1" applyAlignment="1">
      <alignment horizontal="center" vertical="center"/>
    </xf>
    <xf numFmtId="0" fontId="27" fillId="24" borderId="41" xfId="0" applyFont="1" applyFill="1" applyBorder="1" applyAlignment="1">
      <alignment horizontal="center" vertical="center"/>
    </xf>
    <xf numFmtId="0" fontId="27" fillId="24" borderId="51" xfId="0" applyFont="1" applyFill="1" applyBorder="1" applyAlignment="1">
      <alignment horizontal="center"/>
    </xf>
    <xf numFmtId="0" fontId="27" fillId="24" borderId="41" xfId="0" applyFont="1" applyFill="1" applyBorder="1" applyAlignment="1">
      <alignment horizontal="center" wrapText="1"/>
    </xf>
    <xf numFmtId="0" fontId="27" fillId="24" borderId="32" xfId="0" applyFont="1" applyFill="1" applyBorder="1" applyAlignment="1">
      <alignment horizontal="center"/>
    </xf>
    <xf numFmtId="0" fontId="27" fillId="24" borderId="15" xfId="0" applyFont="1" applyFill="1" applyBorder="1" applyAlignment="1">
      <alignment horizontal="center"/>
    </xf>
    <xf numFmtId="0" fontId="27" fillId="24" borderId="34" xfId="0" applyFont="1" applyFill="1" applyBorder="1" applyAlignment="1">
      <alignment horizontal="center"/>
    </xf>
    <xf numFmtId="165" fontId="27" fillId="24" borderId="11" xfId="0" applyNumberFormat="1" applyFont="1" applyFill="1" applyBorder="1" applyAlignment="1">
      <alignment horizontal="center"/>
    </xf>
    <xf numFmtId="0" fontId="27" fillId="24" borderId="52" xfId="0" applyFont="1" applyFill="1" applyBorder="1" applyAlignment="1">
      <alignment horizontal="left" vertical="center"/>
    </xf>
    <xf numFmtId="0" fontId="27" fillId="24" borderId="53" xfId="0" quotePrefix="1" applyFont="1" applyFill="1" applyBorder="1"/>
    <xf numFmtId="0" fontId="27" fillId="24" borderId="34" xfId="0" applyFont="1" applyFill="1" applyBorder="1" applyAlignment="1">
      <alignment vertical="center" wrapText="1"/>
    </xf>
    <xf numFmtId="0" fontId="27" fillId="24" borderId="29" xfId="0" applyFont="1" applyFill="1" applyBorder="1" applyAlignment="1">
      <alignment horizontal="left" vertical="center"/>
    </xf>
    <xf numFmtId="0" fontId="27" fillId="24" borderId="40" xfId="0" applyFont="1" applyFill="1" applyBorder="1" applyAlignment="1">
      <alignment vertical="center" wrapText="1"/>
    </xf>
    <xf numFmtId="0" fontId="27" fillId="24" borderId="54" xfId="0" applyFont="1" applyFill="1" applyBorder="1" applyAlignment="1">
      <alignment horizontal="left" vertical="center"/>
    </xf>
    <xf numFmtId="0" fontId="27" fillId="24" borderId="53" xfId="0" applyFont="1" applyFill="1" applyBorder="1" applyAlignment="1">
      <alignment horizontal="center"/>
    </xf>
    <xf numFmtId="0" fontId="27" fillId="24" borderId="53" xfId="0" applyFont="1" applyFill="1" applyBorder="1"/>
    <xf numFmtId="0" fontId="27" fillId="24" borderId="55" xfId="0" applyFont="1" applyFill="1" applyBorder="1" applyAlignment="1">
      <alignment horizontal="center" vertical="center"/>
    </xf>
    <xf numFmtId="0" fontId="27" fillId="24" borderId="45" xfId="0" applyFont="1" applyFill="1" applyBorder="1" applyAlignment="1">
      <alignment horizontal="left" vertical="center"/>
    </xf>
    <xf numFmtId="0" fontId="27" fillId="24" borderId="28" xfId="0" applyFont="1" applyFill="1" applyBorder="1" applyAlignment="1">
      <alignment horizontal="center"/>
    </xf>
    <xf numFmtId="0" fontId="27" fillId="24" borderId="0" xfId="0" applyFont="1" applyFill="1"/>
    <xf numFmtId="0" fontId="27" fillId="24" borderId="0" xfId="0" applyFont="1" applyFill="1" applyAlignment="1">
      <alignment horizontal="center" vertical="center" wrapText="1"/>
    </xf>
    <xf numFmtId="0" fontId="27" fillId="24" borderId="0" xfId="0" applyFont="1" applyFill="1" applyAlignment="1">
      <alignment horizontal="center"/>
    </xf>
    <xf numFmtId="0" fontId="27" fillId="24" borderId="36" xfId="0" applyFont="1" applyFill="1" applyBorder="1" applyAlignment="1">
      <alignment horizontal="center"/>
    </xf>
    <xf numFmtId="0" fontId="27" fillId="24" borderId="40" xfId="0" applyFont="1" applyFill="1" applyBorder="1" applyAlignment="1">
      <alignment horizontal="center"/>
    </xf>
    <xf numFmtId="0" fontId="23" fillId="24" borderId="32" xfId="0" applyFont="1" applyFill="1" applyBorder="1"/>
    <xf numFmtId="0" fontId="23" fillId="24" borderId="41" xfId="0" applyFont="1" applyFill="1" applyBorder="1"/>
    <xf numFmtId="0" fontId="27" fillId="24" borderId="15" xfId="0" applyFont="1" applyFill="1" applyBorder="1"/>
    <xf numFmtId="0" fontId="27" fillId="24" borderId="41" xfId="0" applyFont="1" applyFill="1" applyBorder="1" applyAlignment="1">
      <alignment horizontal="center"/>
    </xf>
    <xf numFmtId="165" fontId="23" fillId="24" borderId="0" xfId="28" applyFont="1" applyFill="1" applyBorder="1" applyProtection="1"/>
    <xf numFmtId="0" fontId="23" fillId="24" borderId="56" xfId="0" applyFont="1" applyFill="1" applyBorder="1" applyAlignment="1">
      <alignment horizontal="center"/>
    </xf>
    <xf numFmtId="0" fontId="23" fillId="24" borderId="10" xfId="0" applyFont="1" applyFill="1" applyBorder="1" applyAlignment="1">
      <alignment horizontal="center"/>
    </xf>
    <xf numFmtId="0" fontId="27" fillId="24" borderId="10" xfId="0" applyFont="1" applyFill="1" applyBorder="1" applyAlignment="1">
      <alignment horizontal="center"/>
    </xf>
    <xf numFmtId="165" fontId="27" fillId="24" borderId="0" xfId="28" applyFont="1" applyFill="1" applyBorder="1" applyProtection="1"/>
    <xf numFmtId="0" fontId="27" fillId="24" borderId="12" xfId="0" applyFont="1" applyFill="1" applyBorder="1" applyAlignment="1">
      <alignment horizontal="center"/>
    </xf>
    <xf numFmtId="0" fontId="27" fillId="24" borderId="57" xfId="0" applyFont="1" applyFill="1" applyBorder="1" applyAlignment="1">
      <alignment horizontal="center"/>
    </xf>
    <xf numFmtId="165" fontId="27" fillId="24" borderId="23" xfId="0" applyNumberFormat="1" applyFont="1" applyFill="1" applyBorder="1"/>
    <xf numFmtId="2" fontId="23" fillId="24" borderId="0" xfId="0" applyNumberFormat="1" applyFont="1" applyFill="1"/>
    <xf numFmtId="0" fontId="27" fillId="24" borderId="58" xfId="0" applyFont="1" applyFill="1" applyBorder="1"/>
    <xf numFmtId="0" fontId="27" fillId="24" borderId="59" xfId="0" applyFont="1" applyFill="1" applyBorder="1" applyAlignment="1">
      <alignment horizontal="left"/>
    </xf>
    <xf numFmtId="0" fontId="23" fillId="24" borderId="59" xfId="0" applyFont="1" applyFill="1" applyBorder="1"/>
    <xf numFmtId="165" fontId="23" fillId="24" borderId="59" xfId="28" applyFont="1" applyFill="1" applyBorder="1" applyProtection="1"/>
    <xf numFmtId="0" fontId="23" fillId="24" borderId="31" xfId="0" applyFont="1" applyFill="1" applyBorder="1"/>
    <xf numFmtId="0" fontId="23" fillId="24" borderId="11" xfId="0" applyFont="1" applyFill="1" applyBorder="1"/>
    <xf numFmtId="165" fontId="23" fillId="24" borderId="11" xfId="0" applyNumberFormat="1" applyFont="1" applyFill="1" applyBorder="1"/>
    <xf numFmtId="166" fontId="23" fillId="24" borderId="11" xfId="50" applyNumberFormat="1" applyFont="1" applyFill="1" applyBorder="1" applyProtection="1"/>
    <xf numFmtId="0" fontId="27" fillId="24" borderId="28" xfId="0" applyFont="1" applyFill="1" applyBorder="1"/>
    <xf numFmtId="0" fontId="27" fillId="24" borderId="0" xfId="0" applyFont="1" applyFill="1" applyAlignment="1">
      <alignment horizontal="left"/>
    </xf>
    <xf numFmtId="0" fontId="23" fillId="24" borderId="60" xfId="0" applyFont="1" applyFill="1" applyBorder="1"/>
    <xf numFmtId="0" fontId="23" fillId="24" borderId="28" xfId="0" applyFont="1" applyFill="1" applyBorder="1"/>
    <xf numFmtId="0" fontId="23" fillId="24" borderId="30" xfId="0" applyFont="1" applyFill="1" applyBorder="1"/>
    <xf numFmtId="0" fontId="27" fillId="24" borderId="61" xfId="0" applyFont="1" applyFill="1" applyBorder="1"/>
    <xf numFmtId="165" fontId="27" fillId="24" borderId="61" xfId="28" applyFont="1" applyFill="1" applyBorder="1" applyProtection="1"/>
    <xf numFmtId="0" fontId="23" fillId="24" borderId="16" xfId="0" applyFont="1" applyFill="1" applyBorder="1"/>
    <xf numFmtId="0" fontId="27" fillId="24" borderId="15" xfId="0" applyFont="1" applyFill="1" applyBorder="1" applyAlignment="1">
      <alignment horizontal="center" wrapText="1"/>
    </xf>
    <xf numFmtId="2" fontId="42" fillId="0" borderId="11" xfId="50" applyNumberFormat="1" applyFont="1" applyFill="1" applyBorder="1" applyAlignment="1">
      <alignment vertical="center"/>
    </xf>
    <xf numFmtId="165" fontId="27" fillId="24" borderId="17" xfId="0" applyNumberFormat="1" applyFont="1" applyFill="1" applyBorder="1" applyAlignment="1">
      <alignment horizontal="left"/>
    </xf>
    <xf numFmtId="0" fontId="27" fillId="24" borderId="14" xfId="0" applyFont="1" applyFill="1" applyBorder="1" applyAlignment="1">
      <alignment horizontal="left"/>
    </xf>
    <xf numFmtId="165" fontId="27" fillId="24" borderId="10" xfId="0" applyNumberFormat="1" applyFont="1" applyFill="1" applyBorder="1" applyAlignment="1">
      <alignment horizontal="left"/>
    </xf>
    <xf numFmtId="0" fontId="27" fillId="24" borderId="62" xfId="0" applyFont="1" applyFill="1" applyBorder="1" applyAlignment="1" applyProtection="1">
      <alignment horizontal="left" vertical="center"/>
      <protection locked="0"/>
    </xf>
    <xf numFmtId="165" fontId="27" fillId="24" borderId="60" xfId="28" applyFont="1" applyFill="1" applyBorder="1" applyAlignment="1" applyProtection="1">
      <alignment horizontal="center" vertical="center"/>
      <protection locked="0"/>
    </xf>
    <xf numFmtId="165" fontId="27" fillId="24" borderId="62" xfId="28" applyFont="1" applyFill="1" applyBorder="1" applyAlignment="1" applyProtection="1">
      <alignment horizontal="center" vertical="center"/>
      <protection locked="0"/>
    </xf>
    <xf numFmtId="165" fontId="27" fillId="24" borderId="42" xfId="28" applyFont="1" applyFill="1" applyBorder="1" applyAlignment="1" applyProtection="1">
      <alignment horizontal="center" vertical="center"/>
      <protection locked="0"/>
    </xf>
    <xf numFmtId="165" fontId="27" fillId="24" borderId="43" xfId="28" applyFont="1" applyFill="1" applyBorder="1" applyAlignment="1" applyProtection="1">
      <protection locked="0"/>
    </xf>
    <xf numFmtId="165" fontId="27" fillId="24" borderId="43" xfId="28" applyFont="1" applyFill="1" applyBorder="1" applyAlignment="1" applyProtection="1">
      <alignment horizontal="center"/>
      <protection locked="0"/>
    </xf>
    <xf numFmtId="0" fontId="27" fillId="24" borderId="63" xfId="0" applyFont="1" applyFill="1" applyBorder="1" applyAlignment="1" applyProtection="1">
      <alignment horizontal="left" vertical="center"/>
      <protection locked="0"/>
    </xf>
    <xf numFmtId="165" fontId="27" fillId="24" borderId="55" xfId="50" applyNumberFormat="1" applyFont="1" applyFill="1" applyBorder="1" applyAlignment="1" applyProtection="1">
      <alignment horizontal="center" vertical="center"/>
      <protection locked="0"/>
    </xf>
    <xf numFmtId="165" fontId="27" fillId="24" borderId="54" xfId="50" applyNumberFormat="1" applyFont="1" applyFill="1" applyBorder="1" applyAlignment="1" applyProtection="1">
      <alignment horizontal="center" vertical="center"/>
      <protection locked="0"/>
    </xf>
    <xf numFmtId="165" fontId="27" fillId="24" borderId="64" xfId="50" applyNumberFormat="1" applyFont="1" applyFill="1" applyBorder="1" applyAlignment="1" applyProtection="1">
      <alignment horizontal="center" vertical="center"/>
      <protection locked="0"/>
    </xf>
    <xf numFmtId="165" fontId="27" fillId="24" borderId="43" xfId="28" applyFont="1" applyFill="1" applyBorder="1" applyAlignment="1" applyProtection="1">
      <alignment horizontal="center" vertical="center"/>
      <protection locked="0"/>
    </xf>
    <xf numFmtId="165" fontId="27" fillId="24" borderId="0" xfId="28" applyFont="1" applyFill="1" applyBorder="1" applyAlignment="1" applyProtection="1">
      <alignment horizontal="center" vertical="center"/>
      <protection locked="0"/>
    </xf>
    <xf numFmtId="165" fontId="23" fillId="24" borderId="43" xfId="28" applyFont="1" applyFill="1" applyBorder="1" applyProtection="1">
      <protection locked="0"/>
    </xf>
    <xf numFmtId="165" fontId="27" fillId="24" borderId="10" xfId="28" applyFont="1" applyFill="1" applyBorder="1" applyAlignment="1" applyProtection="1">
      <alignment horizontal="center"/>
      <protection locked="0"/>
    </xf>
    <xf numFmtId="165" fontId="27" fillId="24" borderId="11" xfId="0" applyNumberFormat="1" applyFont="1" applyFill="1" applyBorder="1" applyAlignment="1" applyProtection="1">
      <alignment horizontal="center"/>
      <protection locked="0"/>
    </xf>
    <xf numFmtId="0" fontId="27" fillId="24" borderId="11" xfId="0" quotePrefix="1" applyFont="1" applyFill="1" applyBorder="1" applyAlignment="1" applyProtection="1">
      <alignment wrapText="1"/>
      <protection locked="0"/>
    </xf>
    <xf numFmtId="165" fontId="27" fillId="24" borderId="27" xfId="28" applyFont="1" applyFill="1" applyBorder="1" applyAlignment="1" applyProtection="1">
      <alignment horizontal="center"/>
      <protection locked="0"/>
    </xf>
    <xf numFmtId="0" fontId="27" fillId="24" borderId="14"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0" fontId="46" fillId="24" borderId="14" xfId="0" quotePrefix="1" applyFont="1" applyFill="1" applyBorder="1" applyAlignment="1" applyProtection="1">
      <alignment wrapText="1"/>
      <protection locked="0"/>
    </xf>
    <xf numFmtId="2" fontId="27" fillId="24" borderId="0" xfId="0" applyNumberFormat="1" applyFont="1" applyFill="1" applyAlignment="1" applyProtection="1">
      <alignment horizontal="right"/>
      <protection locked="0"/>
    </xf>
    <xf numFmtId="165" fontId="27" fillId="24" borderId="12" xfId="28" applyFont="1" applyFill="1" applyBorder="1" applyAlignment="1" applyProtection="1">
      <alignment horizontal="center"/>
      <protection locked="0"/>
    </xf>
    <xf numFmtId="0" fontId="27" fillId="24" borderId="11" xfId="0" applyFont="1" applyFill="1" applyBorder="1" applyAlignment="1" applyProtection="1">
      <alignment horizontal="center"/>
      <protection locked="0"/>
    </xf>
    <xf numFmtId="165" fontId="27" fillId="24" borderId="21" xfId="0" applyNumberFormat="1" applyFont="1" applyFill="1" applyBorder="1" applyAlignment="1" applyProtection="1">
      <alignment horizontal="left"/>
      <protection locked="0"/>
    </xf>
    <xf numFmtId="165" fontId="27" fillId="24" borderId="11" xfId="0" applyNumberFormat="1" applyFont="1" applyFill="1" applyBorder="1" applyAlignment="1" applyProtection="1">
      <alignment horizontal="left"/>
      <protection locked="0"/>
    </xf>
    <xf numFmtId="165" fontId="27" fillId="24" borderId="11" xfId="0" applyNumberFormat="1" applyFont="1" applyFill="1" applyBorder="1" applyAlignment="1" applyProtection="1">
      <alignment horizontal="right"/>
      <protection locked="0"/>
    </xf>
    <xf numFmtId="165" fontId="27" fillId="24" borderId="23" xfId="0" applyNumberFormat="1" applyFont="1" applyFill="1" applyBorder="1" applyAlignment="1" applyProtection="1">
      <alignment horizontal="left"/>
      <protection locked="0"/>
    </xf>
    <xf numFmtId="165" fontId="27" fillId="24" borderId="63" xfId="0" applyNumberFormat="1" applyFont="1" applyFill="1" applyBorder="1" applyAlignment="1" applyProtection="1">
      <alignment horizontal="left"/>
      <protection locked="0"/>
    </xf>
    <xf numFmtId="165" fontId="27" fillId="24" borderId="14" xfId="0" applyNumberFormat="1" applyFont="1" applyFill="1" applyBorder="1" applyAlignment="1" applyProtection="1">
      <alignment horizontal="left"/>
      <protection locked="0"/>
    </xf>
    <xf numFmtId="165" fontId="27" fillId="24" borderId="54" xfId="28" applyFont="1" applyFill="1" applyBorder="1" applyAlignment="1" applyProtection="1">
      <alignment horizontal="center"/>
      <protection locked="0"/>
    </xf>
    <xf numFmtId="165" fontId="27" fillId="24" borderId="11" xfId="28" applyFont="1" applyFill="1" applyBorder="1" applyAlignment="1" applyProtection="1">
      <alignment horizontal="center"/>
      <protection locked="0"/>
    </xf>
    <xf numFmtId="49" fontId="27" fillId="0" borderId="11" xfId="28" applyNumberFormat="1" applyFont="1" applyFill="1" applyBorder="1" applyAlignment="1" applyProtection="1">
      <alignment horizontal="center"/>
      <protection locked="0"/>
    </xf>
    <xf numFmtId="168" fontId="39" fillId="0" borderId="11" xfId="0" applyNumberFormat="1" applyFont="1" applyBorder="1" applyAlignment="1">
      <alignment horizontal="center"/>
    </xf>
    <xf numFmtId="179" fontId="42" fillId="0" borderId="17" xfId="29" applyNumberFormat="1" applyFont="1" applyBorder="1" applyAlignment="1">
      <alignment vertical="center"/>
    </xf>
    <xf numFmtId="179" fontId="42" fillId="0" borderId="17" xfId="29" applyNumberFormat="1" applyFont="1" applyFill="1" applyBorder="1" applyAlignment="1">
      <alignment vertical="center"/>
    </xf>
    <xf numFmtId="0" fontId="27" fillId="24" borderId="10" xfId="0" applyFont="1" applyFill="1" applyBorder="1" applyAlignment="1" applyProtection="1">
      <alignment horizontal="left"/>
      <protection locked="0"/>
    </xf>
    <xf numFmtId="0" fontId="27" fillId="24" borderId="25" xfId="0" applyFont="1" applyFill="1" applyBorder="1" applyAlignment="1" applyProtection="1">
      <alignment horizontal="left"/>
      <protection locked="0"/>
    </xf>
    <xf numFmtId="0" fontId="27"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4" fillId="0" borderId="0" xfId="28" applyFont="1" applyBorder="1" applyAlignment="1" applyProtection="1">
      <alignment horizontal="center"/>
    </xf>
    <xf numFmtId="0" fontId="29" fillId="0" borderId="0" xfId="0" applyFont="1"/>
    <xf numFmtId="0" fontId="0" fillId="0" borderId="65" xfId="0" applyBorder="1"/>
    <xf numFmtId="165" fontId="0" fillId="0" borderId="65" xfId="0" applyNumberFormat="1" applyBorder="1"/>
    <xf numFmtId="0" fontId="51" fillId="0" borderId="0" xfId="41" applyFont="1"/>
    <xf numFmtId="0" fontId="52" fillId="0" borderId="0" xfId="41" applyFont="1"/>
    <xf numFmtId="0" fontId="52" fillId="0" borderId="0" xfId="41" applyFont="1" applyAlignment="1">
      <alignment horizontal="center"/>
    </xf>
    <xf numFmtId="2" fontId="52" fillId="0" borderId="0" xfId="41" applyNumberFormat="1" applyFont="1" applyAlignment="1">
      <alignment horizontal="center"/>
    </xf>
    <xf numFmtId="0" fontId="48" fillId="0" borderId="0" xfId="41"/>
    <xf numFmtId="0" fontId="48" fillId="0" borderId="0" xfId="41" applyAlignment="1">
      <alignment horizontal="center"/>
    </xf>
    <xf numFmtId="2" fontId="48" fillId="0" borderId="0" xfId="41" applyNumberFormat="1" applyAlignment="1">
      <alignment horizontal="center"/>
    </xf>
    <xf numFmtId="2" fontId="48" fillId="0" borderId="0" xfId="41" applyNumberFormat="1"/>
    <xf numFmtId="0" fontId="53" fillId="0" borderId="0" xfId="41" applyFont="1"/>
    <xf numFmtId="16" fontId="48" fillId="0" borderId="10" xfId="41" applyNumberFormat="1" applyBorder="1"/>
    <xf numFmtId="0" fontId="48" fillId="0" borderId="11" xfId="41" applyBorder="1"/>
    <xf numFmtId="2" fontId="48" fillId="0" borderId="11" xfId="41" applyNumberFormat="1" applyBorder="1" applyAlignment="1">
      <alignment horizontal="center"/>
    </xf>
    <xf numFmtId="165" fontId="48" fillId="11" borderId="11" xfId="28" applyFont="1" applyFill="1" applyBorder="1" applyAlignment="1" applyProtection="1">
      <alignment horizontal="center"/>
    </xf>
    <xf numFmtId="0" fontId="54" fillId="0" borderId="0" xfId="41" applyFont="1"/>
    <xf numFmtId="0" fontId="48" fillId="0" borderId="10" xfId="41" applyBorder="1"/>
    <xf numFmtId="0" fontId="48" fillId="0" borderId="11" xfId="41" applyBorder="1" applyAlignment="1">
      <alignment horizontal="left"/>
    </xf>
    <xf numFmtId="0" fontId="48" fillId="0" borderId="11" xfId="41" applyBorder="1" applyAlignment="1">
      <alignment horizontal="right"/>
    </xf>
    <xf numFmtId="165" fontId="54" fillId="0" borderId="23" xfId="28" applyFont="1" applyBorder="1" applyProtection="1"/>
    <xf numFmtId="0" fontId="48" fillId="0" borderId="0" xfId="42" applyAlignment="1">
      <alignment horizontal="center"/>
    </xf>
    <xf numFmtId="39" fontId="48" fillId="0" borderId="0" xfId="42" quotePrefix="1" applyNumberFormat="1" applyAlignment="1">
      <alignment horizontal="left"/>
    </xf>
    <xf numFmtId="0" fontId="48" fillId="0" borderId="0" xfId="41" quotePrefix="1"/>
    <xf numFmtId="39" fontId="48" fillId="0" borderId="0" xfId="42" applyNumberFormat="1"/>
    <xf numFmtId="39" fontId="48" fillId="0" borderId="0" xfId="42" quotePrefix="1" applyNumberFormat="1"/>
    <xf numFmtId="169" fontId="30" fillId="0" borderId="0" xfId="0" applyNumberFormat="1" applyFont="1"/>
    <xf numFmtId="0" fontId="31" fillId="0" borderId="0" xfId="0" applyFont="1" applyAlignment="1">
      <alignment horizontal="center"/>
    </xf>
    <xf numFmtId="0" fontId="31" fillId="0" borderId="0" xfId="0" applyFont="1"/>
    <xf numFmtId="171" fontId="31" fillId="0" borderId="0" xfId="0" applyNumberFormat="1" applyFont="1"/>
    <xf numFmtId="4" fontId="31" fillId="0" borderId="0" xfId="0" applyNumberFormat="1" applyFont="1"/>
    <xf numFmtId="168" fontId="31" fillId="0" borderId="0" xfId="0" applyNumberFormat="1" applyFont="1"/>
    <xf numFmtId="4" fontId="31" fillId="0" borderId="0" xfId="0" applyNumberFormat="1" applyFont="1" applyAlignment="1">
      <alignment horizontal="center" vertical="center" wrapText="1"/>
    </xf>
    <xf numFmtId="4" fontId="31" fillId="0" borderId="0" xfId="0" applyNumberFormat="1" applyFont="1" applyAlignment="1">
      <alignment horizontal="right"/>
    </xf>
    <xf numFmtId="2" fontId="31" fillId="0" borderId="0" xfId="0" applyNumberFormat="1" applyFont="1"/>
    <xf numFmtId="170" fontId="31" fillId="0" borderId="0" xfId="0" applyNumberFormat="1" applyFont="1" applyAlignment="1">
      <alignment horizontal="right"/>
    </xf>
    <xf numFmtId="171" fontId="31" fillId="0" borderId="11" xfId="0" applyNumberFormat="1" applyFont="1" applyBorder="1" applyAlignment="1">
      <alignment horizontal="center"/>
    </xf>
    <xf numFmtId="4" fontId="32" fillId="0" borderId="11" xfId="0" applyNumberFormat="1" applyFont="1" applyBorder="1" applyAlignment="1">
      <alignment horizontal="center"/>
    </xf>
    <xf numFmtId="0" fontId="32" fillId="0" borderId="11" xfId="0" applyFont="1" applyBorder="1" applyAlignment="1">
      <alignment horizontal="center"/>
    </xf>
    <xf numFmtId="168" fontId="31" fillId="0" borderId="11" xfId="0" applyNumberFormat="1" applyFont="1" applyBorder="1" applyAlignment="1">
      <alignment horizontal="center"/>
    </xf>
    <xf numFmtId="4" fontId="31" fillId="0" borderId="11" xfId="0" applyNumberFormat="1" applyFont="1" applyBorder="1" applyAlignment="1">
      <alignment horizontal="center" vertical="center" wrapText="1"/>
    </xf>
    <xf numFmtId="2" fontId="31" fillId="0" borderId="11" xfId="0" applyNumberFormat="1" applyFont="1" applyBorder="1" applyAlignment="1">
      <alignment horizontal="center"/>
    </xf>
    <xf numFmtId="4" fontId="31" fillId="0" borderId="11" xfId="0" applyNumberFormat="1" applyFont="1" applyBorder="1" applyAlignment="1">
      <alignment horizontal="center"/>
    </xf>
    <xf numFmtId="170" fontId="31" fillId="0" borderId="11" xfId="0" applyNumberFormat="1" applyFont="1" applyBorder="1" applyAlignment="1">
      <alignment horizontal="center"/>
    </xf>
    <xf numFmtId="2" fontId="32" fillId="0" borderId="11" xfId="0" applyNumberFormat="1" applyFont="1" applyBorder="1" applyAlignment="1">
      <alignment horizontal="center"/>
    </xf>
    <xf numFmtId="4" fontId="0" fillId="0" borderId="11" xfId="0" applyNumberFormat="1" applyBorder="1" applyAlignment="1">
      <alignment vertical="justify"/>
    </xf>
    <xf numFmtId="171" fontId="0" fillId="0" borderId="11" xfId="0" applyNumberFormat="1" applyBorder="1" applyAlignment="1">
      <alignment vertical="justify"/>
    </xf>
    <xf numFmtId="168" fontId="0" fillId="0" borderId="11" xfId="0" applyNumberFormat="1" applyBorder="1"/>
    <xf numFmtId="10" fontId="0" fillId="0" borderId="11" xfId="0" applyNumberFormat="1" applyBorder="1" applyAlignment="1">
      <alignment horizontal="center" vertical="center" wrapText="1"/>
    </xf>
    <xf numFmtId="10" fontId="0" fillId="0" borderId="11" xfId="0" applyNumberFormat="1" applyBorder="1" applyAlignment="1">
      <alignment vertical="justify" wrapText="1"/>
    </xf>
    <xf numFmtId="4" fontId="0" fillId="0" borderId="11" xfId="0" applyNumberFormat="1" applyBorder="1" applyAlignment="1">
      <alignment vertical="justify" wrapText="1"/>
    </xf>
    <xf numFmtId="2" fontId="0" fillId="0" borderId="11" xfId="0" applyNumberFormat="1" applyBorder="1" applyAlignment="1">
      <alignment vertical="justify"/>
    </xf>
    <xf numFmtId="168" fontId="0" fillId="0" borderId="11" xfId="0" applyNumberFormat="1" applyBorder="1" applyAlignment="1">
      <alignment vertical="justify" wrapText="1"/>
    </xf>
    <xf numFmtId="2" fontId="0" fillId="0" borderId="11" xfId="0" applyNumberFormat="1" applyBorder="1" applyAlignment="1">
      <alignment vertical="justify" wrapText="1"/>
    </xf>
    <xf numFmtId="0" fontId="0" fillId="0" borderId="62" xfId="0" applyBorder="1" applyAlignment="1">
      <alignment horizontal="center"/>
    </xf>
    <xf numFmtId="4" fontId="0" fillId="0" borderId="62" xfId="0" applyNumberFormat="1" applyBorder="1"/>
    <xf numFmtId="171" fontId="0" fillId="0" borderId="62" xfId="0" applyNumberFormat="1" applyBorder="1" applyAlignment="1">
      <alignment vertical="justify"/>
    </xf>
    <xf numFmtId="171" fontId="0" fillId="0" borderId="62" xfId="0" applyNumberFormat="1" applyBorder="1"/>
    <xf numFmtId="168" fontId="0" fillId="0" borderId="62" xfId="0" applyNumberFormat="1" applyBorder="1"/>
    <xf numFmtId="10" fontId="0" fillId="0" borderId="62" xfId="0" applyNumberFormat="1" applyBorder="1"/>
    <xf numFmtId="10" fontId="0" fillId="0" borderId="62" xfId="0" applyNumberFormat="1" applyBorder="1" applyAlignment="1">
      <alignment horizontal="center" vertical="center" wrapText="1"/>
    </xf>
    <xf numFmtId="10" fontId="0" fillId="0" borderId="62" xfId="0" applyNumberFormat="1" applyBorder="1" applyAlignment="1">
      <alignment vertical="justify" wrapText="1"/>
    </xf>
    <xf numFmtId="4" fontId="0" fillId="0" borderId="62" xfId="0" applyNumberFormat="1" applyBorder="1" applyAlignment="1">
      <alignment vertical="justify" wrapText="1"/>
    </xf>
    <xf numFmtId="2" fontId="0" fillId="0" borderId="62" xfId="0" applyNumberFormat="1" applyBorder="1"/>
    <xf numFmtId="4" fontId="0" fillId="0" borderId="62" xfId="0" applyNumberFormat="1" applyBorder="1" applyAlignment="1">
      <alignment vertical="justify"/>
    </xf>
    <xf numFmtId="2" fontId="0" fillId="0" borderId="62" xfId="0" applyNumberFormat="1" applyBorder="1" applyAlignment="1">
      <alignment vertical="justify"/>
    </xf>
    <xf numFmtId="2" fontId="0" fillId="0" borderId="62" xfId="0" applyNumberFormat="1" applyBorder="1" applyAlignment="1">
      <alignment vertical="justify" wrapText="1"/>
    </xf>
    <xf numFmtId="16" fontId="28" fillId="0" borderId="66" xfId="0" applyNumberFormat="1" applyFont="1" applyBorder="1"/>
    <xf numFmtId="0" fontId="28" fillId="0" borderId="66" xfId="0" applyFont="1" applyBorder="1" applyAlignment="1">
      <alignment horizontal="center"/>
    </xf>
    <xf numFmtId="171" fontId="28" fillId="0" borderId="66" xfId="0" applyNumberFormat="1" applyFont="1" applyBorder="1"/>
    <xf numFmtId="10" fontId="28" fillId="0" borderId="66" xfId="0" applyNumberFormat="1" applyFont="1" applyBorder="1"/>
    <xf numFmtId="168" fontId="28" fillId="0" borderId="66" xfId="0" applyNumberFormat="1" applyFont="1" applyBorder="1"/>
    <xf numFmtId="10" fontId="28" fillId="0" borderId="66" xfId="0" applyNumberFormat="1" applyFont="1" applyBorder="1" applyAlignment="1">
      <alignment horizontal="center" vertical="center" wrapText="1"/>
    </xf>
    <xf numFmtId="10" fontId="28" fillId="0" borderId="66" xfId="0" applyNumberFormat="1" applyFont="1" applyBorder="1" applyAlignment="1">
      <alignment vertical="justify" wrapText="1"/>
    </xf>
    <xf numFmtId="2" fontId="28" fillId="0" borderId="66" xfId="0" applyNumberFormat="1" applyFont="1" applyBorder="1"/>
    <xf numFmtId="4" fontId="28" fillId="0" borderId="66" xfId="0" applyNumberFormat="1" applyFont="1" applyBorder="1"/>
    <xf numFmtId="4" fontId="28" fillId="0" borderId="66" xfId="0" applyNumberFormat="1" applyFont="1" applyBorder="1" applyAlignment="1">
      <alignment vertical="justify"/>
    </xf>
    <xf numFmtId="2" fontId="28" fillId="0" borderId="66" xfId="0" applyNumberFormat="1" applyFont="1" applyBorder="1" applyAlignment="1">
      <alignment vertical="justify"/>
    </xf>
    <xf numFmtId="2" fontId="28" fillId="0" borderId="66" xfId="0" applyNumberFormat="1" applyFont="1" applyBorder="1" applyAlignment="1">
      <alignment vertical="justify" wrapText="1"/>
    </xf>
    <xf numFmtId="4" fontId="28" fillId="0" borderId="66" xfId="0" applyNumberFormat="1" applyFont="1" applyBorder="1" applyAlignment="1">
      <alignment vertical="justify" wrapText="1"/>
    </xf>
    <xf numFmtId="165" fontId="31" fillId="0" borderId="0" xfId="28" applyFont="1" applyBorder="1" applyProtection="1"/>
    <xf numFmtId="171" fontId="33" fillId="0" borderId="0" xfId="0" applyNumberFormat="1" applyFont="1" applyAlignment="1">
      <alignment horizontal="center"/>
    </xf>
    <xf numFmtId="168" fontId="33" fillId="0" borderId="0" xfId="0" applyNumberFormat="1" applyFont="1" applyAlignment="1">
      <alignment horizontal="center"/>
    </xf>
    <xf numFmtId="4" fontId="33" fillId="0" borderId="0" xfId="0" applyNumberFormat="1" applyFont="1" applyAlignment="1">
      <alignment horizontal="center" vertical="center" wrapText="1"/>
    </xf>
    <xf numFmtId="4" fontId="33" fillId="0" borderId="0" xfId="0" applyNumberFormat="1" applyFont="1" applyAlignment="1">
      <alignment horizontal="center"/>
    </xf>
    <xf numFmtId="172" fontId="36" fillId="0" borderId="0" xfId="28" applyNumberFormat="1" applyFont="1" applyBorder="1" applyAlignment="1" applyProtection="1">
      <alignment horizontal="right"/>
    </xf>
    <xf numFmtId="0" fontId="31" fillId="0" borderId="11" xfId="0" applyFont="1" applyBorder="1" applyAlignment="1">
      <alignment horizontal="center"/>
    </xf>
    <xf numFmtId="169" fontId="35"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7" fontId="28"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8" fillId="0" borderId="11" xfId="0" applyNumberFormat="1" applyFont="1" applyBorder="1" applyAlignment="1">
      <alignment horizontal="center"/>
    </xf>
    <xf numFmtId="2" fontId="28" fillId="0" borderId="17" xfId="0" applyNumberFormat="1" applyFont="1" applyBorder="1" applyAlignment="1">
      <alignment horizontal="center"/>
    </xf>
    <xf numFmtId="165" fontId="28" fillId="0" borderId="11" xfId="28" applyFont="1" applyBorder="1" applyProtection="1"/>
    <xf numFmtId="174" fontId="28" fillId="0" borderId="17" xfId="28" applyNumberFormat="1" applyFont="1" applyBorder="1" applyProtection="1"/>
    <xf numFmtId="0" fontId="28" fillId="0" borderId="11" xfId="0" applyFont="1" applyBorder="1"/>
    <xf numFmtId="174" fontId="31" fillId="0" borderId="0" xfId="28" applyNumberFormat="1" applyFont="1" applyBorder="1" applyProtection="1"/>
    <xf numFmtId="174" fontId="0" fillId="0" borderId="0" xfId="0" applyNumberFormat="1"/>
    <xf numFmtId="165" fontId="23" fillId="24" borderId="0" xfId="28" applyFont="1" applyFill="1" applyBorder="1" applyProtection="1">
      <protection locked="0"/>
    </xf>
    <xf numFmtId="0" fontId="23" fillId="24" borderId="0" xfId="0" applyFont="1" applyFill="1" applyProtection="1">
      <protection locked="0"/>
    </xf>
    <xf numFmtId="165" fontId="23" fillId="24" borderId="0" xfId="0" applyNumberFormat="1" applyFont="1" applyFill="1" applyProtection="1">
      <protection locked="0"/>
    </xf>
    <xf numFmtId="0" fontId="27" fillId="24" borderId="0" xfId="0" applyFont="1" applyFill="1" applyProtection="1">
      <protection locked="0"/>
    </xf>
    <xf numFmtId="180" fontId="0" fillId="0" borderId="0" xfId="0" applyNumberFormat="1" applyAlignment="1">
      <alignment horizontal="right" vertical="center"/>
    </xf>
    <xf numFmtId="165" fontId="46" fillId="24" borderId="10" xfId="0" applyNumberFormat="1" applyFont="1" applyFill="1" applyBorder="1" applyAlignment="1">
      <alignment horizontal="left"/>
    </xf>
    <xf numFmtId="173" fontId="47" fillId="0" borderId="11" xfId="44" applyNumberFormat="1" applyFont="1" applyBorder="1" applyAlignment="1">
      <alignment horizontal="center"/>
    </xf>
    <xf numFmtId="16" fontId="23" fillId="24" borderId="0" xfId="28" applyNumberFormat="1" applyFont="1" applyFill="1" applyBorder="1" applyProtection="1">
      <protection locked="0"/>
    </xf>
    <xf numFmtId="173" fontId="48" fillId="0" borderId="67" xfId="0" applyNumberFormat="1" applyFont="1" applyBorder="1"/>
    <xf numFmtId="0" fontId="0" fillId="0" borderId="45" xfId="0" applyBorder="1"/>
    <xf numFmtId="0" fontId="48" fillId="0" borderId="45" xfId="0" applyFont="1" applyBorder="1"/>
    <xf numFmtId="164" fontId="42" fillId="0" borderId="11" xfId="29" applyFont="1" applyFill="1" applyBorder="1"/>
    <xf numFmtId="164" fontId="42" fillId="0" borderId="0" xfId="29" applyFont="1" applyFill="1"/>
    <xf numFmtId="164" fontId="43" fillId="25" borderId="11" xfId="29" applyFont="1" applyFill="1" applyBorder="1" applyAlignment="1">
      <alignment vertical="center"/>
    </xf>
    <xf numFmtId="179" fontId="43" fillId="0" borderId="0" xfId="29" applyNumberFormat="1" applyFont="1" applyFill="1" applyBorder="1" applyAlignment="1">
      <alignment vertical="center"/>
    </xf>
    <xf numFmtId="179" fontId="27" fillId="24" borderId="21" xfId="29" applyNumberFormat="1" applyFont="1" applyFill="1" applyBorder="1" applyAlignment="1" applyProtection="1">
      <alignment horizontal="right" vertical="center"/>
    </xf>
    <xf numFmtId="179" fontId="27" fillId="24" borderId="17" xfId="29" applyNumberFormat="1" applyFont="1" applyFill="1" applyBorder="1" applyAlignment="1" applyProtection="1">
      <alignment horizontal="right" vertical="center"/>
    </xf>
    <xf numFmtId="179" fontId="27" fillId="0" borderId="11" xfId="29" applyNumberFormat="1" applyFont="1" applyFill="1" applyBorder="1" applyAlignment="1" applyProtection="1">
      <alignment horizontal="right"/>
    </xf>
    <xf numFmtId="179" fontId="27" fillId="24" borderId="11" xfId="29" applyNumberFormat="1" applyFont="1" applyFill="1" applyBorder="1" applyAlignment="1" applyProtection="1">
      <alignment horizontal="right" vertical="center"/>
    </xf>
    <xf numFmtId="179" fontId="23" fillId="20" borderId="11" xfId="29" applyNumberFormat="1" applyFont="1" applyFill="1" applyBorder="1" applyAlignment="1" applyProtection="1">
      <alignment horizontal="right"/>
    </xf>
    <xf numFmtId="179" fontId="27" fillId="24" borderId="11" xfId="29" applyNumberFormat="1" applyFont="1" applyFill="1" applyBorder="1" applyAlignment="1" applyProtection="1">
      <alignment horizontal="right"/>
    </xf>
    <xf numFmtId="179" fontId="27" fillId="24" borderId="14" xfId="29" applyNumberFormat="1" applyFont="1" applyFill="1" applyBorder="1" applyAlignment="1" applyProtection="1">
      <alignment horizontal="right"/>
    </xf>
    <xf numFmtId="179" fontId="27" fillId="24" borderId="23" xfId="29" applyNumberFormat="1" applyFont="1" applyFill="1" applyBorder="1" applyAlignment="1" applyProtection="1">
      <alignment horizontal="right"/>
    </xf>
    <xf numFmtId="10" fontId="42" fillId="0" borderId="0" xfId="50" applyNumberFormat="1" applyFont="1" applyFill="1" applyBorder="1"/>
    <xf numFmtId="10" fontId="43" fillId="0" borderId="11" xfId="50" applyNumberFormat="1" applyFont="1" applyFill="1" applyBorder="1"/>
    <xf numFmtId="10" fontId="42" fillId="0" borderId="0" xfId="50" applyNumberFormat="1" applyFont="1" applyFill="1" applyBorder="1" applyAlignment="1">
      <alignment vertical="center"/>
    </xf>
    <xf numFmtId="10" fontId="43" fillId="27" borderId="0" xfId="50" applyNumberFormat="1" applyFont="1" applyFill="1" applyBorder="1"/>
    <xf numFmtId="10" fontId="43" fillId="0" borderId="11" xfId="50" applyNumberFormat="1" applyFont="1" applyFill="1" applyBorder="1" applyAlignment="1">
      <alignment vertical="center"/>
    </xf>
    <xf numFmtId="0" fontId="42" fillId="28" borderId="0" xfId="0" applyFont="1" applyFill="1"/>
    <xf numFmtId="0" fontId="50" fillId="28" borderId="0" xfId="0" applyFont="1" applyFill="1"/>
    <xf numFmtId="179" fontId="42" fillId="28" borderId="0" xfId="29" applyNumberFormat="1" applyFont="1" applyFill="1" applyBorder="1" applyAlignment="1">
      <alignment vertical="center"/>
    </xf>
    <xf numFmtId="0" fontId="42" fillId="28" borderId="0" xfId="0" applyFont="1" applyFill="1" applyAlignment="1">
      <alignment horizontal="right"/>
    </xf>
    <xf numFmtId="166" fontId="42" fillId="28" borderId="0" xfId="0" applyNumberFormat="1" applyFont="1" applyFill="1" applyAlignment="1">
      <alignment horizontal="right"/>
    </xf>
    <xf numFmtId="166" fontId="42" fillId="28" borderId="0" xfId="0" applyNumberFormat="1" applyFont="1" applyFill="1"/>
    <xf numFmtId="10" fontId="42" fillId="28" borderId="0" xfId="0" applyNumberFormat="1" applyFont="1" applyFill="1"/>
    <xf numFmtId="165" fontId="43" fillId="28" borderId="0" xfId="0" applyNumberFormat="1" applyFont="1" applyFill="1" applyAlignment="1">
      <alignment horizontal="right"/>
    </xf>
    <xf numFmtId="166" fontId="43" fillId="28" borderId="0" xfId="50" applyNumberFormat="1" applyFont="1" applyFill="1" applyBorder="1" applyAlignment="1">
      <alignment vertical="center"/>
    </xf>
    <xf numFmtId="179" fontId="43" fillId="25" borderId="13" xfId="29" applyNumberFormat="1" applyFont="1" applyFill="1" applyBorder="1" applyAlignment="1">
      <alignment vertical="center"/>
    </xf>
    <xf numFmtId="179" fontId="43" fillId="25" borderId="19" xfId="29" applyNumberFormat="1" applyFont="1" applyFill="1" applyBorder="1" applyAlignment="1">
      <alignment vertical="center"/>
    </xf>
    <xf numFmtId="166" fontId="43" fillId="25" borderId="19" xfId="50" applyNumberFormat="1" applyFont="1" applyFill="1" applyBorder="1" applyAlignment="1">
      <alignment vertical="center"/>
    </xf>
    <xf numFmtId="165" fontId="43" fillId="0" borderId="17" xfId="0" applyNumberFormat="1" applyFont="1" applyBorder="1" applyAlignment="1">
      <alignment horizontal="right"/>
    </xf>
    <xf numFmtId="0" fontId="42" fillId="0" borderId="17" xfId="0" applyFont="1" applyBorder="1"/>
    <xf numFmtId="179" fontId="43" fillId="4" borderId="11" xfId="29" applyNumberFormat="1" applyFont="1" applyFill="1" applyBorder="1" applyAlignment="1">
      <alignment horizontal="center"/>
    </xf>
    <xf numFmtId="0" fontId="45" fillId="0" borderId="0" xfId="0" applyFont="1"/>
    <xf numFmtId="0" fontId="45" fillId="0" borderId="45" xfId="0" applyFont="1" applyBorder="1"/>
    <xf numFmtId="0" fontId="0" fillId="0" borderId="55" xfId="0" applyBorder="1" applyAlignment="1">
      <alignment horizontal="center" vertical="center"/>
    </xf>
    <xf numFmtId="167" fontId="0" fillId="0" borderId="55" xfId="28" applyNumberFormat="1" applyFont="1" applyBorder="1" applyAlignment="1">
      <alignment horizontal="center" vertical="center" wrapText="1"/>
    </xf>
    <xf numFmtId="0" fontId="0" fillId="0" borderId="68" xfId="0" applyBorder="1"/>
    <xf numFmtId="0" fontId="48" fillId="0" borderId="36" xfId="0" applyFont="1" applyBorder="1"/>
    <xf numFmtId="0" fontId="0" fillId="0" borderId="26" xfId="0" applyBorder="1"/>
    <xf numFmtId="0" fontId="45" fillId="0" borderId="26" xfId="0" applyFont="1" applyBorder="1"/>
    <xf numFmtId="167" fontId="33" fillId="30" borderId="11" xfId="28" applyNumberFormat="1" applyFont="1" applyFill="1" applyBorder="1" applyAlignment="1" applyProtection="1">
      <alignment horizontal="center"/>
    </xf>
    <xf numFmtId="168" fontId="37" fillId="30" borderId="13" xfId="0" applyNumberFormat="1" applyFont="1" applyFill="1" applyBorder="1" applyAlignment="1">
      <alignment horizontal="center" vertical="center" wrapText="1"/>
    </xf>
    <xf numFmtId="167" fontId="33" fillId="31" borderId="11" xfId="28" applyNumberFormat="1" applyFont="1" applyFill="1" applyBorder="1" applyAlignment="1" applyProtection="1">
      <alignment horizontal="center"/>
    </xf>
    <xf numFmtId="168" fontId="37" fillId="31" borderId="13" xfId="0" applyNumberFormat="1" applyFont="1" applyFill="1" applyBorder="1" applyAlignment="1">
      <alignment horizontal="center" vertical="center" wrapText="1"/>
    </xf>
    <xf numFmtId="167" fontId="33" fillId="32" borderId="11" xfId="28" applyNumberFormat="1" applyFont="1" applyFill="1" applyBorder="1" applyAlignment="1" applyProtection="1">
      <alignment horizontal="center"/>
    </xf>
    <xf numFmtId="168" fontId="37" fillId="32" borderId="13" xfId="0" applyNumberFormat="1" applyFont="1" applyFill="1" applyBorder="1" applyAlignment="1">
      <alignment horizontal="center" vertical="center" wrapText="1"/>
    </xf>
    <xf numFmtId="167" fontId="33" fillId="27" borderId="17" xfId="28" applyNumberFormat="1" applyFont="1" applyFill="1" applyBorder="1" applyAlignment="1" applyProtection="1">
      <alignment horizontal="center"/>
    </xf>
    <xf numFmtId="0" fontId="28" fillId="27" borderId="11" xfId="0" applyFont="1" applyFill="1" applyBorder="1"/>
    <xf numFmtId="173" fontId="45" fillId="0" borderId="55" xfId="0" applyNumberFormat="1" applyFont="1" applyBorder="1" applyAlignment="1">
      <alignment horizontal="center" vertical="center"/>
    </xf>
    <xf numFmtId="179" fontId="55" fillId="0" borderId="0" xfId="29" applyNumberFormat="1" applyFont="1" applyProtection="1"/>
    <xf numFmtId="0" fontId="27" fillId="24" borderId="56" xfId="0" applyFont="1" applyFill="1" applyBorder="1"/>
    <xf numFmtId="0" fontId="27" fillId="24" borderId="47" xfId="0" applyFont="1" applyFill="1" applyBorder="1"/>
    <xf numFmtId="0" fontId="27" fillId="24" borderId="10" xfId="0" applyFont="1" applyFill="1" applyBorder="1"/>
    <xf numFmtId="0" fontId="27" fillId="24" borderId="49" xfId="0" applyFont="1" applyFill="1" applyBorder="1"/>
    <xf numFmtId="4" fontId="27" fillId="24" borderId="10" xfId="0" applyNumberFormat="1" applyFont="1" applyFill="1" applyBorder="1"/>
    <xf numFmtId="4" fontId="27" fillId="24" borderId="49" xfId="0" applyNumberFormat="1" applyFont="1" applyFill="1" applyBorder="1"/>
    <xf numFmtId="165" fontId="27" fillId="24" borderId="10" xfId="0" applyNumberFormat="1" applyFont="1" applyFill="1" applyBorder="1"/>
    <xf numFmtId="165" fontId="27" fillId="24" borderId="49" xfId="0" applyNumberFormat="1" applyFont="1" applyFill="1" applyBorder="1"/>
    <xf numFmtId="39" fontId="27" fillId="24" borderId="49" xfId="0" applyNumberFormat="1" applyFont="1" applyFill="1" applyBorder="1"/>
    <xf numFmtId="0" fontId="23" fillId="24" borderId="57" xfId="0" applyFont="1" applyFill="1" applyBorder="1"/>
    <xf numFmtId="0" fontId="23" fillId="24" borderId="24" xfId="0" applyFont="1" applyFill="1" applyBorder="1"/>
    <xf numFmtId="0" fontId="45" fillId="0" borderId="11" xfId="0" applyFont="1" applyBorder="1" applyAlignment="1" applyProtection="1">
      <alignment horizontal="center"/>
      <protection locked="0"/>
    </xf>
    <xf numFmtId="0" fontId="45" fillId="0" borderId="11" xfId="0" quotePrefix="1" applyFont="1" applyBorder="1" applyAlignment="1" applyProtection="1">
      <alignment horizontal="center"/>
      <protection locked="0"/>
    </xf>
    <xf numFmtId="0" fontId="45" fillId="0" borderId="55" xfId="0" applyFont="1" applyBorder="1"/>
    <xf numFmtId="2" fontId="0" fillId="0" borderId="40" xfId="0" applyNumberFormat="1" applyBorder="1" applyAlignment="1">
      <alignment vertical="center"/>
    </xf>
    <xf numFmtId="165" fontId="0" fillId="0" borderId="70" xfId="0" applyNumberFormat="1" applyBorder="1" applyAlignment="1">
      <alignment vertical="center"/>
    </xf>
    <xf numFmtId="167" fontId="45" fillId="0" borderId="11" xfId="0" quotePrefix="1" applyNumberFormat="1" applyFont="1" applyBorder="1" applyAlignment="1" applyProtection="1">
      <alignment horizontal="center"/>
      <protection locked="0"/>
    </xf>
    <xf numFmtId="167" fontId="0" fillId="0" borderId="62" xfId="0" applyNumberFormat="1" applyBorder="1" applyAlignment="1">
      <alignment horizontal="center"/>
    </xf>
    <xf numFmtId="167" fontId="28" fillId="0" borderId="66" xfId="0" applyNumberFormat="1" applyFont="1" applyBorder="1" applyAlignment="1">
      <alignment horizontal="center"/>
    </xf>
    <xf numFmtId="9" fontId="0" fillId="0" borderId="11" xfId="50" applyFont="1" applyBorder="1" applyAlignment="1" applyProtection="1">
      <alignment horizontal="center" vertical="center"/>
      <protection locked="0"/>
    </xf>
    <xf numFmtId="10" fontId="45" fillId="0" borderId="11" xfId="50" applyNumberFormat="1" applyFont="1" applyFill="1" applyBorder="1" applyAlignment="1" applyProtection="1">
      <alignment horizontal="center" vertical="center"/>
      <protection locked="0"/>
    </xf>
    <xf numFmtId="2" fontId="39" fillId="0" borderId="11" xfId="44" applyNumberFormat="1" applyFont="1" applyBorder="1" applyAlignment="1">
      <alignment horizontal="center"/>
    </xf>
    <xf numFmtId="10" fontId="56" fillId="27" borderId="11" xfId="50" applyNumberFormat="1" applyFont="1" applyFill="1" applyBorder="1" applyAlignment="1" applyProtection="1">
      <alignment horizontal="center" vertical="center"/>
      <protection locked="0"/>
    </xf>
    <xf numFmtId="165" fontId="43" fillId="32" borderId="11" xfId="29" applyNumberFormat="1" applyFont="1" applyFill="1" applyBorder="1" applyAlignment="1">
      <alignment vertical="center"/>
    </xf>
    <xf numFmtId="169" fontId="35" fillId="0" borderId="0" xfId="0" applyNumberFormat="1" applyFont="1" applyAlignment="1">
      <alignment vertical="center"/>
    </xf>
    <xf numFmtId="165" fontId="27" fillId="24" borderId="45" xfId="0" applyNumberFormat="1" applyFont="1" applyFill="1" applyBorder="1" applyAlignment="1">
      <alignment horizontal="left"/>
    </xf>
    <xf numFmtId="181" fontId="43" fillId="25" borderId="11" xfId="29" applyNumberFormat="1" applyFont="1" applyFill="1" applyBorder="1" applyAlignment="1">
      <alignment vertical="center"/>
    </xf>
    <xf numFmtId="1" fontId="48" fillId="0" borderId="39" xfId="0" applyNumberFormat="1" applyFont="1" applyBorder="1" applyAlignment="1">
      <alignment horizontal="center" vertical="center"/>
    </xf>
    <xf numFmtId="0" fontId="38" fillId="27" borderId="11" xfId="0" applyFont="1" applyFill="1" applyBorder="1" applyAlignment="1">
      <alignment horizontal="center" vertical="center" wrapText="1"/>
    </xf>
    <xf numFmtId="10" fontId="56" fillId="27" borderId="62" xfId="50" applyNumberFormat="1" applyFont="1" applyFill="1" applyBorder="1" applyAlignment="1" applyProtection="1">
      <alignment horizontal="center" vertical="center"/>
      <protection locked="0"/>
    </xf>
    <xf numFmtId="0" fontId="38" fillId="27" borderId="11" xfId="0" applyFont="1" applyFill="1" applyBorder="1" applyAlignment="1">
      <alignment vertical="center" wrapText="1"/>
    </xf>
    <xf numFmtId="179" fontId="43" fillId="0" borderId="17" xfId="29" applyNumberFormat="1" applyFont="1" applyFill="1" applyBorder="1" applyAlignment="1">
      <alignment vertical="center" wrapText="1"/>
    </xf>
    <xf numFmtId="0" fontId="39" fillId="0" borderId="11" xfId="55" applyFont="1" applyBorder="1" applyAlignment="1">
      <alignment horizontal="left"/>
    </xf>
    <xf numFmtId="0" fontId="45" fillId="0" borderId="11" xfId="0" applyFont="1" applyBorder="1"/>
    <xf numFmtId="0" fontId="31" fillId="0" borderId="11" xfId="55" applyFont="1" applyBorder="1" applyAlignment="1">
      <alignment horizontal="left"/>
    </xf>
    <xf numFmtId="0" fontId="57" fillId="0" borderId="0" xfId="0" applyFont="1"/>
    <xf numFmtId="3" fontId="0" fillId="34" borderId="65" xfId="0" applyNumberFormat="1" applyFill="1" applyBorder="1"/>
    <xf numFmtId="0" fontId="0" fillId="0" borderId="0" xfId="0" applyAlignment="1">
      <alignment horizontal="right"/>
    </xf>
    <xf numFmtId="2" fontId="57" fillId="27" borderId="11" xfId="0" applyNumberFormat="1" applyFont="1" applyFill="1" applyBorder="1" applyAlignment="1">
      <alignment horizontal="center" vertical="center" wrapText="1"/>
    </xf>
    <xf numFmtId="0" fontId="57" fillId="27" borderId="11" xfId="0" applyFont="1" applyFill="1" applyBorder="1" applyAlignment="1">
      <alignment horizontal="center" vertical="center" wrapText="1"/>
    </xf>
    <xf numFmtId="9" fontId="57" fillId="27" borderId="11" xfId="50" applyFont="1" applyFill="1" applyBorder="1" applyAlignment="1">
      <alignment horizontal="center" vertical="center" wrapText="1"/>
    </xf>
    <xf numFmtId="2" fontId="57" fillId="33" borderId="11" xfId="0" applyNumberFormat="1" applyFont="1" applyFill="1" applyBorder="1" applyAlignment="1">
      <alignment horizontal="center"/>
    </xf>
    <xf numFmtId="10" fontId="0" fillId="0" borderId="11" xfId="50" applyNumberFormat="1" applyFont="1" applyBorder="1"/>
    <xf numFmtId="10" fontId="57" fillId="33" borderId="11" xfId="50" applyNumberFormat="1" applyFont="1" applyFill="1" applyBorder="1" applyAlignment="1">
      <alignment horizontal="center"/>
    </xf>
    <xf numFmtId="10" fontId="28" fillId="0" borderId="11" xfId="0" applyNumberFormat="1" applyFont="1" applyBorder="1"/>
    <xf numFmtId="0" fontId="57" fillId="27" borderId="11" xfId="0" applyFont="1" applyFill="1" applyBorder="1" applyAlignment="1">
      <alignment horizontal="center" vertical="center"/>
    </xf>
    <xf numFmtId="14" fontId="57" fillId="0" borderId="0" xfId="0" applyNumberFormat="1" applyFont="1" applyAlignment="1">
      <alignment horizontal="center" vertical="center"/>
    </xf>
    <xf numFmtId="2" fontId="57" fillId="0" borderId="0" xfId="0" applyNumberFormat="1" applyFont="1" applyAlignment="1">
      <alignment horizontal="center" vertical="center" wrapText="1"/>
    </xf>
    <xf numFmtId="0" fontId="57" fillId="0" borderId="0" xfId="0" applyFont="1" applyAlignment="1">
      <alignment horizontal="center" vertical="center"/>
    </xf>
    <xf numFmtId="10" fontId="0" fillId="0" borderId="11" xfId="50" applyNumberFormat="1" applyFont="1" applyBorder="1" applyAlignment="1">
      <alignment horizontal="center"/>
    </xf>
    <xf numFmtId="0" fontId="0" fillId="27" borderId="11" xfId="0" applyFill="1" applyBorder="1"/>
    <xf numFmtId="10" fontId="0" fillId="0" borderId="11" xfId="0" applyNumberFormat="1" applyBorder="1" applyAlignment="1">
      <alignment horizontal="right"/>
    </xf>
    <xf numFmtId="10" fontId="0" fillId="0" borderId="11" xfId="0" applyNumberFormat="1" applyBorder="1" applyAlignment="1">
      <alignment horizontal="center"/>
    </xf>
    <xf numFmtId="0" fontId="28" fillId="33" borderId="11" xfId="0" applyFont="1" applyFill="1" applyBorder="1"/>
    <xf numFmtId="0" fontId="39" fillId="35" borderId="11" xfId="55" applyFont="1" applyFill="1" applyBorder="1" applyAlignment="1">
      <alignment horizontal="left"/>
    </xf>
    <xf numFmtId="0" fontId="0" fillId="36" borderId="11" xfId="0" applyFill="1" applyBorder="1"/>
    <xf numFmtId="0" fontId="45" fillId="36" borderId="11" xfId="0" applyFont="1" applyFill="1" applyBorder="1"/>
    <xf numFmtId="10" fontId="0" fillId="35" borderId="17" xfId="50" applyNumberFormat="1" applyFont="1" applyFill="1" applyBorder="1"/>
    <xf numFmtId="10" fontId="0" fillId="0" borderId="17" xfId="50" applyNumberFormat="1" applyFont="1" applyBorder="1"/>
    <xf numFmtId="0" fontId="39" fillId="0" borderId="19" xfId="55" applyFont="1" applyBorder="1" applyAlignment="1">
      <alignment horizontal="left"/>
    </xf>
    <xf numFmtId="0" fontId="61" fillId="0" borderId="11" xfId="55" applyFont="1" applyBorder="1" applyAlignment="1">
      <alignment horizontal="left"/>
    </xf>
    <xf numFmtId="10" fontId="60" fillId="27" borderId="11" xfId="50" applyNumberFormat="1" applyFont="1" applyFill="1" applyBorder="1"/>
    <xf numFmtId="0" fontId="0" fillId="0" borderId="0" xfId="0" quotePrefix="1"/>
    <xf numFmtId="0" fontId="28" fillId="0" borderId="17" xfId="0" applyFont="1" applyBorder="1" applyAlignment="1">
      <alignment horizontal="center" vertical="center" wrapText="1"/>
    </xf>
    <xf numFmtId="0" fontId="28" fillId="0" borderId="19" xfId="0" applyFont="1" applyBorder="1" applyAlignment="1">
      <alignment horizontal="center" vertical="center" wrapText="1"/>
    </xf>
    <xf numFmtId="0" fontId="64" fillId="34" borderId="0" xfId="0" applyFont="1" applyFill="1"/>
    <xf numFmtId="0" fontId="0" fillId="0" borderId="11" xfId="0" applyBorder="1" applyAlignment="1">
      <alignment horizontal="center" vertical="center" wrapText="1"/>
    </xf>
    <xf numFmtId="43" fontId="0" fillId="0" borderId="11" xfId="0" applyNumberFormat="1" applyBorder="1"/>
    <xf numFmtId="9" fontId="0" fillId="0" borderId="11" xfId="0" applyNumberFormat="1" applyBorder="1"/>
    <xf numFmtId="165" fontId="45" fillId="0" borderId="11" xfId="28" applyFont="1" applyBorder="1" applyProtection="1">
      <protection locked="0"/>
    </xf>
    <xf numFmtId="165" fontId="45" fillId="0" borderId="11" xfId="28" applyFont="1" applyBorder="1" applyAlignment="1" applyProtection="1">
      <alignment wrapText="1"/>
      <protection locked="0"/>
    </xf>
    <xf numFmtId="49" fontId="0" fillId="0" borderId="0" xfId="0" applyNumberFormat="1" applyAlignment="1">
      <alignment horizontal="left" vertical="center"/>
    </xf>
    <xf numFmtId="166" fontId="0" fillId="0" borderId="0" xfId="0" applyNumberFormat="1"/>
    <xf numFmtId="0" fontId="22" fillId="0" borderId="0" xfId="41" applyFont="1"/>
    <xf numFmtId="0" fontId="43" fillId="0" borderId="14" xfId="0" applyFont="1" applyBorder="1" applyAlignment="1">
      <alignment horizontal="center" vertical="center" wrapText="1"/>
    </xf>
    <xf numFmtId="164" fontId="43" fillId="0" borderId="14" xfId="29" applyFont="1" applyFill="1" applyBorder="1" applyAlignment="1">
      <alignment horizontal="center" vertical="center" wrapText="1"/>
    </xf>
    <xf numFmtId="178" fontId="42" fillId="0" borderId="11" xfId="0" applyNumberFormat="1" applyFont="1" applyBorder="1" applyAlignment="1">
      <alignment horizontal="center" vertical="center" wrapText="1"/>
    </xf>
    <xf numFmtId="2" fontId="39" fillId="0" borderId="11" xfId="45" applyNumberFormat="1" applyFont="1" applyBorder="1" applyAlignment="1">
      <alignment horizontal="center"/>
    </xf>
    <xf numFmtId="10" fontId="42" fillId="0" borderId="11" xfId="50" applyNumberFormat="1" applyFont="1" applyFill="1" applyBorder="1" applyAlignment="1">
      <alignment vertical="center"/>
    </xf>
    <xf numFmtId="179" fontId="42" fillId="0" borderId="19" xfId="29" applyNumberFormat="1" applyFont="1" applyFill="1" applyBorder="1" applyAlignment="1">
      <alignment vertical="center"/>
    </xf>
    <xf numFmtId="2" fontId="36" fillId="0" borderId="11" xfId="46" applyNumberFormat="1" applyFont="1" applyBorder="1"/>
    <xf numFmtId="2" fontId="42" fillId="0" borderId="0" xfId="0" applyNumberFormat="1" applyFont="1"/>
    <xf numFmtId="10" fontId="43" fillId="29" borderId="11" xfId="50" applyNumberFormat="1" applyFont="1" applyFill="1" applyBorder="1" applyAlignment="1">
      <alignment vertical="center"/>
    </xf>
    <xf numFmtId="10" fontId="43" fillId="4" borderId="11" xfId="50" applyNumberFormat="1" applyFont="1" applyFill="1" applyBorder="1" applyAlignment="1">
      <alignment vertical="center"/>
    </xf>
    <xf numFmtId="10" fontId="43" fillId="25" borderId="11" xfId="50" applyNumberFormat="1" applyFont="1" applyFill="1" applyBorder="1"/>
    <xf numFmtId="182" fontId="43" fillId="0" borderId="11" xfId="29" applyNumberFormat="1" applyFont="1" applyFill="1" applyBorder="1" applyAlignment="1">
      <alignment vertical="center"/>
    </xf>
    <xf numFmtId="166" fontId="43" fillId="0" borderId="0" xfId="51" applyNumberFormat="1" applyFont="1" applyFill="1" applyBorder="1" applyAlignment="1">
      <alignment vertical="center"/>
    </xf>
    <xf numFmtId="10" fontId="42" fillId="28" borderId="0" xfId="0" applyNumberFormat="1" applyFont="1" applyFill="1" applyAlignment="1">
      <alignment horizontal="right"/>
    </xf>
    <xf numFmtId="10" fontId="0" fillId="0" borderId="0" xfId="0" applyNumberFormat="1"/>
    <xf numFmtId="179" fontId="43" fillId="37" borderId="11" xfId="56" applyNumberFormat="1" applyFont="1" applyFill="1" applyBorder="1" applyAlignment="1">
      <alignment horizontal="center" vertical="center" wrapText="1"/>
    </xf>
    <xf numFmtId="179" fontId="43" fillId="26" borderId="14" xfId="56" applyNumberFormat="1" applyFont="1" applyFill="1" applyBorder="1" applyAlignment="1">
      <alignment horizontal="center" vertical="center" wrapText="1"/>
    </xf>
    <xf numFmtId="179" fontId="43" fillId="26" borderId="11" xfId="56" applyNumberFormat="1" applyFont="1" applyFill="1" applyBorder="1" applyAlignment="1">
      <alignment horizontal="center" vertical="center" wrapText="1"/>
    </xf>
    <xf numFmtId="179" fontId="43" fillId="37" borderId="14" xfId="56" applyNumberFormat="1" applyFont="1" applyFill="1" applyBorder="1" applyAlignment="1">
      <alignment horizontal="center" vertical="center" wrapText="1"/>
    </xf>
    <xf numFmtId="179" fontId="43" fillId="0" borderId="17" xfId="29" applyNumberFormat="1" applyFont="1" applyFill="1" applyBorder="1" applyAlignment="1">
      <alignment horizontal="center" vertical="center" wrapText="1"/>
    </xf>
    <xf numFmtId="179" fontId="43" fillId="4" borderId="14" xfId="29" applyNumberFormat="1" applyFont="1" applyFill="1" applyBorder="1" applyAlignment="1">
      <alignment horizontal="center" vertical="center" wrapText="1"/>
    </xf>
    <xf numFmtId="10" fontId="43" fillId="28" borderId="0" xfId="0" applyNumberFormat="1" applyFont="1" applyFill="1"/>
    <xf numFmtId="2" fontId="0" fillId="0" borderId="0" xfId="28" applyNumberFormat="1" applyFont="1" applyAlignment="1"/>
    <xf numFmtId="2" fontId="28" fillId="0" borderId="20" xfId="28" applyNumberFormat="1" applyFont="1" applyFill="1" applyBorder="1" applyAlignment="1" applyProtection="1">
      <alignment horizontal="center" vertical="center"/>
    </xf>
    <xf numFmtId="2" fontId="28" fillId="0" borderId="11" xfId="28" applyNumberFormat="1" applyFont="1" applyFill="1" applyBorder="1" applyAlignment="1" applyProtection="1">
      <alignment horizontal="center" vertical="center"/>
    </xf>
    <xf numFmtId="2" fontId="28" fillId="0" borderId="14" xfId="28" applyNumberFormat="1" applyFont="1" applyBorder="1" applyAlignment="1">
      <alignment horizontal="center" vertical="center"/>
    </xf>
    <xf numFmtId="2" fontId="28"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5" xfId="28" applyNumberFormat="1" applyFont="1" applyBorder="1" applyAlignment="1"/>
    <xf numFmtId="2" fontId="0" fillId="0" borderId="85" xfId="28" applyNumberFormat="1" applyFont="1" applyBorder="1" applyAlignment="1" applyProtection="1">
      <alignment horizontal="center" vertical="center"/>
      <protection hidden="1"/>
    </xf>
    <xf numFmtId="0" fontId="28" fillId="0" borderId="0" xfId="41" applyFont="1"/>
    <xf numFmtId="0" fontId="43" fillId="0" borderId="14" xfId="0" applyFont="1" applyBorder="1" applyAlignment="1">
      <alignment horizontal="center" vertical="center" wrapText="1"/>
    </xf>
    <xf numFmtId="179" fontId="43" fillId="0" borderId="17" xfId="29" applyNumberFormat="1" applyFont="1" applyFill="1" applyBorder="1" applyAlignment="1">
      <alignment horizontal="center" vertical="center" wrapText="1"/>
    </xf>
    <xf numFmtId="164" fontId="43" fillId="0" borderId="14" xfId="29" applyFont="1" applyFill="1" applyBorder="1" applyAlignment="1">
      <alignment horizontal="center" vertical="center" wrapText="1"/>
    </xf>
    <xf numFmtId="179" fontId="43" fillId="4" borderId="14" xfId="29" applyNumberFormat="1" applyFont="1" applyFill="1" applyBorder="1" applyAlignment="1">
      <alignment horizontal="center" vertical="center" wrapText="1"/>
    </xf>
    <xf numFmtId="0" fontId="57" fillId="27" borderId="11" xfId="0" applyFont="1" applyFill="1" applyBorder="1" applyAlignment="1">
      <alignment horizontal="center" vertical="center"/>
    </xf>
    <xf numFmtId="0" fontId="45" fillId="0" borderId="11" xfId="0" applyFont="1" applyBorder="1" applyAlignment="1">
      <alignment wrapText="1"/>
    </xf>
    <xf numFmtId="4" fontId="0" fillId="0" borderId="11" xfId="0" applyNumberFormat="1" applyBorder="1" applyAlignment="1">
      <alignment vertical="center" wrapText="1"/>
    </xf>
    <xf numFmtId="4" fontId="0" fillId="0" borderId="11" xfId="0" applyNumberFormat="1" applyBorder="1" applyAlignment="1">
      <alignment vertical="center"/>
    </xf>
    <xf numFmtId="10" fontId="45" fillId="27" borderId="11" xfId="50" applyNumberFormat="1" applyFont="1" applyFill="1" applyBorder="1" applyAlignment="1" applyProtection="1">
      <alignment horizontal="center" vertical="center"/>
      <protection locked="0"/>
    </xf>
    <xf numFmtId="4" fontId="0" fillId="0" borderId="62" xfId="0" applyNumberFormat="1" applyBorder="1" applyAlignment="1">
      <alignment vertical="center" wrapText="1"/>
    </xf>
    <xf numFmtId="4" fontId="0" fillId="0" borderId="62" xfId="0" applyNumberFormat="1" applyBorder="1" applyAlignment="1">
      <alignment vertical="center"/>
    </xf>
    <xf numFmtId="10" fontId="45" fillId="27" borderId="62" xfId="50" applyNumberFormat="1" applyFont="1" applyFill="1" applyBorder="1" applyAlignment="1" applyProtection="1">
      <alignment horizontal="center" vertical="center"/>
      <protection locked="0"/>
    </xf>
    <xf numFmtId="4" fontId="28" fillId="0" borderId="66" xfId="0" applyNumberFormat="1" applyFont="1" applyBorder="1" applyAlignment="1">
      <alignment vertical="center"/>
    </xf>
    <xf numFmtId="171" fontId="28" fillId="0" borderId="66" xfId="0" applyNumberFormat="1" applyFont="1" applyBorder="1" applyAlignment="1">
      <alignment vertical="center"/>
    </xf>
    <xf numFmtId="174" fontId="27" fillId="24" borderId="11" xfId="28" applyNumberFormat="1" applyFont="1" applyFill="1" applyBorder="1" applyAlignment="1" applyProtection="1">
      <alignment horizontal="center"/>
      <protection locked="0"/>
    </xf>
    <xf numFmtId="174" fontId="23" fillId="24" borderId="0" xfId="0" applyNumberFormat="1" applyFont="1" applyFill="1"/>
    <xf numFmtId="173" fontId="48" fillId="0" borderId="86" xfId="0" applyNumberFormat="1" applyFont="1" applyBorder="1"/>
    <xf numFmtId="0" fontId="45" fillId="0" borderId="69" xfId="0" applyFont="1" applyBorder="1"/>
    <xf numFmtId="0" fontId="0" fillId="0" borderId="0" xfId="0" applyBorder="1"/>
    <xf numFmtId="0" fontId="45" fillId="0" borderId="0" xfId="0" applyFont="1" applyBorder="1"/>
    <xf numFmtId="0" fontId="48" fillId="0" borderId="0" xfId="0" applyFont="1" applyBorder="1"/>
    <xf numFmtId="171" fontId="0" fillId="0" borderId="11" xfId="0" applyNumberFormat="1" applyBorder="1" applyAlignment="1" applyProtection="1">
      <alignment vertical="justify" wrapText="1"/>
      <protection locked="0"/>
    </xf>
    <xf numFmtId="0" fontId="28" fillId="0" borderId="17" xfId="0" applyFont="1" applyBorder="1" applyAlignment="1">
      <alignment horizontal="center" vertical="center" wrapText="1"/>
    </xf>
    <xf numFmtId="165" fontId="28" fillId="0" borderId="11" xfId="28" applyFont="1" applyBorder="1"/>
    <xf numFmtId="1" fontId="43" fillId="0" borderId="0" xfId="50" applyNumberFormat="1" applyFont="1" applyFill="1" applyBorder="1" applyAlignment="1">
      <alignment vertical="center"/>
    </xf>
    <xf numFmtId="174" fontId="23" fillId="24" borderId="0" xfId="28" applyNumberFormat="1" applyFont="1" applyFill="1" applyBorder="1" applyAlignment="1" applyProtection="1">
      <alignment horizontal="center"/>
      <protection locked="0"/>
    </xf>
    <xf numFmtId="177" fontId="23" fillId="24" borderId="0" xfId="0" applyNumberFormat="1" applyFont="1" applyFill="1"/>
    <xf numFmtId="0" fontId="0" fillId="0" borderId="11" xfId="0" applyBorder="1" applyAlignment="1">
      <alignment horizontal="center"/>
    </xf>
    <xf numFmtId="0" fontId="28" fillId="0" borderId="17" xfId="0" applyFont="1" applyBorder="1" applyAlignment="1">
      <alignment horizontal="center" vertical="center" wrapText="1"/>
    </xf>
    <xf numFmtId="0" fontId="0" fillId="0" borderId="11" xfId="0" applyBorder="1" applyAlignment="1">
      <alignment horizontal="center"/>
    </xf>
    <xf numFmtId="181" fontId="42" fillId="0" borderId="0" xfId="29" applyNumberFormat="1" applyFont="1" applyFill="1" applyBorder="1" applyAlignment="1">
      <alignment vertical="center"/>
    </xf>
    <xf numFmtId="167" fontId="33" fillId="32" borderId="13" xfId="28" applyNumberFormat="1" applyFont="1" applyFill="1" applyBorder="1" applyAlignment="1" applyProtection="1">
      <alignment horizontal="center"/>
    </xf>
    <xf numFmtId="167" fontId="33" fillId="30" borderId="13" xfId="28" applyNumberFormat="1" applyFont="1" applyFill="1" applyBorder="1" applyAlignment="1" applyProtection="1">
      <alignment horizontal="center"/>
    </xf>
    <xf numFmtId="167" fontId="33" fillId="31" borderId="13" xfId="28" applyNumberFormat="1" applyFont="1" applyFill="1" applyBorder="1" applyAlignment="1" applyProtection="1">
      <alignment horizontal="center"/>
    </xf>
    <xf numFmtId="169" fontId="35" fillId="0" borderId="11" xfId="0" applyNumberFormat="1" applyFont="1" applyBorder="1" applyAlignment="1">
      <alignment vertical="justify" wrapText="1"/>
    </xf>
    <xf numFmtId="0" fontId="58" fillId="0" borderId="11" xfId="0" applyFont="1" applyBorder="1" applyAlignment="1">
      <alignment horizontal="center" vertical="center" wrapText="1"/>
    </xf>
    <xf numFmtId="172" fontId="31" fillId="0" borderId="11" xfId="28" applyNumberFormat="1" applyFont="1" applyFill="1" applyBorder="1" applyProtection="1"/>
    <xf numFmtId="167" fontId="45" fillId="0" borderId="11" xfId="28" applyNumberFormat="1" applyFont="1" applyFill="1" applyBorder="1" applyProtection="1"/>
    <xf numFmtId="0" fontId="28" fillId="35" borderId="11" xfId="0" applyFont="1" applyFill="1" applyBorder="1"/>
    <xf numFmtId="0" fontId="28" fillId="0" borderId="11" xfId="28" applyNumberFormat="1" applyFont="1" applyBorder="1" applyProtection="1"/>
    <xf numFmtId="0" fontId="57" fillId="27" borderId="11" xfId="0" applyFont="1" applyFill="1" applyBorder="1" applyAlignment="1">
      <alignment horizontal="center" vertical="center" wrapText="1"/>
    </xf>
    <xf numFmtId="10" fontId="0" fillId="0" borderId="11" xfId="0" applyNumberFormat="1" applyBorder="1" applyAlignment="1">
      <alignment horizontal="center" vertical="center"/>
    </xf>
    <xf numFmtId="0" fontId="57" fillId="0" borderId="11" xfId="0" applyFont="1" applyBorder="1" applyAlignment="1">
      <alignment horizontal="left" vertical="center"/>
    </xf>
    <xf numFmtId="0" fontId="0" fillId="0" borderId="0" xfId="0" applyAlignment="1">
      <alignment vertical="top" wrapText="1"/>
    </xf>
    <xf numFmtId="0" fontId="0" fillId="0" borderId="11" xfId="0" applyBorder="1" applyAlignment="1">
      <alignment vertical="top" wrapText="1"/>
    </xf>
    <xf numFmtId="10" fontId="2"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5" fillId="0" borderId="11" xfId="0" applyFont="1" applyBorder="1" applyAlignment="1">
      <alignment vertical="top" wrapText="1"/>
    </xf>
    <xf numFmtId="0" fontId="57" fillId="0" borderId="60" xfId="0" applyFont="1" applyBorder="1" applyAlignment="1">
      <alignment vertical="center"/>
    </xf>
    <xf numFmtId="10" fontId="57" fillId="0" borderId="11" xfId="50" applyNumberFormat="1" applyFont="1" applyBorder="1" applyAlignment="1">
      <alignment horizontal="center"/>
    </xf>
    <xf numFmtId="0" fontId="27" fillId="24" borderId="87" xfId="0" applyFont="1" applyFill="1" applyBorder="1" applyAlignment="1" applyProtection="1">
      <alignment horizontal="center"/>
      <protection locked="0"/>
    </xf>
    <xf numFmtId="174" fontId="0" fillId="0" borderId="65" xfId="0" applyNumberFormat="1" applyBorder="1"/>
    <xf numFmtId="1" fontId="45" fillId="27" borderId="39" xfId="0" applyNumberFormat="1" applyFont="1" applyFill="1" applyBorder="1" applyAlignment="1">
      <alignment horizontal="center" vertical="center"/>
    </xf>
    <xf numFmtId="2" fontId="0" fillId="0" borderId="70" xfId="0" applyNumberFormat="1" applyBorder="1" applyAlignment="1">
      <alignment vertical="center"/>
    </xf>
    <xf numFmtId="169" fontId="35" fillId="0" borderId="0" xfId="0" applyNumberFormat="1" applyFont="1" applyAlignment="1">
      <alignment horizontal="center" vertical="center"/>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168" fontId="0" fillId="0" borderId="11"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8" fontId="28" fillId="0" borderId="66" xfId="0" applyNumberFormat="1" applyFont="1" applyBorder="1" applyAlignment="1">
      <alignment vertical="center"/>
    </xf>
    <xf numFmtId="2" fontId="28" fillId="0" borderId="66" xfId="0" applyNumberFormat="1" applyFont="1" applyBorder="1" applyAlignment="1">
      <alignment vertical="center" wrapText="1"/>
    </xf>
    <xf numFmtId="0" fontId="0" fillId="0" borderId="0" xfId="0" applyFill="1" applyBorder="1"/>
    <xf numFmtId="0" fontId="45" fillId="0" borderId="0" xfId="0" applyFont="1" applyFill="1" applyBorder="1"/>
    <xf numFmtId="173" fontId="45" fillId="0" borderId="86" xfId="0" applyNumberFormat="1" applyFont="1" applyBorder="1"/>
    <xf numFmtId="178" fontId="42" fillId="27" borderId="11" xfId="0" applyNumberFormat="1" applyFont="1" applyFill="1" applyBorder="1" applyAlignment="1">
      <alignment horizontal="center" vertical="center" wrapText="1"/>
    </xf>
    <xf numFmtId="173" fontId="48" fillId="0" borderId="0" xfId="0" applyNumberFormat="1" applyFont="1" applyBorder="1"/>
    <xf numFmtId="165" fontId="66" fillId="0" borderId="28" xfId="28" applyFont="1" applyFill="1" applyBorder="1"/>
    <xf numFmtId="0" fontId="57" fillId="0" borderId="11" xfId="0" applyFont="1" applyBorder="1" applyAlignment="1">
      <alignment horizontal="left" vertical="center"/>
    </xf>
    <xf numFmtId="9" fontId="42" fillId="0" borderId="11" xfId="0" applyNumberFormat="1" applyFont="1" applyFill="1" applyBorder="1" applyAlignment="1">
      <alignment horizontal="center" vertical="center" wrapText="1"/>
    </xf>
    <xf numFmtId="178" fontId="42" fillId="0" borderId="11" xfId="0" applyNumberFormat="1" applyFont="1" applyFill="1" applyBorder="1"/>
    <xf numFmtId="4" fontId="45" fillId="0" borderId="62" xfId="0" applyNumberFormat="1" applyFont="1" applyBorder="1"/>
    <xf numFmtId="178" fontId="42" fillId="0" borderId="11" xfId="0" applyNumberFormat="1" applyFont="1" applyFill="1" applyBorder="1" applyAlignment="1">
      <alignment horizontal="center" vertical="center" wrapText="1"/>
    </xf>
    <xf numFmtId="0" fontId="42" fillId="0" borderId="11" xfId="0" applyFont="1" applyFill="1" applyBorder="1" applyAlignment="1">
      <alignment horizontal="center" vertical="center" wrapText="1"/>
    </xf>
    <xf numFmtId="0" fontId="23" fillId="24" borderId="15" xfId="0" applyFont="1" applyFill="1" applyBorder="1"/>
    <xf numFmtId="0" fontId="60" fillId="24" borderId="15" xfId="0" applyFont="1" applyFill="1" applyBorder="1"/>
    <xf numFmtId="0" fontId="23" fillId="24" borderId="15" xfId="0" applyFont="1" applyFill="1" applyBorder="1" applyAlignment="1">
      <alignment horizontal="center" wrapText="1"/>
    </xf>
    <xf numFmtId="0" fontId="23" fillId="24" borderId="56" xfId="0" applyFont="1" applyFill="1" applyBorder="1"/>
    <xf numFmtId="9" fontId="23" fillId="0" borderId="21" xfId="50" applyFont="1" applyFill="1" applyBorder="1" applyAlignment="1">
      <alignment vertical="center"/>
    </xf>
    <xf numFmtId="0" fontId="60" fillId="24" borderId="21" xfId="0" applyFont="1" applyFill="1" applyBorder="1"/>
    <xf numFmtId="2" fontId="23" fillId="24" borderId="21" xfId="0" applyNumberFormat="1" applyFont="1" applyFill="1" applyBorder="1"/>
    <xf numFmtId="165" fontId="23" fillId="0" borderId="11" xfId="29" applyNumberFormat="1" applyFont="1" applyFill="1" applyBorder="1" applyAlignment="1">
      <alignment vertical="center"/>
    </xf>
    <xf numFmtId="165" fontId="23" fillId="24" borderId="21" xfId="0" applyNumberFormat="1" applyFont="1" applyFill="1" applyBorder="1"/>
    <xf numFmtId="10" fontId="42" fillId="0" borderId="13" xfId="50" applyNumberFormat="1" applyFont="1" applyFill="1" applyBorder="1" applyAlignment="1">
      <alignment vertical="center"/>
    </xf>
    <xf numFmtId="171" fontId="38" fillId="0" borderId="11" xfId="0" applyNumberFormat="1" applyFont="1" applyBorder="1" applyAlignment="1">
      <alignment horizontal="center" vertical="center" wrapText="1"/>
    </xf>
    <xf numFmtId="4" fontId="38" fillId="0" borderId="11" xfId="0" applyNumberFormat="1" applyFont="1" applyBorder="1" applyAlignment="1">
      <alignment horizontal="center" vertical="center" wrapText="1"/>
    </xf>
    <xf numFmtId="168" fontId="38" fillId="0" borderId="11" xfId="0" applyNumberFormat="1" applyFont="1" applyBorder="1" applyAlignment="1">
      <alignment horizontal="center" vertical="center" wrapText="1"/>
    </xf>
    <xf numFmtId="0" fontId="38" fillId="27" borderId="58" xfId="0" applyFont="1" applyFill="1" applyBorder="1" applyAlignment="1">
      <alignment horizontal="center" vertical="center" wrapText="1"/>
    </xf>
    <xf numFmtId="0" fontId="38" fillId="27" borderId="31" xfId="0" applyFont="1" applyFill="1" applyBorder="1" applyAlignment="1">
      <alignment horizontal="center" vertical="center" wrapText="1"/>
    </xf>
    <xf numFmtId="0" fontId="38" fillId="27" borderId="28" xfId="0" applyFont="1" applyFill="1" applyBorder="1" applyAlignment="1">
      <alignment horizontal="center" vertical="center" wrapText="1"/>
    </xf>
    <xf numFmtId="0" fontId="38" fillId="27" borderId="60" xfId="0" applyFont="1" applyFill="1" applyBorder="1" applyAlignment="1">
      <alignment horizontal="center" vertical="center" wrapText="1"/>
    </xf>
    <xf numFmtId="2" fontId="38" fillId="0" borderId="11" xfId="0" applyNumberFormat="1" applyFont="1" applyBorder="1" applyAlignment="1">
      <alignment horizontal="center" vertical="center" wrapText="1"/>
    </xf>
    <xf numFmtId="0" fontId="38" fillId="0" borderId="71" xfId="0" applyFont="1" applyBorder="1" applyAlignment="1">
      <alignment horizontal="center" vertical="center" wrapText="1"/>
    </xf>
    <xf numFmtId="0" fontId="38" fillId="0" borderId="72" xfId="0" applyFont="1" applyBorder="1" applyAlignment="1">
      <alignment horizontal="center" vertical="center" wrapText="1"/>
    </xf>
    <xf numFmtId="0" fontId="38" fillId="0" borderId="73" xfId="0" applyFont="1" applyBorder="1" applyAlignment="1">
      <alignment horizontal="center" vertical="center" wrapText="1"/>
    </xf>
    <xf numFmtId="0" fontId="38" fillId="0" borderId="11" xfId="0" applyFont="1" applyBorder="1" applyAlignment="1">
      <alignment horizontal="center" vertical="center" wrapText="1"/>
    </xf>
    <xf numFmtId="169" fontId="35" fillId="0" borderId="0" xfId="0" applyNumberFormat="1" applyFont="1" applyAlignment="1">
      <alignment horizontal="center" vertical="justify" wrapText="1"/>
    </xf>
    <xf numFmtId="167" fontId="33" fillId="0" borderId="13" xfId="28" applyNumberFormat="1" applyFont="1" applyFill="1" applyBorder="1" applyAlignment="1" applyProtection="1">
      <alignment horizontal="center"/>
    </xf>
    <xf numFmtId="167" fontId="33" fillId="0" borderId="20" xfId="28" applyNumberFormat="1" applyFont="1" applyFill="1" applyBorder="1" applyAlignment="1" applyProtection="1">
      <alignment horizontal="center"/>
    </xf>
    <xf numFmtId="167" fontId="33" fillId="27" borderId="89" xfId="28" applyNumberFormat="1" applyFont="1" applyFill="1" applyBorder="1" applyAlignment="1" applyProtection="1">
      <alignment horizontal="center"/>
    </xf>
    <xf numFmtId="167" fontId="33" fillId="27" borderId="90" xfId="28" applyNumberFormat="1" applyFont="1" applyFill="1" applyBorder="1" applyAlignment="1" applyProtection="1">
      <alignment horizontal="center"/>
    </xf>
    <xf numFmtId="167" fontId="33" fillId="27" borderId="88" xfId="28" applyNumberFormat="1" applyFont="1" applyFill="1" applyBorder="1" applyAlignment="1" applyProtection="1">
      <alignment horizontal="center"/>
    </xf>
    <xf numFmtId="167" fontId="33" fillId="27" borderId="30" xfId="28" applyNumberFormat="1" applyFont="1" applyFill="1" applyBorder="1" applyAlignment="1" applyProtection="1">
      <alignment horizontal="center"/>
    </xf>
    <xf numFmtId="167" fontId="33" fillId="27" borderId="61" xfId="28" applyNumberFormat="1" applyFont="1" applyFill="1" applyBorder="1" applyAlignment="1" applyProtection="1">
      <alignment horizontal="center"/>
    </xf>
    <xf numFmtId="167" fontId="33" fillId="27" borderId="16" xfId="28" applyNumberFormat="1" applyFont="1" applyFill="1" applyBorder="1" applyAlignment="1" applyProtection="1">
      <alignment horizontal="center"/>
    </xf>
    <xf numFmtId="167" fontId="33" fillId="35" borderId="89" xfId="28" applyNumberFormat="1" applyFont="1" applyFill="1" applyBorder="1" applyAlignment="1" applyProtection="1">
      <alignment horizontal="center"/>
    </xf>
    <xf numFmtId="167" fontId="33" fillId="35" borderId="90" xfId="28" applyNumberFormat="1" applyFont="1" applyFill="1" applyBorder="1" applyAlignment="1" applyProtection="1">
      <alignment horizontal="center"/>
    </xf>
    <xf numFmtId="167" fontId="33" fillId="35" borderId="88" xfId="28" applyNumberFormat="1" applyFont="1" applyFill="1" applyBorder="1" applyAlignment="1" applyProtection="1">
      <alignment horizontal="center"/>
    </xf>
    <xf numFmtId="167" fontId="33" fillId="35" borderId="30" xfId="28" applyNumberFormat="1" applyFont="1" applyFill="1" applyBorder="1" applyAlignment="1" applyProtection="1">
      <alignment horizontal="center"/>
    </xf>
    <xf numFmtId="167" fontId="33" fillId="35" borderId="61" xfId="28" applyNumberFormat="1" applyFont="1" applyFill="1" applyBorder="1" applyAlignment="1" applyProtection="1">
      <alignment horizontal="center"/>
    </xf>
    <xf numFmtId="167" fontId="33" fillId="35" borderId="16" xfId="28" applyNumberFormat="1" applyFont="1" applyFill="1" applyBorder="1" applyAlignment="1" applyProtection="1">
      <alignment horizontal="center"/>
    </xf>
    <xf numFmtId="167" fontId="33" fillId="31" borderId="13" xfId="28" applyNumberFormat="1" applyFont="1" applyFill="1" applyBorder="1" applyAlignment="1" applyProtection="1">
      <alignment horizontal="center"/>
    </xf>
    <xf numFmtId="167" fontId="33" fillId="31" borderId="20" xfId="28" applyNumberFormat="1" applyFont="1" applyFill="1" applyBorder="1" applyAlignment="1" applyProtection="1">
      <alignment horizontal="center"/>
    </xf>
    <xf numFmtId="167" fontId="33" fillId="31" borderId="19" xfId="28" applyNumberFormat="1" applyFont="1" applyFill="1" applyBorder="1" applyAlignment="1" applyProtection="1">
      <alignment horizontal="center"/>
    </xf>
    <xf numFmtId="167" fontId="33" fillId="32" borderId="13" xfId="28" applyNumberFormat="1" applyFont="1" applyFill="1" applyBorder="1" applyAlignment="1" applyProtection="1">
      <alignment horizontal="center"/>
    </xf>
    <xf numFmtId="167" fontId="33" fillId="32" borderId="20" xfId="28" applyNumberFormat="1" applyFont="1" applyFill="1" applyBorder="1" applyAlignment="1" applyProtection="1">
      <alignment horizontal="center"/>
    </xf>
    <xf numFmtId="167" fontId="33" fillId="32" borderId="19" xfId="28" applyNumberFormat="1" applyFont="1" applyFill="1" applyBorder="1" applyAlignment="1" applyProtection="1">
      <alignment horizontal="center"/>
    </xf>
    <xf numFmtId="0" fontId="40" fillId="4" borderId="87" xfId="0" applyFont="1" applyFill="1" applyBorder="1" applyAlignment="1">
      <alignment horizontal="center" vertical="center"/>
    </xf>
    <xf numFmtId="0" fontId="40" fillId="4" borderId="62" xfId="0" applyFont="1" applyFill="1" applyBorder="1" applyAlignment="1">
      <alignment horizontal="center" vertical="center"/>
    </xf>
    <xf numFmtId="0" fontId="40" fillId="4" borderId="17" xfId="0" applyFont="1" applyFill="1" applyBorder="1" applyAlignment="1">
      <alignment horizontal="center" vertical="center"/>
    </xf>
    <xf numFmtId="0" fontId="33" fillId="4" borderId="87" xfId="0" applyFont="1" applyFill="1" applyBorder="1" applyAlignment="1">
      <alignment horizontal="center" vertical="center" wrapText="1"/>
    </xf>
    <xf numFmtId="0" fontId="33" fillId="4" borderId="62" xfId="0" applyFont="1" applyFill="1" applyBorder="1" applyAlignment="1">
      <alignment horizontal="center" vertical="center" wrapText="1"/>
    </xf>
    <xf numFmtId="0" fontId="33" fillId="4" borderId="17" xfId="0" applyFont="1" applyFill="1" applyBorder="1" applyAlignment="1">
      <alignment horizontal="center" vertical="center" wrapText="1"/>
    </xf>
    <xf numFmtId="167" fontId="33" fillId="30" borderId="13" xfId="28" applyNumberFormat="1" applyFont="1" applyFill="1" applyBorder="1" applyAlignment="1" applyProtection="1">
      <alignment horizontal="center"/>
    </xf>
    <xf numFmtId="167" fontId="33" fillId="30" borderId="20" xfId="28" applyNumberFormat="1" applyFont="1" applyFill="1" applyBorder="1" applyAlignment="1" applyProtection="1">
      <alignment horizontal="center"/>
    </xf>
    <xf numFmtId="167" fontId="33" fillId="30" borderId="19" xfId="28" applyNumberFormat="1" applyFont="1" applyFill="1" applyBorder="1" applyAlignment="1" applyProtection="1">
      <alignment horizontal="center"/>
    </xf>
    <xf numFmtId="179" fontId="43" fillId="37" borderId="87" xfId="56" applyNumberFormat="1" applyFont="1" applyFill="1" applyBorder="1" applyAlignment="1">
      <alignment horizontal="center" vertical="center" wrapText="1"/>
    </xf>
    <xf numFmtId="179" fontId="43" fillId="37" borderId="62" xfId="56" applyNumberFormat="1" applyFont="1" applyFill="1" applyBorder="1" applyAlignment="1">
      <alignment horizontal="center" vertical="center" wrapText="1"/>
    </xf>
    <xf numFmtId="179" fontId="43" fillId="37" borderId="17" xfId="56" applyNumberFormat="1" applyFont="1" applyFill="1" applyBorder="1" applyAlignment="1">
      <alignment horizontal="center" vertical="center" wrapText="1"/>
    </xf>
    <xf numFmtId="179" fontId="43" fillId="26" borderId="87" xfId="56" applyNumberFormat="1" applyFont="1" applyFill="1" applyBorder="1" applyAlignment="1">
      <alignment horizontal="center" vertical="center" wrapText="1"/>
    </xf>
    <xf numFmtId="179" fontId="43" fillId="26" borderId="62" xfId="56" applyNumberFormat="1" applyFont="1" applyFill="1" applyBorder="1" applyAlignment="1">
      <alignment horizontal="center" vertical="center" wrapText="1"/>
    </xf>
    <xf numFmtId="179" fontId="43" fillId="26" borderId="17" xfId="56" applyNumberFormat="1" applyFont="1" applyFill="1" applyBorder="1" applyAlignment="1">
      <alignment horizontal="center" vertical="center" wrapText="1"/>
    </xf>
    <xf numFmtId="0" fontId="43" fillId="0" borderId="11" xfId="0" applyFont="1" applyBorder="1" applyAlignment="1">
      <alignment horizontal="center" vertical="center" wrapText="1"/>
    </xf>
    <xf numFmtId="0" fontId="43" fillId="0" borderId="87" xfId="0" applyFont="1" applyBorder="1" applyAlignment="1">
      <alignment horizontal="center" vertical="center" wrapText="1"/>
    </xf>
    <xf numFmtId="179" fontId="43" fillId="22" borderId="14" xfId="29" applyNumberFormat="1" applyFont="1" applyFill="1" applyBorder="1" applyAlignment="1">
      <alignment horizontal="center" vertical="center" wrapText="1"/>
    </xf>
    <xf numFmtId="179" fontId="43" fillId="22" borderId="62" xfId="29" applyNumberFormat="1" applyFont="1" applyFill="1" applyBorder="1" applyAlignment="1">
      <alignment horizontal="center" vertical="center" wrapText="1"/>
    </xf>
    <xf numFmtId="179" fontId="43" fillId="22" borderId="17" xfId="29" applyNumberFormat="1" applyFont="1" applyFill="1" applyBorder="1" applyAlignment="1">
      <alignment horizontal="center" vertical="center" wrapText="1"/>
    </xf>
    <xf numFmtId="179" fontId="43" fillId="25" borderId="11" xfId="29" applyNumberFormat="1" applyFont="1" applyFill="1" applyBorder="1" applyAlignment="1">
      <alignment horizontal="center" vertical="center" wrapText="1"/>
    </xf>
    <xf numFmtId="179" fontId="43" fillId="25" borderId="14" xfId="29" applyNumberFormat="1" applyFont="1" applyFill="1" applyBorder="1" applyAlignment="1">
      <alignment horizontal="center" vertical="center" wrapText="1"/>
    </xf>
    <xf numFmtId="179" fontId="43" fillId="0" borderId="11" xfId="29" applyNumberFormat="1" applyFont="1" applyFill="1" applyBorder="1" applyAlignment="1">
      <alignment horizontal="center" vertical="center" wrapText="1"/>
    </xf>
    <xf numFmtId="179" fontId="43" fillId="0" borderId="14" xfId="29" applyNumberFormat="1" applyFont="1" applyFill="1" applyBorder="1" applyAlignment="1">
      <alignment horizontal="center" vertical="center" wrapText="1"/>
    </xf>
    <xf numFmtId="179" fontId="43" fillId="4" borderId="58" xfId="29" applyNumberFormat="1" applyFont="1" applyFill="1" applyBorder="1" applyAlignment="1">
      <alignment horizontal="center" vertical="center" wrapText="1"/>
    </xf>
    <xf numFmtId="179" fontId="43" fillId="4" borderId="31" xfId="29" applyNumberFormat="1" applyFont="1" applyFill="1" applyBorder="1" applyAlignment="1">
      <alignment horizontal="center" vertical="center" wrapText="1"/>
    </xf>
    <xf numFmtId="179" fontId="43" fillId="4" borderId="30" xfId="29" applyNumberFormat="1" applyFont="1" applyFill="1" applyBorder="1" applyAlignment="1">
      <alignment horizontal="center" vertical="center" wrapText="1"/>
    </xf>
    <xf numFmtId="179" fontId="43" fillId="4" borderId="16" xfId="29" applyNumberFormat="1" applyFont="1" applyFill="1" applyBorder="1" applyAlignment="1">
      <alignment horizontal="center" vertical="center" wrapText="1"/>
    </xf>
    <xf numFmtId="0" fontId="43" fillId="0" borderId="14" xfId="0" applyFont="1" applyBorder="1" applyAlignment="1">
      <alignment horizontal="center" vertical="center" wrapText="1"/>
    </xf>
    <xf numFmtId="179" fontId="44" fillId="25" borderId="11" xfId="29" applyNumberFormat="1" applyFont="1" applyFill="1" applyBorder="1" applyAlignment="1">
      <alignment horizontal="center"/>
    </xf>
    <xf numFmtId="179" fontId="43" fillId="4" borderId="11" xfId="29" applyNumberFormat="1" applyFont="1" applyFill="1" applyBorder="1" applyAlignment="1">
      <alignment horizontal="center" vertical="center" wrapText="1"/>
    </xf>
    <xf numFmtId="179" fontId="43" fillId="4" borderId="14" xfId="29" applyNumberFormat="1" applyFont="1" applyFill="1" applyBorder="1" applyAlignment="1">
      <alignment horizontal="center" vertical="center" wrapText="1"/>
    </xf>
    <xf numFmtId="179" fontId="43" fillId="37" borderId="58" xfId="56" applyNumberFormat="1" applyFont="1" applyFill="1" applyBorder="1" applyAlignment="1">
      <alignment horizontal="center" vertical="center" wrapText="1"/>
    </xf>
    <xf numFmtId="179" fontId="43" fillId="37" borderId="31" xfId="56" applyNumberFormat="1" applyFont="1" applyFill="1" applyBorder="1" applyAlignment="1">
      <alignment horizontal="center" vertical="center" wrapText="1"/>
    </xf>
    <xf numFmtId="179" fontId="43" fillId="26" borderId="13" xfId="56" applyNumberFormat="1" applyFont="1" applyFill="1" applyBorder="1" applyAlignment="1">
      <alignment horizontal="center" vertical="center" wrapText="1"/>
    </xf>
    <xf numFmtId="179" fontId="43" fillId="26" borderId="19" xfId="56" applyNumberFormat="1" applyFont="1" applyFill="1" applyBorder="1" applyAlignment="1">
      <alignment horizontal="center" vertical="center" wrapText="1"/>
    </xf>
    <xf numFmtId="179" fontId="43" fillId="26" borderId="14" xfId="29" applyNumberFormat="1" applyFont="1" applyFill="1" applyBorder="1" applyAlignment="1">
      <alignment horizontal="center" vertical="center" wrapText="1"/>
    </xf>
    <xf numFmtId="179" fontId="43" fillId="26" borderId="62" xfId="29" applyNumberFormat="1" applyFont="1" applyFill="1" applyBorder="1" applyAlignment="1">
      <alignment horizontal="center" vertical="center" wrapText="1"/>
    </xf>
    <xf numFmtId="179" fontId="43" fillId="26" borderId="17" xfId="29" applyNumberFormat="1" applyFont="1" applyFill="1" applyBorder="1" applyAlignment="1">
      <alignment horizontal="center" vertical="center" wrapText="1"/>
    </xf>
    <xf numFmtId="179" fontId="43" fillId="0" borderId="62" xfId="29" applyNumberFormat="1" applyFont="1" applyFill="1" applyBorder="1" applyAlignment="1">
      <alignment horizontal="center" vertical="center" wrapText="1"/>
    </xf>
    <xf numFmtId="179" fontId="43" fillId="0" borderId="17" xfId="29" applyNumberFormat="1" applyFont="1" applyFill="1" applyBorder="1" applyAlignment="1">
      <alignment horizontal="center" vertical="center" wrapText="1"/>
    </xf>
    <xf numFmtId="0" fontId="43" fillId="0" borderId="62" xfId="0" applyFont="1" applyBorder="1" applyAlignment="1">
      <alignment horizontal="center" vertical="center" wrapText="1"/>
    </xf>
    <xf numFmtId="179" fontId="43" fillId="25" borderId="62" xfId="29" applyNumberFormat="1" applyFont="1" applyFill="1" applyBorder="1" applyAlignment="1">
      <alignment horizontal="center" vertical="center" wrapText="1"/>
    </xf>
    <xf numFmtId="166" fontId="43" fillId="25" borderId="14" xfId="50" applyNumberFormat="1" applyFont="1" applyFill="1" applyBorder="1" applyAlignment="1">
      <alignment horizontal="center" vertical="center" wrapText="1"/>
    </xf>
    <xf numFmtId="166" fontId="43" fillId="25" borderId="62" xfId="50" applyNumberFormat="1" applyFont="1" applyFill="1" applyBorder="1" applyAlignment="1">
      <alignment horizontal="center" vertical="center" wrapText="1"/>
    </xf>
    <xf numFmtId="166" fontId="43" fillId="25" borderId="17" xfId="50" applyNumberFormat="1" applyFont="1" applyFill="1" applyBorder="1" applyAlignment="1">
      <alignment horizontal="center" vertical="center" wrapText="1"/>
    </xf>
    <xf numFmtId="0" fontId="43" fillId="0" borderId="17" xfId="0" applyFont="1" applyBorder="1" applyAlignment="1">
      <alignment horizontal="center" vertical="center" wrapText="1"/>
    </xf>
    <xf numFmtId="179" fontId="43" fillId="0" borderId="13" xfId="29" applyNumberFormat="1" applyFont="1" applyFill="1" applyBorder="1" applyAlignment="1">
      <alignment horizontal="center" vertical="center" wrapText="1"/>
    </xf>
    <xf numFmtId="179" fontId="43" fillId="0" borderId="20" xfId="29" applyNumberFormat="1" applyFont="1" applyFill="1" applyBorder="1" applyAlignment="1">
      <alignment horizontal="center" vertical="center" wrapText="1"/>
    </xf>
    <xf numFmtId="179" fontId="43" fillId="0" borderId="19" xfId="29" applyNumberFormat="1" applyFont="1" applyFill="1" applyBorder="1" applyAlignment="1">
      <alignment horizontal="center" vertical="center" wrapText="1"/>
    </xf>
    <xf numFmtId="0" fontId="50" fillId="22" borderId="11" xfId="0" applyFont="1" applyFill="1" applyBorder="1" applyAlignment="1">
      <alignment horizontal="center"/>
    </xf>
    <xf numFmtId="179" fontId="43" fillId="0" borderId="13" xfId="29" applyNumberFormat="1" applyFont="1" applyFill="1" applyBorder="1" applyAlignment="1">
      <alignment horizontal="right"/>
    </xf>
    <xf numFmtId="179" fontId="43" fillId="0" borderId="19" xfId="29" applyNumberFormat="1" applyFont="1" applyFill="1" applyBorder="1" applyAlignment="1">
      <alignment horizontal="right"/>
    </xf>
    <xf numFmtId="164" fontId="43" fillId="0" borderId="58" xfId="29" applyFont="1" applyFill="1" applyBorder="1" applyAlignment="1">
      <alignment horizontal="center" vertical="center"/>
    </xf>
    <xf numFmtId="164" fontId="43" fillId="0" borderId="59" xfId="29" applyFont="1" applyFill="1" applyBorder="1" applyAlignment="1">
      <alignment horizontal="center" vertical="center"/>
    </xf>
    <xf numFmtId="164" fontId="43" fillId="0" borderId="31" xfId="29" applyFont="1" applyFill="1" applyBorder="1" applyAlignment="1">
      <alignment horizontal="center" vertical="center"/>
    </xf>
    <xf numFmtId="164" fontId="43" fillId="0" borderId="30" xfId="29" applyFont="1" applyFill="1" applyBorder="1" applyAlignment="1">
      <alignment horizontal="center" vertical="center"/>
    </xf>
    <xf numFmtId="164" fontId="43" fillId="0" borderId="61" xfId="29" applyFont="1" applyFill="1" applyBorder="1" applyAlignment="1">
      <alignment horizontal="center" vertical="center"/>
    </xf>
    <xf numFmtId="164" fontId="43" fillId="0" borderId="16" xfId="29" applyFont="1" applyFill="1" applyBorder="1" applyAlignment="1">
      <alignment horizontal="center" vertical="center"/>
    </xf>
    <xf numFmtId="178" fontId="43" fillId="0" borderId="58" xfId="0" applyNumberFormat="1" applyFont="1" applyBorder="1" applyAlignment="1">
      <alignment horizontal="center" vertical="center"/>
    </xf>
    <xf numFmtId="178" fontId="43" fillId="0" borderId="59" xfId="0" applyNumberFormat="1" applyFont="1" applyBorder="1" applyAlignment="1">
      <alignment horizontal="center" vertical="center"/>
    </xf>
    <xf numFmtId="0" fontId="43" fillId="0" borderId="31" xfId="0" applyFont="1" applyBorder="1" applyAlignment="1">
      <alignment horizontal="center" vertical="center"/>
    </xf>
    <xf numFmtId="178" fontId="43" fillId="0" borderId="30" xfId="0" applyNumberFormat="1" applyFont="1" applyBorder="1" applyAlignment="1">
      <alignment horizontal="center" vertical="center"/>
    </xf>
    <xf numFmtId="178" fontId="43" fillId="0" borderId="61" xfId="0" applyNumberFormat="1" applyFont="1" applyBorder="1" applyAlignment="1">
      <alignment horizontal="center" vertical="center"/>
    </xf>
    <xf numFmtId="0" fontId="43" fillId="0" borderId="16" xfId="0" applyFont="1" applyBorder="1" applyAlignment="1">
      <alignment horizontal="center" vertical="center"/>
    </xf>
    <xf numFmtId="164" fontId="43" fillId="0" borderId="14" xfId="29" applyFont="1" applyFill="1" applyBorder="1" applyAlignment="1">
      <alignment horizontal="center" vertical="center" wrapText="1"/>
    </xf>
    <xf numFmtId="164" fontId="43" fillId="0" borderId="62" xfId="29" applyFont="1" applyFill="1" applyBorder="1" applyAlignment="1">
      <alignment horizontal="center" vertical="center" wrapText="1"/>
    </xf>
    <xf numFmtId="0" fontId="54" fillId="0" borderId="77" xfId="41" applyFont="1" applyBorder="1" applyAlignment="1">
      <alignment horizontal="center"/>
    </xf>
    <xf numFmtId="0" fontId="54" fillId="0" borderId="78" xfId="41" applyFont="1" applyBorder="1" applyAlignment="1">
      <alignment horizontal="center"/>
    </xf>
    <xf numFmtId="0" fontId="54" fillId="0" borderId="22" xfId="41" applyFont="1" applyBorder="1" applyAlignment="1">
      <alignment horizontal="center"/>
    </xf>
    <xf numFmtId="0" fontId="54" fillId="0" borderId="44" xfId="41" applyFont="1" applyBorder="1" applyAlignment="1">
      <alignment horizontal="center" vertical="center"/>
    </xf>
    <xf numFmtId="0" fontId="54" fillId="0" borderId="76" xfId="41" applyFont="1" applyBorder="1" applyAlignment="1">
      <alignment horizontal="center" vertical="center"/>
    </xf>
    <xf numFmtId="0" fontId="54" fillId="0" borderId="46" xfId="41" applyFont="1" applyBorder="1" applyAlignment="1">
      <alignment horizontal="center" vertical="center"/>
    </xf>
    <xf numFmtId="0" fontId="54" fillId="0" borderId="54" xfId="41" applyFont="1" applyBorder="1" applyAlignment="1">
      <alignment horizontal="center" vertical="center"/>
    </xf>
    <xf numFmtId="0" fontId="54" fillId="0" borderId="62" xfId="41" applyFont="1" applyBorder="1" applyAlignment="1">
      <alignment horizontal="center" vertical="center"/>
    </xf>
    <xf numFmtId="0" fontId="54" fillId="0" borderId="29" xfId="41" applyFont="1" applyBorder="1" applyAlignment="1">
      <alignment horizontal="center" vertical="center"/>
    </xf>
    <xf numFmtId="0" fontId="54" fillId="11" borderId="54" xfId="41" applyFont="1" applyFill="1" applyBorder="1" applyAlignment="1">
      <alignment horizontal="center" vertical="center" wrapText="1"/>
    </xf>
    <xf numFmtId="0" fontId="54" fillId="11" borderId="62" xfId="41" applyFont="1" applyFill="1" applyBorder="1" applyAlignment="1">
      <alignment horizontal="center" vertical="center" wrapText="1"/>
    </xf>
    <xf numFmtId="0" fontId="54" fillId="11" borderId="29" xfId="41" applyFont="1" applyFill="1" applyBorder="1" applyAlignment="1">
      <alignment horizontal="center" vertical="center" wrapText="1"/>
    </xf>
    <xf numFmtId="0" fontId="28" fillId="0" borderId="54" xfId="0" applyFont="1" applyBorder="1" applyAlignment="1">
      <alignment horizontal="center" vertical="center" wrapText="1"/>
    </xf>
    <xf numFmtId="0" fontId="28" fillId="0" borderId="62" xfId="0" applyFont="1" applyBorder="1" applyAlignment="1">
      <alignment horizontal="center" vertical="center" wrapText="1"/>
    </xf>
    <xf numFmtId="0" fontId="28" fillId="0" borderId="29" xfId="0" applyFont="1" applyBorder="1" applyAlignment="1">
      <alignment horizontal="center" vertical="center" wrapText="1"/>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28" fillId="0" borderId="30" xfId="28" applyNumberFormat="1" applyFont="1" applyBorder="1" applyAlignment="1">
      <alignment horizontal="center" vertical="center"/>
    </xf>
    <xf numFmtId="2" fontId="28" fillId="0" borderId="61" xfId="28" applyNumberFormat="1" applyFont="1" applyBorder="1" applyAlignment="1">
      <alignment horizontal="center" vertical="center"/>
    </xf>
    <xf numFmtId="2" fontId="28" fillId="0" borderId="16" xfId="28" applyNumberFormat="1" applyFont="1" applyBorder="1" applyAlignment="1">
      <alignment horizontal="center" vertical="center"/>
    </xf>
    <xf numFmtId="2" fontId="28" fillId="0" borderId="13" xfId="28" applyNumberFormat="1" applyFont="1" applyBorder="1" applyAlignment="1">
      <alignment horizontal="center" vertical="center"/>
    </xf>
    <xf numFmtId="2" fontId="28" fillId="0" borderId="19" xfId="28" applyNumberFormat="1" applyFont="1" applyBorder="1" applyAlignment="1">
      <alignment horizontal="center" vertical="center"/>
    </xf>
    <xf numFmtId="2" fontId="0" fillId="0" borderId="11" xfId="28" applyNumberFormat="1" applyFont="1" applyBorder="1" applyAlignment="1">
      <alignment horizontal="center" vertical="center"/>
    </xf>
    <xf numFmtId="2" fontId="28" fillId="0" borderId="20" xfId="28" applyNumberFormat="1" applyFont="1" applyBorder="1" applyAlignment="1">
      <alignment horizontal="center" vertical="center"/>
    </xf>
    <xf numFmtId="2" fontId="28" fillId="27" borderId="30" xfId="28" applyNumberFormat="1" applyFont="1" applyFill="1" applyBorder="1" applyAlignment="1">
      <alignment horizontal="center" vertical="center"/>
    </xf>
    <xf numFmtId="2" fontId="28" fillId="27" borderId="61" xfId="28" applyNumberFormat="1" applyFont="1" applyFill="1" applyBorder="1" applyAlignment="1">
      <alignment horizontal="center" vertical="center"/>
    </xf>
    <xf numFmtId="2" fontId="28" fillId="0" borderId="11" xfId="28" applyNumberFormat="1" applyFont="1" applyBorder="1" applyAlignment="1">
      <alignment horizontal="center" vertical="center"/>
    </xf>
    <xf numFmtId="0" fontId="28" fillId="0" borderId="79" xfId="0" applyFont="1" applyBorder="1" applyAlignment="1">
      <alignment horizontal="center" vertical="center" wrapText="1"/>
    </xf>
    <xf numFmtId="0" fontId="28" fillId="0" borderId="80" xfId="0" applyFont="1" applyBorder="1" applyAlignment="1">
      <alignment horizontal="center" vertical="center" wrapText="1"/>
    </xf>
    <xf numFmtId="0" fontId="28" fillId="0" borderId="81" xfId="0" applyFont="1" applyBorder="1" applyAlignment="1">
      <alignment horizontal="center" vertical="center" wrapText="1"/>
    </xf>
    <xf numFmtId="0" fontId="28" fillId="0" borderId="82" xfId="0" applyFont="1" applyBorder="1" applyAlignment="1">
      <alignment horizontal="center" vertical="center"/>
    </xf>
    <xf numFmtId="0" fontId="28" fillId="0" borderId="17" xfId="0" applyFont="1" applyBorder="1" applyAlignment="1">
      <alignment horizontal="center" vertical="center"/>
    </xf>
    <xf numFmtId="0" fontId="28" fillId="0" borderId="82"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83" xfId="0" applyFont="1" applyBorder="1" applyAlignment="1">
      <alignment horizontal="center" vertical="center" wrapText="1"/>
    </xf>
    <xf numFmtId="0" fontId="28" fillId="0" borderId="84" xfId="0" applyFont="1" applyBorder="1" applyAlignment="1">
      <alignment horizontal="center" vertical="center" wrapText="1"/>
    </xf>
    <xf numFmtId="0" fontId="0" fillId="0" borderId="11" xfId="0" applyBorder="1" applyAlignment="1">
      <alignment horizontal="center" vertical="center" wrapText="1"/>
    </xf>
    <xf numFmtId="0" fontId="28" fillId="0" borderId="13"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19" xfId="0" applyFont="1" applyBorder="1" applyAlignment="1">
      <alignment horizontal="center" vertical="center" wrapText="1"/>
    </xf>
    <xf numFmtId="10" fontId="60" fillId="27" borderId="11" xfId="0" applyNumberFormat="1" applyFont="1" applyFill="1" applyBorder="1" applyAlignment="1">
      <alignment horizontal="center" vertical="center"/>
    </xf>
    <xf numFmtId="0" fontId="60" fillId="27" borderId="11" xfId="0" applyFont="1" applyFill="1" applyBorder="1" applyAlignment="1">
      <alignment horizontal="center" vertical="center"/>
    </xf>
    <xf numFmtId="10" fontId="57" fillId="0" borderId="87" xfId="50" applyNumberFormat="1" applyFont="1" applyFill="1" applyBorder="1" applyAlignment="1">
      <alignment horizontal="center" vertical="center"/>
    </xf>
    <xf numFmtId="10" fontId="57" fillId="0" borderId="17" xfId="50" applyNumberFormat="1" applyFont="1" applyFill="1" applyBorder="1" applyAlignment="1">
      <alignment horizontal="center" vertical="center"/>
    </xf>
    <xf numFmtId="0" fontId="57" fillId="27" borderId="11" xfId="0" applyFont="1" applyFill="1" applyBorder="1" applyAlignment="1">
      <alignment horizontal="center"/>
    </xf>
    <xf numFmtId="0" fontId="57" fillId="0" borderId="11" xfId="0" applyFont="1" applyBorder="1" applyAlignment="1">
      <alignment horizontal="center" vertical="center"/>
    </xf>
    <xf numFmtId="10" fontId="2" fillId="0" borderId="87" xfId="50" applyNumberFormat="1" applyFont="1" applyFill="1" applyBorder="1" applyAlignment="1">
      <alignment horizontal="center" vertical="center"/>
    </xf>
    <xf numFmtId="10" fontId="2" fillId="0" borderId="17" xfId="50" applyNumberFormat="1" applyFont="1" applyFill="1" applyBorder="1" applyAlignment="1">
      <alignment horizontal="center" vertical="center"/>
    </xf>
    <xf numFmtId="0" fontId="57" fillId="0" borderId="87" xfId="0" applyFont="1" applyBorder="1" applyAlignment="1">
      <alignment horizontal="left" vertical="center"/>
    </xf>
    <xf numFmtId="0" fontId="57" fillId="0" borderId="17" xfId="0" applyFont="1" applyBorder="1" applyAlignment="1">
      <alignment horizontal="left" vertical="center"/>
    </xf>
    <xf numFmtId="10" fontId="2" fillId="0" borderId="11" xfId="50" applyNumberFormat="1" applyFont="1" applyFill="1" applyBorder="1" applyAlignment="1">
      <alignment horizontal="center" vertical="center"/>
    </xf>
    <xf numFmtId="0" fontId="57" fillId="0" borderId="62" xfId="0" applyFont="1" applyBorder="1" applyAlignment="1">
      <alignment horizontal="left" vertical="center"/>
    </xf>
    <xf numFmtId="10" fontId="2" fillId="0" borderId="62" xfId="50" applyNumberFormat="1" applyFont="1" applyFill="1" applyBorder="1" applyAlignment="1">
      <alignment horizontal="center" vertical="center"/>
    </xf>
    <xf numFmtId="10" fontId="58" fillId="0" borderId="11" xfId="0" applyNumberFormat="1" applyFont="1" applyBorder="1" applyAlignment="1">
      <alignment horizontal="center" vertical="center"/>
    </xf>
    <xf numFmtId="0" fontId="57" fillId="0" borderId="11" xfId="0" applyFont="1" applyBorder="1" applyAlignment="1">
      <alignment horizontal="left" vertical="center"/>
    </xf>
    <xf numFmtId="10" fontId="59" fillId="0" borderId="11" xfId="0" applyNumberFormat="1" applyFont="1" applyBorder="1" applyAlignment="1">
      <alignment horizontal="center" vertical="center"/>
    </xf>
    <xf numFmtId="0" fontId="59" fillId="0" borderId="11" xfId="0" applyFont="1" applyBorder="1" applyAlignment="1">
      <alignment horizontal="center" vertical="center"/>
    </xf>
    <xf numFmtId="0" fontId="57" fillId="0" borderId="87" xfId="0" applyFont="1" applyBorder="1" applyAlignment="1">
      <alignment horizontal="center" vertical="center"/>
    </xf>
    <xf numFmtId="0" fontId="57" fillId="0" borderId="62" xfId="0" applyFont="1" applyBorder="1" applyAlignment="1">
      <alignment horizontal="center" vertical="center"/>
    </xf>
    <xf numFmtId="10" fontId="57" fillId="0" borderId="11" xfId="0" applyNumberFormat="1" applyFont="1" applyBorder="1" applyAlignment="1">
      <alignment horizontal="center" vertical="center"/>
    </xf>
    <xf numFmtId="0" fontId="57" fillId="27" borderId="11" xfId="0" applyFont="1" applyFill="1" applyBorder="1" applyAlignment="1">
      <alignment horizontal="center" vertical="top" wrapText="1"/>
    </xf>
    <xf numFmtId="0" fontId="57" fillId="27" borderId="11" xfId="0" applyFont="1" applyFill="1" applyBorder="1" applyAlignment="1">
      <alignment horizontal="center" vertical="center"/>
    </xf>
    <xf numFmtId="0" fontId="57" fillId="27" borderId="87" xfId="0" applyFont="1" applyFill="1" applyBorder="1" applyAlignment="1">
      <alignment horizontal="center" vertical="center" wrapText="1"/>
    </xf>
    <xf numFmtId="0" fontId="57" fillId="27" borderId="17" xfId="0" applyFont="1" applyFill="1" applyBorder="1" applyAlignment="1">
      <alignment horizontal="center" vertical="center" wrapText="1"/>
    </xf>
    <xf numFmtId="0" fontId="27" fillId="24" borderId="27" xfId="0" applyFont="1" applyFill="1" applyBorder="1" applyAlignment="1">
      <alignment horizontal="center"/>
    </xf>
    <xf numFmtId="0" fontId="27" fillId="24" borderId="19" xfId="0" applyFont="1" applyFill="1" applyBorder="1" applyAlignment="1">
      <alignment horizontal="center"/>
    </xf>
    <xf numFmtId="0" fontId="27" fillId="24" borderId="77" xfId="0" applyFont="1" applyFill="1" applyBorder="1" applyAlignment="1">
      <alignment horizontal="center"/>
    </xf>
    <xf numFmtId="0" fontId="27" fillId="24" borderId="22" xfId="0" applyFont="1" applyFill="1" applyBorder="1" applyAlignment="1">
      <alignment horizontal="center"/>
    </xf>
    <xf numFmtId="0" fontId="27" fillId="24" borderId="75" xfId="0" applyFont="1" applyFill="1" applyBorder="1" applyAlignment="1">
      <alignment horizontal="center"/>
    </xf>
    <xf numFmtId="0" fontId="27" fillId="24" borderId="74" xfId="0" applyFont="1" applyFill="1" applyBorder="1" applyAlignment="1">
      <alignment horizontal="center"/>
    </xf>
    <xf numFmtId="0" fontId="23" fillId="24" borderId="77" xfId="0" applyFont="1" applyFill="1" applyBorder="1" applyAlignment="1">
      <alignment horizontal="center"/>
    </xf>
    <xf numFmtId="0" fontId="23" fillId="24" borderId="22" xfId="0" applyFont="1" applyFill="1" applyBorder="1" applyAlignment="1">
      <alignment horizontal="center"/>
    </xf>
    <xf numFmtId="0" fontId="27" fillId="24" borderId="35" xfId="0" applyFont="1" applyFill="1" applyBorder="1" applyAlignment="1">
      <alignment horizontal="center"/>
    </xf>
    <xf numFmtId="0" fontId="27" fillId="24" borderId="33" xfId="0" applyFont="1" applyFill="1" applyBorder="1" applyAlignment="1">
      <alignment horizontal="center"/>
    </xf>
    <xf numFmtId="0" fontId="27" fillId="24" borderId="26" xfId="0" applyFont="1" applyFill="1" applyBorder="1" applyAlignment="1">
      <alignment horizontal="center"/>
    </xf>
    <xf numFmtId="0" fontId="27" fillId="24" borderId="44" xfId="0" applyFont="1" applyFill="1" applyBorder="1" applyAlignment="1" applyProtection="1">
      <alignment horizontal="center" vertical="center" textRotation="180" wrapText="1"/>
      <protection locked="0"/>
    </xf>
    <xf numFmtId="0" fontId="45" fillId="0" borderId="76" xfId="0" applyFont="1" applyBorder="1" applyAlignment="1" applyProtection="1">
      <alignment horizontal="center" vertical="center" textRotation="180" wrapText="1"/>
      <protection locked="0"/>
    </xf>
    <xf numFmtId="0" fontId="45" fillId="0" borderId="46" xfId="0" applyFont="1" applyBorder="1" applyAlignment="1" applyProtection="1">
      <alignment horizontal="center" vertical="center" textRotation="180" wrapText="1"/>
      <protection locked="0"/>
    </xf>
    <xf numFmtId="0" fontId="27"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76" xfId="0" applyBorder="1" applyAlignment="1" applyProtection="1">
      <alignment horizontal="center" vertical="center" textRotation="180" wrapText="1"/>
      <protection locked="0"/>
    </xf>
    <xf numFmtId="0" fontId="0" fillId="0" borderId="46" xfId="0" applyBorder="1" applyAlignment="1" applyProtection="1">
      <alignment horizontal="center" vertical="center" textRotation="180" wrapText="1"/>
      <protection locked="0"/>
    </xf>
    <xf numFmtId="0" fontId="27" fillId="24" borderId="69" xfId="0" applyFont="1" applyFill="1" applyBorder="1" applyAlignment="1">
      <alignment horizontal="center"/>
    </xf>
    <xf numFmtId="0" fontId="27" fillId="24" borderId="70" xfId="0" applyFont="1" applyFill="1" applyBorder="1" applyAlignment="1">
      <alignment horizontal="center"/>
    </xf>
    <xf numFmtId="0" fontId="46" fillId="24" borderId="27" xfId="0" applyFont="1" applyFill="1" applyBorder="1" applyAlignment="1">
      <alignment horizontal="center"/>
    </xf>
    <xf numFmtId="0" fontId="27" fillId="24" borderId="76" xfId="0" applyFont="1" applyFill="1" applyBorder="1" applyAlignment="1" applyProtection="1">
      <alignment horizontal="center" vertical="center" textRotation="180" wrapText="1"/>
      <protection locked="0"/>
    </xf>
    <xf numFmtId="0" fontId="27" fillId="24" borderId="46" xfId="0" applyFont="1" applyFill="1" applyBorder="1" applyAlignment="1" applyProtection="1">
      <alignment horizontal="center" vertical="center" textRotation="180" wrapText="1"/>
      <protection locked="0"/>
    </xf>
  </cellXfs>
  <cellStyles count="6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6"/>
    <cellStyle name="Comma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8"/>
    <cellStyle name="Normal 5" xfId="59"/>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 2" xfId="60"/>
    <cellStyle name="Percent_Okt_6" xfId="51"/>
    <cellStyle name="Title" xfId="52" builtinId="15" customBuiltin="1"/>
    <cellStyle name="Total" xfId="53" builtinId="25" customBuiltin="1"/>
    <cellStyle name="Warning Text" xfId="54" builtinId="11" customBuiltin="1"/>
  </cellStyles>
  <dxfs count="209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3.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4.xml"/><Relationship Id="rId8" Type="http://schemas.openxmlformats.org/officeDocument/2006/relationships/worksheet" Target="worksheets/sheet8.xml"/><Relationship Id="rId5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[2]Report1!$A$9:$A$39</c:f>
              <c:numCache>
                <c:formatCode>General</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Report1!$R$9:$R$39</c:f>
              <c:numCache>
                <c:formatCode>#,##0.000</c:formatCode>
                <c:ptCount val="31"/>
                <c:pt idx="0">
                  <c:v>35.520000000000003</c:v>
                </c:pt>
                <c:pt idx="1">
                  <c:v>28.408000000000001</c:v>
                </c:pt>
                <c:pt idx="2">
                  <c:v>40.793999999999997</c:v>
                </c:pt>
                <c:pt idx="3">
                  <c:v>38.091999999999999</c:v>
                </c:pt>
                <c:pt idx="4">
                  <c:v>43.31</c:v>
                </c:pt>
                <c:pt idx="5">
                  <c:v>26.603000000000002</c:v>
                </c:pt>
                <c:pt idx="6">
                  <c:v>31.99</c:v>
                </c:pt>
                <c:pt idx="7">
                  <c:v>45.228000000000002</c:v>
                </c:pt>
                <c:pt idx="8">
                  <c:v>47.545999999999999</c:v>
                </c:pt>
                <c:pt idx="9">
                  <c:v>51.712000000000003</c:v>
                </c:pt>
                <c:pt idx="10">
                  <c:v>52.383000000000003</c:v>
                </c:pt>
                <c:pt idx="11">
                  <c:v>52.134999999999998</c:v>
                </c:pt>
                <c:pt idx="12">
                  <c:v>48.695</c:v>
                </c:pt>
                <c:pt idx="13">
                  <c:v>51.557000000000002</c:v>
                </c:pt>
                <c:pt idx="14">
                  <c:v>52.259</c:v>
                </c:pt>
                <c:pt idx="15">
                  <c:v>53.363</c:v>
                </c:pt>
                <c:pt idx="16">
                  <c:v>53.381999999999998</c:v>
                </c:pt>
                <c:pt idx="17">
                  <c:v>46.094999999999999</c:v>
                </c:pt>
                <c:pt idx="18">
                  <c:v>47.469000000000001</c:v>
                </c:pt>
                <c:pt idx="19">
                  <c:v>45.683999999999997</c:v>
                </c:pt>
                <c:pt idx="20">
                  <c:v>47.493000000000002</c:v>
                </c:pt>
                <c:pt idx="21">
                  <c:v>47.826999999999998</c:v>
                </c:pt>
                <c:pt idx="22">
                  <c:v>45.936</c:v>
                </c:pt>
                <c:pt idx="23">
                  <c:v>51.058999999999997</c:v>
                </c:pt>
                <c:pt idx="24">
                  <c:v>53.16</c:v>
                </c:pt>
                <c:pt idx="25">
                  <c:v>52.279000000000003</c:v>
                </c:pt>
                <c:pt idx="26">
                  <c:v>49.753999999999998</c:v>
                </c:pt>
                <c:pt idx="27">
                  <c:v>52.008000000000003</c:v>
                </c:pt>
                <c:pt idx="28">
                  <c:v>50.317</c:v>
                </c:pt>
                <c:pt idx="29">
                  <c:v>45.555</c:v>
                </c:pt>
                <c:pt idx="30">
                  <c:v>33.673999999999999</c:v>
                </c:pt>
              </c:numCache>
            </c:numRef>
          </c:val>
          <c:smooth val="0"/>
          <c:extLst xmlns:c16r2="http://schemas.microsoft.com/office/drawing/2015/06/chart">
            <c:ext xmlns:c16="http://schemas.microsoft.com/office/drawing/2014/chart" uri="{C3380CC4-5D6E-409C-BE32-E72D297353CC}">
              <c16:uniqueId val="{00000000-E896-48BC-A61D-8D23180890A5}"/>
            </c:ext>
          </c:extLst>
        </c:ser>
        <c:dLbls>
          <c:showLegendKey val="0"/>
          <c:showVal val="0"/>
          <c:showCatName val="0"/>
          <c:showSerName val="0"/>
          <c:showPercent val="0"/>
          <c:showBubbleSize val="0"/>
        </c:dLbls>
        <c:marker val="1"/>
        <c:smooth val="0"/>
        <c:axId val="261092808"/>
        <c:axId val="261093200"/>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E896-48BC-A61D-8D23180890A5}"/>
              </c:ext>
            </c:extLst>
          </c:dPt>
          <c:cat>
            <c:numRef>
              <c:f>[2]Report1!$A$9</c:f>
              <c:numCache>
                <c:formatCode>General</c:formatCode>
                <c:ptCount val="1"/>
                <c:pt idx="0">
                  <c:v>46082</c:v>
                </c:pt>
              </c:numCache>
            </c:numRef>
          </c:cat>
          <c:val>
            <c:numRef>
              <c:f>Report1!$J$9:$J$39</c:f>
              <c:numCache>
                <c:formatCode>0.00%</c:formatCode>
                <c:ptCount val="31"/>
                <c:pt idx="0">
                  <c:v>0.65849772065240852</c:v>
                </c:pt>
                <c:pt idx="1">
                  <c:v>0.5264962187422616</c:v>
                </c:pt>
                <c:pt idx="2">
                  <c:v>0.74698095380945828</c:v>
                </c:pt>
                <c:pt idx="3">
                  <c:v>0.70333871602328335</c:v>
                </c:pt>
                <c:pt idx="4">
                  <c:v>0.80272800570440528</c:v>
                </c:pt>
                <c:pt idx="5">
                  <c:v>0.49338247867454166</c:v>
                </c:pt>
                <c:pt idx="6">
                  <c:v>0.59045441546237065</c:v>
                </c:pt>
                <c:pt idx="7">
                  <c:v>0.86277855736992093</c:v>
                </c:pt>
                <c:pt idx="8">
                  <c:v>0.91365569597866092</c:v>
                </c:pt>
                <c:pt idx="9">
                  <c:v>0.99665594562293292</c:v>
                </c:pt>
                <c:pt idx="10">
                  <c:v>1.0109784536307025</c:v>
                </c:pt>
                <c:pt idx="11">
                  <c:v>1.0062673505638271</c:v>
                </c:pt>
                <c:pt idx="12">
                  <c:v>0.93731013283192754</c:v>
                </c:pt>
                <c:pt idx="13">
                  <c:v>0.99057481693450367</c:v>
                </c:pt>
                <c:pt idx="14">
                  <c:v>1.0104476710924306</c:v>
                </c:pt>
                <c:pt idx="15">
                  <c:v>1.0339152184855311</c:v>
                </c:pt>
                <c:pt idx="16">
                  <c:v>1.0342833460111804</c:v>
                </c:pt>
                <c:pt idx="17">
                  <c:v>0.88917135028025607</c:v>
                </c:pt>
                <c:pt idx="18">
                  <c:v>0.95454062845367194</c:v>
                </c:pt>
                <c:pt idx="19">
                  <c:v>0.89580051050181619</c:v>
                </c:pt>
                <c:pt idx="20">
                  <c:v>0.93349160117942476</c:v>
                </c:pt>
                <c:pt idx="21">
                  <c:v>0.94194678766189488</c:v>
                </c:pt>
                <c:pt idx="22">
                  <c:v>0.89619456962840449</c:v>
                </c:pt>
                <c:pt idx="23">
                  <c:v>0.95579908542762404</c:v>
                </c:pt>
                <c:pt idx="24">
                  <c:v>0.95963219442538172</c:v>
                </c:pt>
                <c:pt idx="25">
                  <c:v>0.95343642810489382</c:v>
                </c:pt>
                <c:pt idx="26">
                  <c:v>1.0110415402807589</c:v>
                </c:pt>
                <c:pt idx="27">
                  <c:v>0.98301850349108399</c:v>
                </c:pt>
                <c:pt idx="28">
                  <c:v>0.93254401008358123</c:v>
                </c:pt>
                <c:pt idx="29">
                  <c:v>0.84291867269039633</c:v>
                </c:pt>
                <c:pt idx="30">
                  <c:v>0.59600481596337884</c:v>
                </c:pt>
              </c:numCache>
            </c:numRef>
          </c:val>
          <c:smooth val="0"/>
          <c:extLst xmlns:c16r2="http://schemas.microsoft.com/office/drawing/2015/06/chart">
            <c:ext xmlns:c16="http://schemas.microsoft.com/office/drawing/2014/chart" uri="{C3380CC4-5D6E-409C-BE32-E72D297353CC}">
              <c16:uniqueId val="{00000002-E896-48BC-A61D-8D23180890A5}"/>
            </c:ext>
          </c:extLst>
        </c:ser>
        <c:ser>
          <c:idx val="1"/>
          <c:order val="2"/>
          <c:tx>
            <c:v>EFF TARGET TODATE</c:v>
          </c:tx>
          <c:marker>
            <c:symbol val="square"/>
            <c:size val="5"/>
          </c:marker>
          <c:cat>
            <c:numRef>
              <c:f>[2]Report1!$A$9</c:f>
              <c:numCache>
                <c:formatCode>General</c:formatCode>
                <c:ptCount val="1"/>
                <c:pt idx="0">
                  <c:v>46082</c:v>
                </c:pt>
              </c:numCache>
            </c:numRef>
          </c:cat>
          <c:val>
            <c:numRef>
              <c:f>Report1!$K$9:$K$39</c:f>
              <c:numCache>
                <c:formatCode>0.00%</c:formatCode>
                <c:ptCount val="31"/>
                <c:pt idx="0">
                  <c:v>0.65849772065240852</c:v>
                </c:pt>
                <c:pt idx="1">
                  <c:v>0.59248734059710517</c:v>
                </c:pt>
                <c:pt idx="2">
                  <c:v>0.64440541112937855</c:v>
                </c:pt>
                <c:pt idx="3">
                  <c:v>0.65913649224691639</c:v>
                </c:pt>
                <c:pt idx="4">
                  <c:v>0.68776414189123547</c:v>
                </c:pt>
                <c:pt idx="5">
                  <c:v>0.65546938764746199</c:v>
                </c:pt>
                <c:pt idx="6">
                  <c:v>0.64616853185505374</c:v>
                </c:pt>
                <c:pt idx="7">
                  <c:v>0.67250556514242266</c:v>
                </c:pt>
                <c:pt idx="8">
                  <c:v>0.6984778007413589</c:v>
                </c:pt>
                <c:pt idx="9">
                  <c:v>0.72739221166333679</c:v>
                </c:pt>
                <c:pt idx="10">
                  <c:v>0.75242931227355714</c:v>
                </c:pt>
                <c:pt idx="11">
                  <c:v>0.77302053469254062</c:v>
                </c:pt>
                <c:pt idx="12">
                  <c:v>0.78537880848135755</c:v>
                </c:pt>
                <c:pt idx="13">
                  <c:v>0.79975889973573477</c:v>
                </c:pt>
                <c:pt idx="14">
                  <c:v>0.81347544197889277</c:v>
                </c:pt>
                <c:pt idx="15">
                  <c:v>0.82692363643200062</c:v>
                </c:pt>
                <c:pt idx="16">
                  <c:v>0.83884649712773385</c:v>
                </c:pt>
                <c:pt idx="17">
                  <c:v>0.84159418684621523</c:v>
                </c:pt>
                <c:pt idx="18">
                  <c:v>0.84721545222774441</c:v>
                </c:pt>
                <c:pt idx="19">
                  <c:v>0.84957474997839977</c:v>
                </c:pt>
                <c:pt idx="20">
                  <c:v>0.85345223422669003</c:v>
                </c:pt>
                <c:pt idx="21">
                  <c:v>0.85735314632591308</c:v>
                </c:pt>
                <c:pt idx="22">
                  <c:v>0.8590079279066769</c:v>
                </c:pt>
                <c:pt idx="23">
                  <c:v>0.86312291474230518</c:v>
                </c:pt>
                <c:pt idx="24">
                  <c:v>0.86719802872629703</c:v>
                </c:pt>
                <c:pt idx="25">
                  <c:v>0.87065777622360041</c:v>
                </c:pt>
                <c:pt idx="26">
                  <c:v>0.87553667791784306</c:v>
                </c:pt>
                <c:pt idx="27">
                  <c:v>0.87940799245740564</c:v>
                </c:pt>
                <c:pt idx="28">
                  <c:v>0.88129069758705103</c:v>
                </c:pt>
                <c:pt idx="29">
                  <c:v>0.87997557162838336</c:v>
                </c:pt>
                <c:pt idx="30">
                  <c:v>0.87015283921102526</c:v>
                </c:pt>
              </c:numCache>
            </c:numRef>
          </c:val>
          <c:smooth val="0"/>
          <c:extLst xmlns:c16r2="http://schemas.microsoft.com/office/drawing/2015/06/chart">
            <c:ext xmlns:c16="http://schemas.microsoft.com/office/drawing/2014/chart" uri="{C3380CC4-5D6E-409C-BE32-E72D297353CC}">
              <c16:uniqueId val="{00000003-E896-48BC-A61D-8D23180890A5}"/>
            </c:ext>
          </c:extLst>
        </c:ser>
        <c:dLbls>
          <c:showLegendKey val="0"/>
          <c:showVal val="0"/>
          <c:showCatName val="0"/>
          <c:showSerName val="0"/>
          <c:showPercent val="0"/>
          <c:showBubbleSize val="0"/>
        </c:dLbls>
        <c:marker val="1"/>
        <c:smooth val="0"/>
        <c:axId val="261093984"/>
        <c:axId val="261093592"/>
      </c:lineChart>
      <c:catAx>
        <c:axId val="261092808"/>
        <c:scaling>
          <c:orientation val="minMax"/>
        </c:scaling>
        <c:delete val="0"/>
        <c:axPos val="b"/>
        <c:numFmt formatCode="General" sourceLinked="1"/>
        <c:majorTickMark val="out"/>
        <c:minorTickMark val="none"/>
        <c:tickLblPos val="nextTo"/>
        <c:crossAx val="261093200"/>
        <c:crosses val="autoZero"/>
        <c:auto val="1"/>
        <c:lblAlgn val="ctr"/>
        <c:lblOffset val="100"/>
        <c:noMultiLvlLbl val="1"/>
      </c:catAx>
      <c:valAx>
        <c:axId val="261093200"/>
        <c:scaling>
          <c:orientation val="minMax"/>
        </c:scaling>
        <c:delete val="0"/>
        <c:axPos val="l"/>
        <c:majorGridlines/>
        <c:numFmt formatCode="#,##0.000" sourceLinked="1"/>
        <c:majorTickMark val="out"/>
        <c:minorTickMark val="none"/>
        <c:tickLblPos val="nextTo"/>
        <c:crossAx val="261092808"/>
        <c:crosses val="autoZero"/>
        <c:crossBetween val="between"/>
      </c:valAx>
      <c:valAx>
        <c:axId val="261093592"/>
        <c:scaling>
          <c:orientation val="minMax"/>
        </c:scaling>
        <c:delete val="0"/>
        <c:axPos val="r"/>
        <c:numFmt formatCode="0.00%" sourceLinked="1"/>
        <c:majorTickMark val="out"/>
        <c:minorTickMark val="none"/>
        <c:tickLblPos val="nextTo"/>
        <c:crossAx val="261093984"/>
        <c:crosses val="max"/>
        <c:crossBetween val="between"/>
      </c:valAx>
      <c:catAx>
        <c:axId val="261093984"/>
        <c:scaling>
          <c:orientation val="minMax"/>
        </c:scaling>
        <c:delete val="1"/>
        <c:axPos val="b"/>
        <c:numFmt formatCode="General" sourceLinked="1"/>
        <c:majorTickMark val="out"/>
        <c:minorTickMark val="none"/>
        <c:tickLblPos val="none"/>
        <c:crossAx val="261093592"/>
        <c:crosses val="autoZero"/>
        <c:auto val="1"/>
        <c:lblAlgn val="ctr"/>
        <c:lblOffset val="100"/>
        <c:noMultiLvlLbl val="1"/>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504824</xdr:colOff>
      <xdr:row>26</xdr:row>
      <xdr:rowOff>95249</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MARET%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ILY%20REPORT%20PM%2011%20MARET%202026.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P%20PM%2015%20MARET%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AY9">
            <v>4216.8386057301423</v>
          </cell>
        </row>
        <row r="10">
          <cell r="AY10">
            <v>3311.0567222482282</v>
          </cell>
        </row>
        <row r="11">
          <cell r="AY11">
            <v>4290.7663327672753</v>
          </cell>
        </row>
        <row r="12">
          <cell r="AY12">
            <v>3774.0961310746475</v>
          </cell>
        </row>
        <row r="13">
          <cell r="AY13">
            <v>4091.4502893290778</v>
          </cell>
        </row>
        <row r="14">
          <cell r="AY14">
            <v>2299.8884110733748</v>
          </cell>
        </row>
        <row r="15">
          <cell r="AY15">
            <v>4350.4667975801558</v>
          </cell>
        </row>
        <row r="16">
          <cell r="AY16">
            <v>3957.0449630557396</v>
          </cell>
        </row>
        <row r="17">
          <cell r="AY17">
            <v>4468.3044827761669</v>
          </cell>
        </row>
        <row r="18">
          <cell r="AY18">
            <v>4436.1317744755243</v>
          </cell>
        </row>
        <row r="19">
          <cell r="AY19">
            <v>4422.8808165316623</v>
          </cell>
        </row>
        <row r="20">
          <cell r="AY20">
            <v>4342.4234784064902</v>
          </cell>
        </row>
        <row r="21">
          <cell r="AY21">
            <v>4363.8426070276519</v>
          </cell>
        </row>
        <row r="22">
          <cell r="AY22">
            <v>4389.4903583406885</v>
          </cell>
        </row>
        <row r="23">
          <cell r="AY23">
            <v>4374.4160874854915</v>
          </cell>
        </row>
        <row r="24">
          <cell r="AY24">
            <v>3865.9083988281363</v>
          </cell>
        </row>
        <row r="25">
          <cell r="AY25">
            <v>6150.8539374638094</v>
          </cell>
        </row>
        <row r="26">
          <cell r="AY26">
            <v>5268.0415369334978</v>
          </cell>
        </row>
        <row r="27">
          <cell r="AY27">
            <v>5297.5256555226042</v>
          </cell>
        </row>
        <row r="28">
          <cell r="AY28">
            <v>5579.8311988197811</v>
          </cell>
        </row>
        <row r="29">
          <cell r="AY29">
            <v>5701.7579910130971</v>
          </cell>
        </row>
        <row r="30">
          <cell r="AY30">
            <v>5694.4038701290392</v>
          </cell>
        </row>
        <row r="31">
          <cell r="AY31">
            <v>5370.5047333179409</v>
          </cell>
        </row>
        <row r="32">
          <cell r="AY32">
            <v>5041.7839984278962</v>
          </cell>
        </row>
        <row r="33">
          <cell r="AY33">
            <v>5163.7208801850766</v>
          </cell>
        </row>
        <row r="34">
          <cell r="AY34">
            <v>5195.5551474257882</v>
          </cell>
        </row>
        <row r="35">
          <cell r="AY35">
            <v>4858.0378860579849</v>
          </cell>
        </row>
        <row r="36">
          <cell r="AY36">
            <v>4950.0190466006834</v>
          </cell>
        </row>
        <row r="37">
          <cell r="AY37">
            <v>5022.2523060445819</v>
          </cell>
        </row>
        <row r="38">
          <cell r="AY38">
            <v>4702.5984600563843</v>
          </cell>
        </row>
        <row r="39">
          <cell r="AY39">
            <v>3889.7240125547719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value"/>
      <sheetName val="eff all"/>
      <sheetName val="Report1"/>
      <sheetName val="GRAFIK"/>
      <sheetName val="Listrik"/>
      <sheetName val="Trim Rwd"/>
      <sheetName val="Efficiency1"/>
      <sheetName val="Efficiency2"/>
      <sheetName val="BB"/>
      <sheetName val="Chem"/>
      <sheetName val="RBP"/>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sheetData sheetId="1"/>
      <sheetData sheetId="2">
        <row r="9">
          <cell r="A9">
            <v>46082</v>
          </cell>
        </row>
        <row r="10">
          <cell r="A10">
            <v>46083</v>
          </cell>
        </row>
        <row r="11">
          <cell r="A11">
            <v>46084</v>
          </cell>
        </row>
        <row r="12">
          <cell r="A12">
            <v>46085</v>
          </cell>
        </row>
        <row r="13">
          <cell r="A13">
            <v>46086</v>
          </cell>
        </row>
        <row r="14">
          <cell r="A14">
            <v>46087</v>
          </cell>
        </row>
        <row r="15">
          <cell r="A15">
            <v>46088</v>
          </cell>
        </row>
        <row r="16">
          <cell r="A16">
            <v>46089</v>
          </cell>
        </row>
        <row r="17">
          <cell r="A17">
            <v>46090</v>
          </cell>
        </row>
        <row r="18">
          <cell r="A18">
            <v>46091</v>
          </cell>
        </row>
        <row r="19">
          <cell r="A19">
            <v>46092</v>
          </cell>
        </row>
        <row r="20">
          <cell r="A20">
            <v>46093</v>
          </cell>
        </row>
        <row r="21">
          <cell r="A21">
            <v>46094</v>
          </cell>
        </row>
        <row r="22">
          <cell r="A22">
            <v>46095</v>
          </cell>
        </row>
        <row r="23">
          <cell r="A23">
            <v>46096</v>
          </cell>
        </row>
        <row r="24">
          <cell r="A24">
            <v>46097</v>
          </cell>
        </row>
        <row r="25">
          <cell r="A25">
            <v>46098</v>
          </cell>
        </row>
        <row r="26">
          <cell r="A26">
            <v>46099</v>
          </cell>
        </row>
        <row r="27">
          <cell r="A27">
            <v>46100</v>
          </cell>
        </row>
        <row r="28">
          <cell r="A28">
            <v>46101</v>
          </cell>
        </row>
        <row r="29">
          <cell r="A29">
            <v>46102</v>
          </cell>
        </row>
        <row r="30">
          <cell r="A30">
            <v>46103</v>
          </cell>
        </row>
        <row r="31">
          <cell r="A31">
            <v>46104</v>
          </cell>
        </row>
        <row r="32">
          <cell r="A32">
            <v>46105</v>
          </cell>
        </row>
        <row r="33">
          <cell r="A33">
            <v>46106</v>
          </cell>
        </row>
        <row r="34">
          <cell r="A34">
            <v>46107</v>
          </cell>
        </row>
        <row r="35">
          <cell r="A35">
            <v>46108</v>
          </cell>
        </row>
        <row r="36">
          <cell r="A36">
            <v>46109</v>
          </cell>
        </row>
        <row r="37">
          <cell r="A37">
            <v>46110</v>
          </cell>
        </row>
        <row r="38">
          <cell r="A38">
            <v>46111</v>
          </cell>
        </row>
        <row r="39">
          <cell r="A39">
            <v>46112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s>
    <sheetDataSet>
      <sheetData sheetId="0"/>
      <sheetData sheetId="1"/>
      <sheetData sheetId="2"/>
      <sheetData sheetId="3">
        <row r="38">
          <cell r="BD38">
            <v>1153864.3573532479</v>
          </cell>
        </row>
      </sheetData>
      <sheetData sheetId="4"/>
      <sheetData sheetId="5">
        <row r="7">
          <cell r="D7">
            <v>96.540000000968575</v>
          </cell>
          <cell r="AL7">
            <v>25595.45</v>
          </cell>
          <cell r="AM7">
            <v>10435.450000000001</v>
          </cell>
          <cell r="AN7">
            <v>649.99999999997726</v>
          </cell>
          <cell r="BM7">
            <v>15252.600000000004</v>
          </cell>
        </row>
        <row r="8">
          <cell r="AL8">
            <v>18665.849999999999</v>
          </cell>
          <cell r="AM8">
            <v>9505.85</v>
          </cell>
          <cell r="AN8">
            <v>399.99999999997726</v>
          </cell>
          <cell r="BM8">
            <v>16604</v>
          </cell>
        </row>
        <row r="9">
          <cell r="AL9">
            <v>28408.49</v>
          </cell>
          <cell r="AM9">
            <v>10248.49</v>
          </cell>
          <cell r="AN9">
            <v>480.00000000001819</v>
          </cell>
          <cell r="BM9">
            <v>18999.000000000004</v>
          </cell>
        </row>
        <row r="10">
          <cell r="AL10">
            <v>24081.68</v>
          </cell>
          <cell r="AM10">
            <v>9921.68</v>
          </cell>
          <cell r="AN10">
            <v>659.99999999996817</v>
          </cell>
          <cell r="BM10">
            <v>20677.899000000358</v>
          </cell>
        </row>
        <row r="11">
          <cell r="AL11">
            <v>26728.71</v>
          </cell>
          <cell r="AM11">
            <v>11568.71</v>
          </cell>
          <cell r="AN11">
            <v>759.99999999999091</v>
          </cell>
          <cell r="BM11">
            <v>20494.484999999764</v>
          </cell>
        </row>
        <row r="12">
          <cell r="AL12">
            <v>17804.510000000002</v>
          </cell>
          <cell r="AM12">
            <v>8644.51</v>
          </cell>
          <cell r="AN12">
            <v>460.00000000003638</v>
          </cell>
          <cell r="BM12">
            <v>17410.492000000319</v>
          </cell>
        </row>
        <row r="13">
          <cell r="AL13">
            <v>19739.509999999998</v>
          </cell>
          <cell r="AM13">
            <v>8579.51</v>
          </cell>
          <cell r="AN13">
            <v>529.99999999997272</v>
          </cell>
          <cell r="BM13">
            <v>16581.399999999492</v>
          </cell>
        </row>
        <row r="14">
          <cell r="AL14">
            <v>23983.23</v>
          </cell>
          <cell r="AM14">
            <v>10823.23</v>
          </cell>
          <cell r="AN14">
            <v>770.0000000000955</v>
          </cell>
          <cell r="BM14">
            <v>23735.356000000094</v>
          </cell>
        </row>
        <row r="15">
          <cell r="AL15">
            <v>28702.55</v>
          </cell>
          <cell r="AM15">
            <v>11542.55</v>
          </cell>
          <cell r="AN15">
            <v>729.9999999999045</v>
          </cell>
          <cell r="BM15">
            <v>21141.094000000048</v>
          </cell>
        </row>
        <row r="16">
          <cell r="AL16">
            <v>26477.16</v>
          </cell>
          <cell r="AM16">
            <v>11317.16</v>
          </cell>
          <cell r="AN16">
            <v>680.00000000006366</v>
          </cell>
          <cell r="BM16">
            <v>28224.049000000006</v>
          </cell>
        </row>
        <row r="17">
          <cell r="AL17">
            <v>25566.87</v>
          </cell>
          <cell r="AM17">
            <v>11406.87</v>
          </cell>
          <cell r="AN17">
            <v>669.99999999995907</v>
          </cell>
          <cell r="BM17">
            <v>27891.951000000008</v>
          </cell>
        </row>
        <row r="18">
          <cell r="AL18">
            <v>24813.89</v>
          </cell>
          <cell r="AM18">
            <v>11653.89</v>
          </cell>
          <cell r="AN18">
            <v>680.00000000006366</v>
          </cell>
          <cell r="BM18">
            <v>24819.899999999998</v>
          </cell>
        </row>
        <row r="19">
          <cell r="AL19">
            <v>28522.89</v>
          </cell>
          <cell r="AM19">
            <v>12362.89</v>
          </cell>
          <cell r="AN19">
            <v>889.99999999998636</v>
          </cell>
          <cell r="BM19">
            <v>24769.549000000006</v>
          </cell>
        </row>
        <row r="20">
          <cell r="AL20">
            <v>25292.3</v>
          </cell>
          <cell r="AM20">
            <v>11132.3</v>
          </cell>
          <cell r="AN20">
            <v>709.99999999992269</v>
          </cell>
          <cell r="BM20">
            <v>27480.000000000004</v>
          </cell>
        </row>
        <row r="21">
          <cell r="AL21">
            <v>25301.85</v>
          </cell>
          <cell r="AM21">
            <v>12141.85</v>
          </cell>
          <cell r="AN21">
            <v>730.00000000001819</v>
          </cell>
          <cell r="BM21">
            <v>27466.400000000005</v>
          </cell>
        </row>
        <row r="22">
          <cell r="AL22">
            <v>30383.4</v>
          </cell>
          <cell r="AM22">
            <v>12223.4</v>
          </cell>
          <cell r="AN22">
            <v>700.00000000004547</v>
          </cell>
          <cell r="BM22">
            <v>22899.000000000004</v>
          </cell>
        </row>
        <row r="23">
          <cell r="AL23">
            <v>29844.03</v>
          </cell>
          <cell r="AM23">
            <v>11684.03</v>
          </cell>
          <cell r="AN23">
            <v>699.99999999993179</v>
          </cell>
          <cell r="BM23">
            <v>23934.249000000014</v>
          </cell>
        </row>
        <row r="24">
          <cell r="AL24">
            <v>31185.64</v>
          </cell>
          <cell r="AM24">
            <v>12025.64</v>
          </cell>
          <cell r="AN24">
            <v>560.00000000005912</v>
          </cell>
          <cell r="BM24">
            <v>20906.953999999987</v>
          </cell>
        </row>
        <row r="25">
          <cell r="AL25">
            <v>29612.58</v>
          </cell>
          <cell r="AM25">
            <v>12452.58</v>
          </cell>
          <cell r="AN25">
            <v>470.00000000002728</v>
          </cell>
          <cell r="BM25">
            <v>23509.288000000008</v>
          </cell>
        </row>
        <row r="26">
          <cell r="AL26">
            <v>32687.49</v>
          </cell>
          <cell r="AM26">
            <v>8527.49</v>
          </cell>
          <cell r="AN26">
            <v>629.99999999999545</v>
          </cell>
          <cell r="BM26">
            <v>23386.455000000013</v>
          </cell>
        </row>
        <row r="27">
          <cell r="AL27">
            <v>32293.27</v>
          </cell>
          <cell r="AM27">
            <v>10133.27</v>
          </cell>
          <cell r="AN27">
            <v>519.99999999998181</v>
          </cell>
          <cell r="BM27">
            <v>25186.544999999995</v>
          </cell>
        </row>
        <row r="28">
          <cell r="AL28">
            <v>32570.15</v>
          </cell>
          <cell r="AM28">
            <v>9410.15</v>
          </cell>
          <cell r="AN28">
            <v>539.99999999996362</v>
          </cell>
          <cell r="BM28">
            <v>24632.652999999671</v>
          </cell>
        </row>
        <row r="29">
          <cell r="AL29">
            <v>31557.01</v>
          </cell>
          <cell r="AM29">
            <v>11397.01</v>
          </cell>
          <cell r="AN29">
            <v>610.00000000001364</v>
          </cell>
          <cell r="BM29">
            <v>27352.742000000275</v>
          </cell>
        </row>
        <row r="30">
          <cell r="AL30">
            <v>32843.83</v>
          </cell>
          <cell r="AM30">
            <v>11683.83</v>
          </cell>
          <cell r="AN30">
            <v>539.99999999996362</v>
          </cell>
          <cell r="BM30">
            <v>23016.402000000009</v>
          </cell>
        </row>
        <row r="31">
          <cell r="AL31">
            <v>31582.01</v>
          </cell>
          <cell r="AM31">
            <v>10422.01</v>
          </cell>
          <cell r="AN31">
            <v>530.0000000000864</v>
          </cell>
          <cell r="BM31">
            <v>30706.000000000004</v>
          </cell>
        </row>
        <row r="32">
          <cell r="AL32">
            <v>31444.3</v>
          </cell>
          <cell r="AM32">
            <v>10284.299999999999</v>
          </cell>
          <cell r="AN32">
            <v>509.99999999999091</v>
          </cell>
          <cell r="BM32">
            <v>30496.400000000001</v>
          </cell>
        </row>
        <row r="33">
          <cell r="AL33">
            <v>33089.479999999996</v>
          </cell>
          <cell r="AM33">
            <v>10929.48</v>
          </cell>
          <cell r="AN33">
            <v>600.00000000002274</v>
          </cell>
          <cell r="BM33">
            <v>24834.000000000418</v>
          </cell>
        </row>
        <row r="34">
          <cell r="AL34">
            <v>31089.54</v>
          </cell>
          <cell r="AM34">
            <v>9929.5400000000009</v>
          </cell>
          <cell r="AN34">
            <v>619.99999999989086</v>
          </cell>
          <cell r="BM34">
            <v>24768.949999999892</v>
          </cell>
        </row>
        <row r="35">
          <cell r="AL35">
            <v>26776.26</v>
          </cell>
          <cell r="AM35">
            <v>11616.26</v>
          </cell>
          <cell r="AN35">
            <v>600.00000000002274</v>
          </cell>
          <cell r="BM35">
            <v>26625.161999999797</v>
          </cell>
        </row>
        <row r="36">
          <cell r="AL36">
            <v>30169.54</v>
          </cell>
          <cell r="AM36">
            <v>11009.54</v>
          </cell>
          <cell r="AN36">
            <v>680.00000000006366</v>
          </cell>
          <cell r="BM36">
            <v>21379.871999999665</v>
          </cell>
        </row>
        <row r="37">
          <cell r="AL37">
            <v>23443.9</v>
          </cell>
          <cell r="AM37">
            <v>9283.9</v>
          </cell>
          <cell r="AN37">
            <v>519.99999999998181</v>
          </cell>
          <cell r="BM37">
            <v>22302.439999999871</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92">
          <cell r="F92">
            <v>1641.9455841001463</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CK116"/>
    </sheetView>
  </sheetViews>
  <sheetFormatPr defaultRowHeight="12.75"/>
  <cols>
    <col min="1" max="1" width="11.5703125" customWidth="1"/>
    <col min="2" max="9" width="9.140625" customWidth="1"/>
    <col min="10" max="10" width="10.28515625" customWidth="1"/>
    <col min="11" max="11" width="9.140625" customWidth="1"/>
    <col min="12" max="25" width="9.42578125" customWidth="1"/>
    <col min="26" max="34" width="9.140625" customWidth="1"/>
    <col min="35" max="35" width="9.28515625" customWidth="1"/>
    <col min="36" max="36" width="10.28515625" customWidth="1"/>
    <col min="37" max="51" width="9.140625" customWidth="1"/>
    <col min="52" max="52" width="12.85546875" customWidth="1"/>
    <col min="53" max="71" width="9.1406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CK116"/>
    </sheetView>
  </sheetViews>
  <sheetFormatPr defaultRowHeight="12.75"/>
  <cols>
    <col min="1" max="1" width="11.5703125" customWidth="1"/>
    <col min="2" max="57" width="0" hidden="1" customWidth="1"/>
    <col min="58" max="71" width="9.14062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O65536"/>
  <sheetViews>
    <sheetView zoomScaleNormal="100" workbookViewId="0">
      <pane xSplit="3" ySplit="8" topLeftCell="Q24" activePane="bottomRight" state="frozen"/>
      <selection pane="topRight" activeCell="E1" sqref="E1"/>
      <selection pane="bottomLeft" activeCell="A9" sqref="A9"/>
      <selection pane="bottomRight" activeCell="BE48" sqref="BE48"/>
    </sheetView>
  </sheetViews>
  <sheetFormatPr defaultColWidth="9.140625" defaultRowHeight="12.75"/>
  <cols>
    <col min="1" max="1" width="7.42578125" style="286" bestFit="1" customWidth="1"/>
    <col min="2" max="2" width="10.42578125" style="285" bestFit="1" customWidth="1"/>
    <col min="3" max="3" width="12.28515625" style="285" bestFit="1" customWidth="1"/>
    <col min="4" max="5" width="8.42578125" style="285" customWidth="1"/>
    <col min="6" max="6" width="6.28515625" style="285" customWidth="1"/>
    <col min="7" max="7" width="8.28515625" style="285" customWidth="1"/>
    <col min="8" max="8" width="10.42578125" style="285" customWidth="1"/>
    <col min="9" max="9" width="12.28515625" style="285" customWidth="1"/>
    <col min="10" max="11" width="10.5703125" style="285" customWidth="1"/>
    <col min="12" max="12" width="10" style="287" bestFit="1" customWidth="1"/>
    <col min="13" max="15" width="9.42578125" style="288" customWidth="1"/>
    <col min="16" max="16" width="10.28515625" style="287" bestFit="1" customWidth="1"/>
    <col min="17" max="17" width="8.140625" style="288" customWidth="1"/>
    <col min="18" max="18" width="10.28515625" style="287" bestFit="1" customWidth="1"/>
    <col min="19" max="19" width="8.28515625" style="289" bestFit="1" customWidth="1"/>
    <col min="20" max="20" width="9" style="289" hidden="1" customWidth="1"/>
    <col min="21" max="21" width="7.28515625" style="289" hidden="1" customWidth="1"/>
    <col min="22" max="22" width="8.28515625" style="290" hidden="1" customWidth="1"/>
    <col min="23" max="23" width="7.28515625" style="291" hidden="1" customWidth="1"/>
    <col min="24" max="24" width="6.85546875" style="289" hidden="1" customWidth="1"/>
    <col min="25" max="25" width="6.28515625" style="289" hidden="1" customWidth="1"/>
    <col min="26" max="26" width="10" style="292" hidden="1" customWidth="1"/>
    <col min="27" max="27" width="7.140625" style="289" hidden="1" customWidth="1"/>
    <col min="28" max="28" width="11.140625" style="288" customWidth="1"/>
    <col min="29" max="29" width="10.140625" style="288" customWidth="1"/>
    <col min="30" max="30" width="7.5703125" style="288" customWidth="1"/>
    <col min="31" max="31" width="7.140625" style="288" customWidth="1"/>
    <col min="32" max="32" width="6.5703125" style="293" customWidth="1"/>
    <col min="33" max="33" width="6.85546875" style="291" customWidth="1"/>
    <col min="34" max="34" width="9.28515625" style="289" bestFit="1" customWidth="1"/>
    <col min="35" max="35" width="7.85546875" style="289" customWidth="1"/>
    <col min="36" max="36" width="8.7109375" style="292" bestFit="1" customWidth="1"/>
    <col min="37" max="37" width="6.85546875" style="292" bestFit="1" customWidth="1"/>
    <col min="38" max="38" width="8.140625" style="289" bestFit="1" customWidth="1"/>
    <col min="39" max="39" width="7.5703125" style="292" bestFit="1" customWidth="1"/>
    <col min="40" max="45" width="7.5703125" style="292" customWidth="1"/>
    <col min="46" max="47" width="10.7109375" style="289" bestFit="1" customWidth="1"/>
    <col min="48" max="51" width="7.5703125" style="292" customWidth="1"/>
    <col min="58" max="58" width="8.85546875" style="289" hidden="1" customWidth="1"/>
    <col min="59" max="59" width="6.85546875" style="289" hidden="1" customWidth="1"/>
    <col min="60" max="63" width="7.5703125" style="292" hidden="1" customWidth="1"/>
    <col min="64" max="64" width="8.7109375" style="287" customWidth="1"/>
    <col min="65" max="65" width="8.7109375" style="288" customWidth="1"/>
    <col min="66" max="67" width="8.7109375" style="285" customWidth="1"/>
  </cols>
  <sheetData>
    <row r="1" spans="1:67" ht="12.75" customHeight="1">
      <c r="A1" s="284"/>
    </row>
    <row r="2" spans="1:67">
      <c r="A2" s="284"/>
    </row>
    <row r="3" spans="1:67" ht="12.75" customHeight="1">
      <c r="A3" s="450" t="s">
        <v>393</v>
      </c>
      <c r="B3" s="450"/>
      <c r="C3" s="450"/>
      <c r="D3" s="450"/>
      <c r="E3" s="450"/>
      <c r="F3" s="450"/>
      <c r="G3" s="450"/>
      <c r="H3" s="450"/>
      <c r="I3" s="450"/>
      <c r="J3" s="450"/>
      <c r="K3" s="450"/>
      <c r="L3" s="450"/>
      <c r="M3" s="450"/>
      <c r="N3" s="450"/>
      <c r="O3" s="450"/>
      <c r="P3" s="450"/>
      <c r="Q3" s="450"/>
      <c r="R3" s="450"/>
      <c r="S3" s="450"/>
      <c r="T3" s="450"/>
      <c r="U3" s="450"/>
      <c r="V3" s="450"/>
      <c r="W3" s="450"/>
      <c r="X3" s="450"/>
      <c r="Y3" s="450"/>
      <c r="Z3" s="450"/>
      <c r="AA3" s="450"/>
      <c r="AB3" s="450"/>
      <c r="AC3" s="450"/>
      <c r="AD3" s="450"/>
      <c r="AE3" s="450"/>
      <c r="AF3" s="450"/>
      <c r="AG3" s="450"/>
      <c r="AH3" s="450"/>
      <c r="AI3" s="450"/>
      <c r="AJ3" s="450"/>
      <c r="AK3" s="450"/>
      <c r="AL3" s="450"/>
      <c r="AM3" s="450"/>
      <c r="AN3" s="450"/>
      <c r="AO3" s="450"/>
      <c r="AP3" s="450"/>
      <c r="AQ3" s="450"/>
      <c r="AR3" s="450"/>
      <c r="AS3" s="450"/>
      <c r="AT3" s="450"/>
      <c r="AU3" s="450"/>
      <c r="AV3" s="450"/>
      <c r="AW3" s="450"/>
      <c r="AX3" s="450"/>
      <c r="AY3" s="450"/>
      <c r="AZ3" s="450"/>
      <c r="BA3" s="450"/>
      <c r="BB3" s="450"/>
      <c r="BC3" s="450"/>
      <c r="BF3" s="587"/>
      <c r="BG3" s="587"/>
      <c r="BH3" s="587"/>
      <c r="BI3" s="587"/>
      <c r="BJ3" s="587"/>
      <c r="BK3" s="587"/>
      <c r="BL3"/>
      <c r="BM3"/>
      <c r="BN3"/>
      <c r="BO3"/>
    </row>
    <row r="4" spans="1:67" ht="12.75" customHeight="1">
      <c r="A4" s="450"/>
      <c r="B4" s="450"/>
      <c r="C4" s="450"/>
      <c r="D4" s="450"/>
      <c r="E4" s="450"/>
      <c r="F4" s="450"/>
      <c r="G4" s="450"/>
      <c r="H4" s="450"/>
      <c r="I4" s="450"/>
      <c r="J4" s="450"/>
      <c r="K4" s="450"/>
      <c r="L4" s="450"/>
      <c r="M4" s="450"/>
      <c r="N4" s="450"/>
      <c r="O4" s="450"/>
      <c r="P4" s="450"/>
      <c r="Q4" s="450"/>
      <c r="R4" s="450"/>
      <c r="S4" s="450"/>
      <c r="T4" s="450"/>
      <c r="U4" s="450"/>
      <c r="V4" s="450"/>
      <c r="W4" s="450"/>
      <c r="X4" s="450"/>
      <c r="Y4" s="450"/>
      <c r="Z4" s="450"/>
      <c r="AA4" s="450"/>
      <c r="AB4" s="450"/>
      <c r="AC4" s="450"/>
      <c r="AD4" s="450"/>
      <c r="AE4" s="450"/>
      <c r="AF4" s="450"/>
      <c r="AG4" s="450"/>
      <c r="AH4" s="450"/>
      <c r="AI4" s="450"/>
      <c r="AJ4" s="450"/>
      <c r="AK4" s="450"/>
      <c r="AL4" s="450"/>
      <c r="AM4" s="450"/>
      <c r="AN4" s="450"/>
      <c r="AO4" s="450"/>
      <c r="AP4" s="450"/>
      <c r="AQ4" s="450"/>
      <c r="AR4" s="450"/>
      <c r="AS4" s="450"/>
      <c r="AT4" s="450"/>
      <c r="AU4" s="450"/>
      <c r="AV4" s="450"/>
      <c r="AW4" s="450"/>
      <c r="AX4" s="450"/>
      <c r="AY4" s="450"/>
      <c r="AZ4" s="450"/>
      <c r="BA4" s="450"/>
      <c r="BB4" s="450"/>
      <c r="BC4" s="450"/>
      <c r="BF4" s="587"/>
      <c r="BG4" s="587"/>
      <c r="BH4" s="587"/>
      <c r="BI4" s="587"/>
      <c r="BJ4" s="587"/>
      <c r="BK4" s="587"/>
      <c r="BL4"/>
      <c r="BM4"/>
      <c r="BN4"/>
      <c r="BO4"/>
    </row>
    <row r="5" spans="1:67">
      <c r="BN5" s="288"/>
      <c r="BO5" s="288"/>
    </row>
    <row r="6" spans="1:67" ht="22.7" customHeight="1">
      <c r="A6" s="625" t="s">
        <v>30</v>
      </c>
      <c r="B6" s="628" t="s">
        <v>6</v>
      </c>
      <c r="C6" s="628" t="s">
        <v>7</v>
      </c>
      <c r="D6" s="628" t="s">
        <v>191</v>
      </c>
      <c r="E6" s="628" t="s">
        <v>192</v>
      </c>
      <c r="F6" s="628" t="s">
        <v>193</v>
      </c>
      <c r="G6" s="628" t="s">
        <v>198</v>
      </c>
      <c r="H6" s="628" t="s">
        <v>194</v>
      </c>
      <c r="I6" s="628" t="s">
        <v>195</v>
      </c>
      <c r="J6" s="620" t="s">
        <v>196</v>
      </c>
      <c r="K6" s="621"/>
      <c r="L6" s="617" t="s">
        <v>197</v>
      </c>
      <c r="M6" s="617"/>
      <c r="N6" s="617" t="s">
        <v>199</v>
      </c>
      <c r="O6" s="617"/>
      <c r="P6" s="618" t="s">
        <v>31</v>
      </c>
      <c r="Q6" s="618"/>
      <c r="R6" s="619" t="s">
        <v>24</v>
      </c>
      <c r="S6" s="619"/>
      <c r="T6" s="619" t="s">
        <v>32</v>
      </c>
      <c r="U6" s="619"/>
      <c r="V6" s="619" t="s">
        <v>33</v>
      </c>
      <c r="W6" s="619"/>
      <c r="X6" s="619" t="s">
        <v>34</v>
      </c>
      <c r="Y6" s="619"/>
      <c r="Z6" s="619"/>
      <c r="AA6" s="619"/>
      <c r="AB6" s="619" t="s">
        <v>35</v>
      </c>
      <c r="AC6" s="619"/>
      <c r="AD6" s="619"/>
      <c r="AE6" s="619"/>
      <c r="AF6" s="619"/>
      <c r="AG6" s="619"/>
      <c r="AH6" s="619" t="s">
        <v>36</v>
      </c>
      <c r="AI6" s="619"/>
      <c r="AJ6" s="619"/>
      <c r="AK6" s="619"/>
      <c r="AL6" s="619"/>
      <c r="AM6" s="619"/>
      <c r="AN6" s="619" t="s">
        <v>189</v>
      </c>
      <c r="AO6" s="619"/>
      <c r="AP6" s="619"/>
      <c r="AQ6" s="619"/>
      <c r="AR6" s="619"/>
      <c r="AS6" s="619"/>
      <c r="AT6" s="619" t="s">
        <v>37</v>
      </c>
      <c r="AU6" s="619"/>
      <c r="AV6" s="619"/>
      <c r="AW6" s="619"/>
      <c r="AX6" s="619"/>
      <c r="AY6" s="619"/>
      <c r="AZ6" s="619" t="s">
        <v>188</v>
      </c>
      <c r="BA6" s="619"/>
      <c r="BB6" s="619"/>
      <c r="BC6" s="619"/>
      <c r="BD6" s="619"/>
      <c r="BE6" s="619"/>
      <c r="BF6" s="619" t="s">
        <v>429</v>
      </c>
      <c r="BG6" s="619"/>
      <c r="BH6" s="619"/>
      <c r="BI6" s="619"/>
      <c r="BJ6" s="619"/>
      <c r="BK6" s="619"/>
      <c r="BL6" s="617" t="s">
        <v>366</v>
      </c>
      <c r="BM6" s="617"/>
      <c r="BN6" s="620" t="s">
        <v>367</v>
      </c>
      <c r="BO6" s="621"/>
    </row>
    <row r="7" spans="1:67" ht="22.7" customHeight="1">
      <c r="A7" s="626"/>
      <c r="B7" s="628"/>
      <c r="C7" s="628"/>
      <c r="D7" s="628"/>
      <c r="E7" s="628"/>
      <c r="F7" s="628"/>
      <c r="G7" s="628"/>
      <c r="H7" s="628"/>
      <c r="I7" s="628"/>
      <c r="J7" s="622"/>
      <c r="K7" s="623"/>
      <c r="L7" s="617"/>
      <c r="M7" s="617"/>
      <c r="N7" s="617"/>
      <c r="O7" s="617"/>
      <c r="P7" s="618"/>
      <c r="Q7" s="618"/>
      <c r="R7" s="619"/>
      <c r="S7" s="619"/>
      <c r="T7" s="619"/>
      <c r="U7" s="619"/>
      <c r="V7" s="619"/>
      <c r="W7" s="619"/>
      <c r="X7" s="619" t="s">
        <v>40</v>
      </c>
      <c r="Y7" s="619"/>
      <c r="Z7" s="619" t="s">
        <v>39</v>
      </c>
      <c r="AA7" s="619"/>
      <c r="AB7" s="619" t="s">
        <v>40</v>
      </c>
      <c r="AC7" s="619"/>
      <c r="AD7" s="619" t="s">
        <v>38</v>
      </c>
      <c r="AE7" s="619"/>
      <c r="AF7" s="619" t="s">
        <v>39</v>
      </c>
      <c r="AG7" s="619"/>
      <c r="AH7" s="619" t="s">
        <v>40</v>
      </c>
      <c r="AI7" s="619"/>
      <c r="AJ7" s="624" t="s">
        <v>38</v>
      </c>
      <c r="AK7" s="624"/>
      <c r="AL7" s="619" t="s">
        <v>39</v>
      </c>
      <c r="AM7" s="619"/>
      <c r="AN7" s="619" t="s">
        <v>40</v>
      </c>
      <c r="AO7" s="619"/>
      <c r="AP7" s="624" t="s">
        <v>38</v>
      </c>
      <c r="AQ7" s="624"/>
      <c r="AR7" s="619" t="s">
        <v>39</v>
      </c>
      <c r="AS7" s="619"/>
      <c r="AT7" s="619" t="s">
        <v>40</v>
      </c>
      <c r="AU7" s="619"/>
      <c r="AV7" s="619" t="s">
        <v>27</v>
      </c>
      <c r="AW7" s="619"/>
      <c r="AX7" s="619" t="s">
        <v>28</v>
      </c>
      <c r="AY7" s="619"/>
      <c r="AZ7" s="619" t="s">
        <v>40</v>
      </c>
      <c r="BA7" s="619"/>
      <c r="BB7" s="619" t="s">
        <v>27</v>
      </c>
      <c r="BC7" s="619"/>
      <c r="BD7" s="619" t="s">
        <v>28</v>
      </c>
      <c r="BE7" s="619"/>
      <c r="BF7" s="619" t="s">
        <v>40</v>
      </c>
      <c r="BG7" s="619"/>
      <c r="BH7" s="619" t="s">
        <v>27</v>
      </c>
      <c r="BI7" s="619"/>
      <c r="BJ7" s="619" t="s">
        <v>28</v>
      </c>
      <c r="BK7" s="619"/>
      <c r="BL7" s="617"/>
      <c r="BM7" s="617"/>
      <c r="BN7" s="622"/>
      <c r="BO7" s="623"/>
    </row>
    <row r="8" spans="1:67" s="1" customFormat="1">
      <c r="A8" s="627"/>
      <c r="B8" s="628"/>
      <c r="C8" s="628"/>
      <c r="D8" s="628"/>
      <c r="E8" s="628"/>
      <c r="F8" s="628"/>
      <c r="G8" s="628"/>
      <c r="H8" s="628"/>
      <c r="I8" s="628"/>
      <c r="J8" s="456" t="s">
        <v>41</v>
      </c>
      <c r="K8" s="454" t="s">
        <v>42</v>
      </c>
      <c r="L8" s="294" t="s">
        <v>41</v>
      </c>
      <c r="M8" s="295" t="s">
        <v>42</v>
      </c>
      <c r="N8" s="294" t="s">
        <v>41</v>
      </c>
      <c r="O8" s="295" t="s">
        <v>42</v>
      </c>
      <c r="P8" s="294" t="s">
        <v>41</v>
      </c>
      <c r="Q8" s="295" t="s">
        <v>42</v>
      </c>
      <c r="R8" s="294" t="s">
        <v>41</v>
      </c>
      <c r="S8" s="296" t="s">
        <v>42</v>
      </c>
      <c r="T8" s="297" t="s">
        <v>41</v>
      </c>
      <c r="U8" s="296" t="s">
        <v>42</v>
      </c>
      <c r="V8" s="298" t="s">
        <v>41</v>
      </c>
      <c r="W8" s="295" t="s">
        <v>42</v>
      </c>
      <c r="X8" s="297" t="s">
        <v>41</v>
      </c>
      <c r="Y8" s="296" t="s">
        <v>42</v>
      </c>
      <c r="Z8" s="299" t="s">
        <v>41</v>
      </c>
      <c r="AA8" s="296" t="s">
        <v>42</v>
      </c>
      <c r="AB8" s="300" t="s">
        <v>41</v>
      </c>
      <c r="AC8" s="295" t="s">
        <v>42</v>
      </c>
      <c r="AD8" s="301" t="s">
        <v>41</v>
      </c>
      <c r="AE8" s="295" t="s">
        <v>42</v>
      </c>
      <c r="AF8" s="301" t="s">
        <v>41</v>
      </c>
      <c r="AG8" s="295" t="s">
        <v>42</v>
      </c>
      <c r="AH8" s="297" t="s">
        <v>41</v>
      </c>
      <c r="AI8" s="296" t="s">
        <v>42</v>
      </c>
      <c r="AJ8" s="299" t="s">
        <v>41</v>
      </c>
      <c r="AK8" s="302" t="s">
        <v>42</v>
      </c>
      <c r="AL8" s="297" t="s">
        <v>41</v>
      </c>
      <c r="AM8" s="302" t="s">
        <v>42</v>
      </c>
      <c r="AN8" s="297" t="s">
        <v>41</v>
      </c>
      <c r="AO8" s="296" t="s">
        <v>42</v>
      </c>
      <c r="AP8" s="299" t="s">
        <v>41</v>
      </c>
      <c r="AQ8" s="302" t="s">
        <v>42</v>
      </c>
      <c r="AR8" s="297" t="s">
        <v>41</v>
      </c>
      <c r="AS8" s="302" t="s">
        <v>42</v>
      </c>
      <c r="AT8" s="297" t="s">
        <v>41</v>
      </c>
      <c r="AU8" s="296" t="s">
        <v>42</v>
      </c>
      <c r="AV8" s="299" t="s">
        <v>41</v>
      </c>
      <c r="AW8" s="302" t="s">
        <v>42</v>
      </c>
      <c r="AX8" s="299" t="s">
        <v>41</v>
      </c>
      <c r="AY8" s="302" t="s">
        <v>42</v>
      </c>
      <c r="AZ8" s="297" t="s">
        <v>41</v>
      </c>
      <c r="BA8" s="296" t="s">
        <v>42</v>
      </c>
      <c r="BB8" s="299" t="s">
        <v>41</v>
      </c>
      <c r="BC8" s="302" t="s">
        <v>42</v>
      </c>
      <c r="BD8" s="299" t="s">
        <v>41</v>
      </c>
      <c r="BE8" s="302" t="s">
        <v>42</v>
      </c>
      <c r="BF8" s="297" t="s">
        <v>41</v>
      </c>
      <c r="BG8" s="296" t="s">
        <v>42</v>
      </c>
      <c r="BH8" s="299" t="s">
        <v>41</v>
      </c>
      <c r="BI8" s="302" t="s">
        <v>42</v>
      </c>
      <c r="BJ8" s="299" t="s">
        <v>41</v>
      </c>
      <c r="BK8" s="302" t="s">
        <v>42</v>
      </c>
      <c r="BL8" s="294" t="s">
        <v>41</v>
      </c>
      <c r="BM8" s="295" t="s">
        <v>42</v>
      </c>
      <c r="BN8" s="456" t="s">
        <v>41</v>
      </c>
      <c r="BO8" s="454" t="s">
        <v>42</v>
      </c>
    </row>
    <row r="9" spans="1:67">
      <c r="A9" s="18">
        <v>46082</v>
      </c>
      <c r="B9" s="437" t="s">
        <v>423</v>
      </c>
      <c r="C9" s="438" t="s">
        <v>424</v>
      </c>
      <c r="D9" s="442">
        <f>+'1'!F42</f>
        <v>1048.6681603186457</v>
      </c>
      <c r="E9" s="442">
        <f>+'1'!G42</f>
        <v>796.98780184217082</v>
      </c>
      <c r="F9" s="49">
        <f t="shared" ref="F9:F39" si="0">1-(E9/D9)</f>
        <v>0.23999999999999988</v>
      </c>
      <c r="G9" s="446">
        <f>+P9/N9</f>
        <v>0.84390104154375678</v>
      </c>
      <c r="H9" s="445">
        <f>+P9/L9</f>
        <v>0.73252309786426284</v>
      </c>
      <c r="I9" s="445">
        <f>+R9/P9</f>
        <v>0.89894465112747701</v>
      </c>
      <c r="J9" s="448">
        <f>+R9/L9</f>
        <v>0.65849772065240852</v>
      </c>
      <c r="K9" s="448">
        <f>+S9/M9</f>
        <v>0.65849772065240852</v>
      </c>
      <c r="L9" s="308">
        <f>+SUM(Efficiency1!K6:K7)</f>
        <v>53.940961199999997</v>
      </c>
      <c r="M9" s="303">
        <f>L9</f>
        <v>53.940961199999997</v>
      </c>
      <c r="N9" s="308">
        <f>+SUM(Efficiency1!C6:C7)</f>
        <v>46.821840541538464</v>
      </c>
      <c r="O9" s="303">
        <f>N9</f>
        <v>46.821840541538464</v>
      </c>
      <c r="P9" s="304">
        <f>'1'!I38</f>
        <v>39.513000000000005</v>
      </c>
      <c r="Q9" s="303">
        <f>P9</f>
        <v>39.513000000000005</v>
      </c>
      <c r="R9" s="16">
        <f>'1'!I40</f>
        <v>35.520000000000003</v>
      </c>
      <c r="S9" s="305">
        <f>R9</f>
        <v>35.520000000000003</v>
      </c>
      <c r="T9" s="8">
        <f t="shared" ref="T9:T38" si="1">R9/P9</f>
        <v>0.89894465112747701</v>
      </c>
      <c r="U9" s="8">
        <f t="shared" ref="U9:U38" si="2">S9/Q9</f>
        <v>0.89894465112747701</v>
      </c>
      <c r="V9" s="306">
        <f t="shared" ref="V9:V38" si="3">R9/L9</f>
        <v>0.65849772065240852</v>
      </c>
      <c r="W9" s="307">
        <f t="shared" ref="W9:W38" si="4">S9/M9</f>
        <v>0.65849772065240852</v>
      </c>
      <c r="X9" s="305"/>
      <c r="Y9" s="305"/>
      <c r="Z9" s="7"/>
      <c r="AA9" s="305"/>
      <c r="AB9" s="98">
        <f>+[1]Report1!AY9</f>
        <v>4216.8386057301423</v>
      </c>
      <c r="AC9" s="303">
        <f>AB9</f>
        <v>4216.8386057301423</v>
      </c>
      <c r="AD9" s="303">
        <f t="shared" ref="AD9:AD39" si="5">AB9/P9</f>
        <v>106.72028460836033</v>
      </c>
      <c r="AE9" s="303">
        <f t="shared" ref="AE9:AE39" si="6">AC9/Q9</f>
        <v>106.72028460836033</v>
      </c>
      <c r="AF9" s="309">
        <f t="shared" ref="AF9:AF39" si="7">IF(AND(R9&gt;0,AB9&gt;0),(AB9/(R9*1000))*1000,0)</f>
        <v>118.71730308924951</v>
      </c>
      <c r="AG9" s="303">
        <f t="shared" ref="AG9:AG39" si="8">IF(AND(S9&gt;0,AC9&gt;0),AC9/S9,0)</f>
        <v>118.71730308924948</v>
      </c>
      <c r="AH9" s="554">
        <v>59</v>
      </c>
      <c r="AI9" s="310">
        <f>AH9</f>
        <v>59</v>
      </c>
      <c r="AJ9" s="311">
        <f t="shared" ref="AJ9:AJ39" si="9">AH9/(P9)</f>
        <v>1.4931794599245816</v>
      </c>
      <c r="AK9" s="311">
        <f t="shared" ref="AK9:AK39" si="10">AI9/(Q9)</f>
        <v>1.4931794599245816</v>
      </c>
      <c r="AL9" s="308">
        <f t="shared" ref="AL9:AL39" si="11">IF(AND(R9&gt;0,AH9&gt;0),AH9/(R9),0)</f>
        <v>1.6610360360360359</v>
      </c>
      <c r="AM9" s="311">
        <f t="shared" ref="AM9:AM39" si="12">IF(AND(S9&gt;0,AI9&gt;0),AI9/(S9),0)</f>
        <v>1.6610360360360359</v>
      </c>
      <c r="AN9" s="98">
        <v>0</v>
      </c>
      <c r="AO9" s="310">
        <f>AN9</f>
        <v>0</v>
      </c>
      <c r="AP9" s="311">
        <f>AN9/(P9)</f>
        <v>0</v>
      </c>
      <c r="AQ9" s="311">
        <f>AO9/(Q9)</f>
        <v>0</v>
      </c>
      <c r="AR9" s="308">
        <f>IF(AND(R9&gt;0,AN9&gt;0),AN9/(R9),0)</f>
        <v>0</v>
      </c>
      <c r="AS9" s="311">
        <f>IF(AND(S9&gt;0,AO9&gt;0),AO9/(S9),0)</f>
        <v>0</v>
      </c>
      <c r="AT9" s="310">
        <f>'1'!I46</f>
        <v>36680.89999999998</v>
      </c>
      <c r="AU9" s="310">
        <f>AT9</f>
        <v>36680.89999999998</v>
      </c>
      <c r="AV9" s="311">
        <f t="shared" ref="AV9:AV39" si="13">IF(AND(L9&gt;0,AT9&gt;0),(AT9/(P9*1000)*1000),0)</f>
        <v>928.32485511097536</v>
      </c>
      <c r="AW9" s="311">
        <f t="shared" ref="AW9:AW39" si="14">IF(AND(M9&gt;0,AU9&gt;0),(AU9/(Q9*1000)*1000),0)</f>
        <v>928.32485511097536</v>
      </c>
      <c r="AX9" s="311">
        <f t="shared" ref="AX9:AX39" si="15">IF(AND(R9&gt;0,AT9&gt;0),(AT9/(R9*1000)*1000),0)</f>
        <v>1032.6829954954951</v>
      </c>
      <c r="AY9" s="311">
        <f t="shared" ref="AY9:AY39" si="16">IF(AND(S9&gt;0,AU9&gt;0),(AU9/(S9*1000)*1000),0)</f>
        <v>1032.6829954954951</v>
      </c>
      <c r="AZ9" s="310">
        <f>+Listrik!S8</f>
        <v>15252.600000000004</v>
      </c>
      <c r="BA9" s="310">
        <f>AZ9</f>
        <v>15252.600000000004</v>
      </c>
      <c r="BB9" s="311">
        <f t="shared" ref="BB9:BB39" si="17">IF(AND(L9&gt;0,AZ9&gt;0),(AZ9/(P9*1000)*1000),0)</f>
        <v>386.01472932958774</v>
      </c>
      <c r="BC9" s="311">
        <f>IF(AND(M9&gt;0,BA9&gt;0),(BA9/(Q9*1000)*1000),0)</f>
        <v>386.01472932958774</v>
      </c>
      <c r="BD9" s="311">
        <f t="shared" ref="BD9:BD39" si="18">IF(AND(R9&gt;0,AZ9&gt;0),(AZ9/(R9*1000)*1000),0)</f>
        <v>429.40878378378386</v>
      </c>
      <c r="BE9" s="311">
        <f t="shared" ref="BE9:BE39" si="19">IF(AND(S9&gt;0,BA9&gt;0),(BA9/(S9*1000)*1000),0)</f>
        <v>429.40878378378386</v>
      </c>
      <c r="BF9" s="588"/>
      <c r="BG9" s="588">
        <f>BF9</f>
        <v>0</v>
      </c>
      <c r="BH9" s="589">
        <f>IF(AND(L9&gt;0,BF9&gt;0),(BF9/(P9*1000)*1000),0)</f>
        <v>0</v>
      </c>
      <c r="BI9" s="589">
        <f>IF(AND(U9&gt;0,BG9&gt;0),(BG9/(Q9*1000)*1000),0)</f>
        <v>0</v>
      </c>
      <c r="BJ9" s="589">
        <f>IF(AND(L9&gt;0,BF9&gt;0),(BF9/(R9*1000)*1000),0)</f>
        <v>0</v>
      </c>
      <c r="BK9" s="589">
        <f>IF(AND(AA9&gt;0,BG9&gt;0),(BG9/(S9*1000)*1000),0)</f>
        <v>0</v>
      </c>
      <c r="BL9" s="539">
        <f>+SUM(Efficiency2!K6:K7)</f>
        <v>53.940961199999997</v>
      </c>
      <c r="BM9" s="540">
        <f>BL9</f>
        <v>53.940961199999997</v>
      </c>
      <c r="BN9" s="541">
        <f t="shared" ref="BN9:BN39" si="20">+R9/BL9</f>
        <v>0.65849772065240852</v>
      </c>
      <c r="BO9" s="541">
        <f t="shared" ref="BO9:BO39" si="21">+S9/BM9</f>
        <v>0.65849772065240852</v>
      </c>
    </row>
    <row r="10" spans="1:67">
      <c r="A10" s="18">
        <f t="shared" ref="A10:A38" si="22">A9+1</f>
        <v>46083</v>
      </c>
      <c r="B10" s="437" t="s">
        <v>423</v>
      </c>
      <c r="C10" s="438" t="s">
        <v>458</v>
      </c>
      <c r="D10" s="442">
        <f>+'2'!F42</f>
        <v>1000</v>
      </c>
      <c r="E10" s="442">
        <f>+'2'!G42</f>
        <v>760</v>
      </c>
      <c r="F10" s="49">
        <f t="shared" si="0"/>
        <v>0.24</v>
      </c>
      <c r="G10" s="446">
        <f t="shared" ref="G10:G41" si="23">+P10/N10</f>
        <v>0.54426012314685612</v>
      </c>
      <c r="H10" s="445">
        <f t="shared" ref="H10:H39" si="24">+P10/L10</f>
        <v>0.46113455249900848</v>
      </c>
      <c r="I10" s="445">
        <f t="shared" ref="I10:I41" si="25">+R10/P10</f>
        <v>1.1417409862024894</v>
      </c>
      <c r="J10" s="448">
        <f t="shared" ref="J10:J41" si="26">+R10/L10</f>
        <v>0.5264962187422616</v>
      </c>
      <c r="K10" s="448">
        <f t="shared" ref="K10:K40" si="27">+S10/M10</f>
        <v>0.59248734059710517</v>
      </c>
      <c r="L10" s="308">
        <f>+Efficiency1!K12</f>
        <v>53.956702800000002</v>
      </c>
      <c r="M10" s="14">
        <f t="shared" ref="M10:O38" si="28">M9+L10</f>
        <v>107.89766399999999</v>
      </c>
      <c r="N10" s="308">
        <f>+Efficiency1!C12</f>
        <v>45.715823999999998</v>
      </c>
      <c r="O10" s="14">
        <f t="shared" si="28"/>
        <v>92.537664541538462</v>
      </c>
      <c r="P10" s="304">
        <f>'2'!I38</f>
        <v>24.8813</v>
      </c>
      <c r="Q10" s="14">
        <f t="shared" ref="Q10:Q38" si="29">Q9+P10</f>
        <v>64.394300000000001</v>
      </c>
      <c r="R10" s="16">
        <f>'2'!I40</f>
        <v>28.408000000000001</v>
      </c>
      <c r="S10" s="305">
        <f t="shared" ref="S10:S38" si="30">S9+R10</f>
        <v>63.928000000000004</v>
      </c>
      <c r="T10" s="8">
        <f t="shared" si="1"/>
        <v>1.1417409862024894</v>
      </c>
      <c r="U10" s="8">
        <f t="shared" si="2"/>
        <v>0.99275867584553301</v>
      </c>
      <c r="V10" s="306">
        <f t="shared" si="3"/>
        <v>0.5264962187422616</v>
      </c>
      <c r="W10" s="307">
        <f t="shared" si="4"/>
        <v>0.59248734059710517</v>
      </c>
      <c r="X10" s="305"/>
      <c r="Y10" s="305"/>
      <c r="Z10" s="7"/>
      <c r="AA10" s="305"/>
      <c r="AB10" s="98">
        <f>+[1]Report1!AY10</f>
        <v>3311.0567222482282</v>
      </c>
      <c r="AC10" s="14">
        <f t="shared" ref="AC10:AC38" si="31">AB10+AC9</f>
        <v>7527.8953279783709</v>
      </c>
      <c r="AD10" s="303">
        <f t="shared" si="5"/>
        <v>133.07410473923099</v>
      </c>
      <c r="AE10" s="303">
        <f t="shared" si="6"/>
        <v>116.90313161224474</v>
      </c>
      <c r="AF10" s="309">
        <f t="shared" si="7"/>
        <v>116.55367228415335</v>
      </c>
      <c r="AG10" s="303">
        <f t="shared" si="8"/>
        <v>117.75583981945893</v>
      </c>
      <c r="AH10" s="554">
        <v>50.5</v>
      </c>
      <c r="AI10" s="305">
        <f t="shared" ref="AI10:AI38" si="32">AH10+AI9</f>
        <v>109.5</v>
      </c>
      <c r="AJ10" s="311">
        <f t="shared" si="9"/>
        <v>2.0296367151234058</v>
      </c>
      <c r="AK10" s="311">
        <f t="shared" si="10"/>
        <v>1.7004610656533263</v>
      </c>
      <c r="AL10" s="308">
        <f t="shared" si="11"/>
        <v>1.7776682624612785</v>
      </c>
      <c r="AM10" s="311">
        <f t="shared" si="12"/>
        <v>1.712864472531598</v>
      </c>
      <c r="AN10" s="98">
        <v>0</v>
      </c>
      <c r="AO10" s="305">
        <f t="shared" ref="AO10:AO38" si="33">AN10+AO9</f>
        <v>0</v>
      </c>
      <c r="AP10" s="311">
        <f t="shared" ref="AP10:AP39" si="34">AN10/(P10)</f>
        <v>0</v>
      </c>
      <c r="AQ10" s="311">
        <f t="shared" ref="AQ10:AQ39" si="35">AO10/(Q10)</f>
        <v>0</v>
      </c>
      <c r="AR10" s="308">
        <f t="shared" ref="AR10:AR39" si="36">IF(AND(R10&gt;0,AN10&gt;0),AN10/(R10),0)</f>
        <v>0</v>
      </c>
      <c r="AS10" s="311">
        <f t="shared" ref="AS10:AS39" si="37">IF(AND(S10&gt;0,AO10&gt;0),AO10/(S10),0)</f>
        <v>0</v>
      </c>
      <c r="AT10" s="310">
        <f>'2'!I46</f>
        <v>28571.699999999975</v>
      </c>
      <c r="AU10" s="305">
        <f t="shared" ref="AU10:AU38" si="38">AT10+AU9</f>
        <v>65252.599999999955</v>
      </c>
      <c r="AV10" s="311">
        <f t="shared" si="13"/>
        <v>1148.3202244255717</v>
      </c>
      <c r="AW10" s="311">
        <f t="shared" si="14"/>
        <v>1013.3288194762573</v>
      </c>
      <c r="AX10" s="311">
        <f t="shared" si="15"/>
        <v>1005.7624612785123</v>
      </c>
      <c r="AY10" s="311">
        <f t="shared" si="16"/>
        <v>1020.7201852083585</v>
      </c>
      <c r="AZ10" s="310">
        <f>+Listrik!S9</f>
        <v>16604</v>
      </c>
      <c r="BA10" s="305">
        <f t="shared" ref="BA10:BA38" si="39">AZ10+BA9</f>
        <v>31856.600000000006</v>
      </c>
      <c r="BB10" s="311">
        <f t="shared" si="17"/>
        <v>667.32847560215907</v>
      </c>
      <c r="BC10" s="311">
        <f t="shared" ref="BC10:BC39" si="40">IF(AND(M10&gt;0,BA10&gt;0),(BA10/(Q10*1000)*1000),0)</f>
        <v>494.71148843919423</v>
      </c>
      <c r="BD10" s="311">
        <f t="shared" si="18"/>
        <v>584.48324415657555</v>
      </c>
      <c r="BE10" s="311">
        <f t="shared" si="19"/>
        <v>498.31998498310605</v>
      </c>
      <c r="BF10" s="588"/>
      <c r="BG10" s="590">
        <f t="shared" ref="BG10:BG38" si="41">BF10+BG9</f>
        <v>0</v>
      </c>
      <c r="BH10" s="589">
        <f t="shared" ref="BH10:BH39" si="42">IF(AND(L10&gt;0,BF10&gt;0),(BF10/(P10*1000)*1000),0)</f>
        <v>0</v>
      </c>
      <c r="BI10" s="589">
        <f t="shared" ref="BI10:BI39" si="43">IF(AND(U10&gt;0,BG10&gt;0),(BG10/(Q10*1000)*1000),0)</f>
        <v>0</v>
      </c>
      <c r="BJ10" s="589">
        <f t="shared" ref="BJ10:BJ39" si="44">IF(AND(L10&gt;0,BF10&gt;0),(BF10/(R10*1000)*1000),0)</f>
        <v>0</v>
      </c>
      <c r="BK10" s="589">
        <f t="shared" ref="BK10:BK39" si="45">IF(AND(AA10&gt;0,BG10&gt;0),(BG10/(S10*1000)*1000),0)</f>
        <v>0</v>
      </c>
      <c r="BL10" s="539">
        <f>+Efficiency2!K12</f>
        <v>53.956702800000002</v>
      </c>
      <c r="BM10" s="540">
        <f t="shared" ref="BM10:BM38" si="46">BM9+BL10</f>
        <v>107.89766399999999</v>
      </c>
      <c r="BN10" s="541">
        <f t="shared" si="20"/>
        <v>0.5264962187422616</v>
      </c>
      <c r="BO10" s="541">
        <f t="shared" si="21"/>
        <v>0.59248734059710517</v>
      </c>
    </row>
    <row r="11" spans="1:67">
      <c r="A11" s="18">
        <f t="shared" si="22"/>
        <v>46084</v>
      </c>
      <c r="B11" s="437" t="s">
        <v>423</v>
      </c>
      <c r="C11" s="438" t="s">
        <v>471</v>
      </c>
      <c r="D11" s="442">
        <f>+'3'!F42</f>
        <v>1001.0416666666666</v>
      </c>
      <c r="E11" s="442">
        <f>+'3'!G42</f>
        <v>770.80208333333337</v>
      </c>
      <c r="F11" s="49">
        <f t="shared" si="0"/>
        <v>0.22999999999999998</v>
      </c>
      <c r="G11" s="446">
        <f t="shared" si="23"/>
        <v>0.99541287017388047</v>
      </c>
      <c r="H11" s="445">
        <f t="shared" si="24"/>
        <v>0.80440440508039179</v>
      </c>
      <c r="I11" s="445">
        <f t="shared" si="25"/>
        <v>0.92861370361939444</v>
      </c>
      <c r="J11" s="448">
        <f t="shared" si="26"/>
        <v>0.74698095380945828</v>
      </c>
      <c r="K11" s="448">
        <f t="shared" si="27"/>
        <v>0.64440541112937855</v>
      </c>
      <c r="L11" s="308">
        <f>+SUM(Efficiency1!K19:K20)</f>
        <v>54.611834200000004</v>
      </c>
      <c r="M11" s="14">
        <f t="shared" si="28"/>
        <v>162.5094982</v>
      </c>
      <c r="N11" s="308">
        <f>+SUM(Efficiency1!C19:C20)</f>
        <v>44.132441237500004</v>
      </c>
      <c r="O11" s="14">
        <f t="shared" si="28"/>
        <v>136.67010577903847</v>
      </c>
      <c r="P11" s="304">
        <f>'3'!I38</f>
        <v>43.93</v>
      </c>
      <c r="Q11" s="14">
        <f t="shared" si="29"/>
        <v>108.32429999999999</v>
      </c>
      <c r="R11" s="16">
        <f>'3'!I40</f>
        <v>40.793999999999997</v>
      </c>
      <c r="S11" s="305">
        <f t="shared" si="30"/>
        <v>104.72200000000001</v>
      </c>
      <c r="T11" s="8">
        <f t="shared" si="1"/>
        <v>0.92861370361939444</v>
      </c>
      <c r="U11" s="8">
        <f t="shared" si="2"/>
        <v>0.96674522706354915</v>
      </c>
      <c r="V11" s="306">
        <f t="shared" si="3"/>
        <v>0.74698095380945828</v>
      </c>
      <c r="W11" s="307">
        <f t="shared" si="4"/>
        <v>0.64440541112937855</v>
      </c>
      <c r="X11" s="305"/>
      <c r="Y11" s="305"/>
      <c r="Z11" s="7"/>
      <c r="AA11" s="305"/>
      <c r="AB11" s="98">
        <f>+[1]Report1!AY11</f>
        <v>4290.7663327672753</v>
      </c>
      <c r="AC11" s="14">
        <f t="shared" si="31"/>
        <v>11818.661660745645</v>
      </c>
      <c r="AD11" s="303">
        <f t="shared" si="5"/>
        <v>97.672805207540989</v>
      </c>
      <c r="AE11" s="303">
        <f t="shared" si="6"/>
        <v>109.1044360383187</v>
      </c>
      <c r="AF11" s="309">
        <f t="shared" si="7"/>
        <v>105.18130932900121</v>
      </c>
      <c r="AG11" s="303">
        <f t="shared" si="8"/>
        <v>112.85748611319154</v>
      </c>
      <c r="AH11" s="554">
        <v>62</v>
      </c>
      <c r="AI11" s="305">
        <f t="shared" si="32"/>
        <v>171.5</v>
      </c>
      <c r="AJ11" s="311">
        <f t="shared" si="9"/>
        <v>1.4113362167083998</v>
      </c>
      <c r="AK11" s="311">
        <f t="shared" si="10"/>
        <v>1.5832089383453205</v>
      </c>
      <c r="AL11" s="308">
        <f t="shared" si="11"/>
        <v>1.5198313477472178</v>
      </c>
      <c r="AM11" s="311">
        <f t="shared" si="12"/>
        <v>1.6376692576535969</v>
      </c>
      <c r="AN11" s="98">
        <v>0</v>
      </c>
      <c r="AO11" s="305">
        <f t="shared" si="33"/>
        <v>0</v>
      </c>
      <c r="AP11" s="311">
        <f t="shared" si="34"/>
        <v>0</v>
      </c>
      <c r="AQ11" s="311">
        <f t="shared" si="35"/>
        <v>0</v>
      </c>
      <c r="AR11" s="308">
        <f t="shared" si="36"/>
        <v>0</v>
      </c>
      <c r="AS11" s="311">
        <f t="shared" si="37"/>
        <v>0</v>
      </c>
      <c r="AT11" s="310">
        <f>'3'!I46</f>
        <v>39136.980000000025</v>
      </c>
      <c r="AU11" s="305">
        <f t="shared" si="38"/>
        <v>104389.57999999999</v>
      </c>
      <c r="AV11" s="311">
        <f t="shared" si="13"/>
        <v>890.89414978374748</v>
      </c>
      <c r="AW11" s="311">
        <f t="shared" si="14"/>
        <v>963.67647886946884</v>
      </c>
      <c r="AX11" s="311">
        <f t="shared" si="15"/>
        <v>959.38079129283778</v>
      </c>
      <c r="AY11" s="311">
        <f t="shared" si="16"/>
        <v>996.82569087679735</v>
      </c>
      <c r="AZ11" s="310">
        <f>+Listrik!S10</f>
        <v>18999.000000000004</v>
      </c>
      <c r="BA11" s="305">
        <f t="shared" si="39"/>
        <v>50855.600000000006</v>
      </c>
      <c r="BB11" s="311">
        <f t="shared" si="17"/>
        <v>432.48349647165958</v>
      </c>
      <c r="BC11" s="311">
        <f t="shared" si="40"/>
        <v>469.47545472253233</v>
      </c>
      <c r="BD11" s="311">
        <f t="shared" si="18"/>
        <v>465.7302544491838</v>
      </c>
      <c r="BE11" s="311">
        <f t="shared" si="19"/>
        <v>485.62479708179751</v>
      </c>
      <c r="BF11" s="588"/>
      <c r="BG11" s="590">
        <f t="shared" si="41"/>
        <v>0</v>
      </c>
      <c r="BH11" s="589">
        <f t="shared" si="42"/>
        <v>0</v>
      </c>
      <c r="BI11" s="589">
        <f t="shared" si="43"/>
        <v>0</v>
      </c>
      <c r="BJ11" s="589">
        <f t="shared" si="44"/>
        <v>0</v>
      </c>
      <c r="BK11" s="589">
        <f t="shared" si="45"/>
        <v>0</v>
      </c>
      <c r="BL11" s="539">
        <f>+SUM(Efficiency2!K19:K20)</f>
        <v>54.611834200000004</v>
      </c>
      <c r="BM11" s="540">
        <f t="shared" si="46"/>
        <v>162.5094982</v>
      </c>
      <c r="BN11" s="541">
        <f t="shared" si="20"/>
        <v>0.74698095380945828</v>
      </c>
      <c r="BO11" s="541">
        <f t="shared" si="21"/>
        <v>0.64440541112937855</v>
      </c>
    </row>
    <row r="12" spans="1:67">
      <c r="A12" s="18">
        <f t="shared" si="22"/>
        <v>46085</v>
      </c>
      <c r="B12" s="437" t="s">
        <v>423</v>
      </c>
      <c r="C12" s="438" t="s">
        <v>424</v>
      </c>
      <c r="D12" s="442">
        <f>+'4'!F42</f>
        <v>1000</v>
      </c>
      <c r="E12" s="442">
        <f>+'4'!G42</f>
        <v>763.77952755905517</v>
      </c>
      <c r="F12" s="49">
        <f t="shared" si="0"/>
        <v>0.2362204724409448</v>
      </c>
      <c r="G12" s="446">
        <f t="shared" si="23"/>
        <v>0.84485969303994346</v>
      </c>
      <c r="H12" s="445">
        <f t="shared" si="24"/>
        <v>0.70721620028152377</v>
      </c>
      <c r="I12" s="445">
        <f t="shared" si="25"/>
        <v>0.9945172575844603</v>
      </c>
      <c r="J12" s="448">
        <f t="shared" si="26"/>
        <v>0.70333871602328335</v>
      </c>
      <c r="K12" s="448">
        <f t="shared" si="27"/>
        <v>0.65913649224691639</v>
      </c>
      <c r="L12" s="308">
        <f>+SUM(Efficiency1!K25:K26)</f>
        <v>54.158827222500001</v>
      </c>
      <c r="M12" s="14">
        <f t="shared" si="28"/>
        <v>216.6683254225</v>
      </c>
      <c r="N12" s="308">
        <f>+SUM(Efficiency1!C25:C26)</f>
        <v>45.335338300000011</v>
      </c>
      <c r="O12" s="14">
        <f t="shared" si="28"/>
        <v>182.00544407903848</v>
      </c>
      <c r="P12" s="304">
        <f>'4'!I38</f>
        <v>38.302</v>
      </c>
      <c r="Q12" s="14">
        <f t="shared" si="29"/>
        <v>146.62629999999999</v>
      </c>
      <c r="R12" s="16">
        <f>'4'!I40</f>
        <v>38.091999999999999</v>
      </c>
      <c r="S12" s="305">
        <f t="shared" si="30"/>
        <v>142.81400000000002</v>
      </c>
      <c r="T12" s="8">
        <f t="shared" si="1"/>
        <v>0.9945172575844603</v>
      </c>
      <c r="U12" s="8">
        <f t="shared" si="2"/>
        <v>0.97399988951504635</v>
      </c>
      <c r="V12" s="306">
        <f t="shared" si="3"/>
        <v>0.70333871602328335</v>
      </c>
      <c r="W12" s="307">
        <f t="shared" si="4"/>
        <v>0.65913649224691639</v>
      </c>
      <c r="X12" s="305"/>
      <c r="Y12" s="305"/>
      <c r="Z12" s="7"/>
      <c r="AA12" s="305"/>
      <c r="AB12" s="98">
        <f>+[1]Report1!AY12</f>
        <v>3774.0961310746475</v>
      </c>
      <c r="AC12" s="14">
        <f t="shared" si="31"/>
        <v>15592.757791820293</v>
      </c>
      <c r="AD12" s="303">
        <f t="shared" si="5"/>
        <v>98.535223515081398</v>
      </c>
      <c r="AE12" s="303">
        <f t="shared" si="6"/>
        <v>106.34352631022057</v>
      </c>
      <c r="AF12" s="309">
        <f t="shared" si="7"/>
        <v>99.078445108543718</v>
      </c>
      <c r="AG12" s="303">
        <f t="shared" si="8"/>
        <v>109.18227759057439</v>
      </c>
      <c r="AH12" s="554">
        <v>59.3</v>
      </c>
      <c r="AI12" s="305">
        <f t="shared" si="32"/>
        <v>230.8</v>
      </c>
      <c r="AJ12" s="311">
        <f t="shared" si="9"/>
        <v>1.548222024959532</v>
      </c>
      <c r="AK12" s="311">
        <f t="shared" si="10"/>
        <v>1.5740695905168447</v>
      </c>
      <c r="AL12" s="308">
        <f t="shared" si="11"/>
        <v>1.5567573243725716</v>
      </c>
      <c r="AM12" s="311">
        <f t="shared" si="12"/>
        <v>1.6160880585936952</v>
      </c>
      <c r="AN12" s="98">
        <v>0</v>
      </c>
      <c r="AO12" s="305">
        <f t="shared" si="33"/>
        <v>0</v>
      </c>
      <c r="AP12" s="311">
        <f t="shared" si="34"/>
        <v>0</v>
      </c>
      <c r="AQ12" s="311">
        <f t="shared" si="35"/>
        <v>0</v>
      </c>
      <c r="AR12" s="308">
        <f t="shared" si="36"/>
        <v>0</v>
      </c>
      <c r="AS12" s="311">
        <f t="shared" si="37"/>
        <v>0</v>
      </c>
      <c r="AT12" s="310">
        <f>'4'!I46</f>
        <v>34663.359999999971</v>
      </c>
      <c r="AU12" s="305">
        <f t="shared" si="38"/>
        <v>139052.93999999994</v>
      </c>
      <c r="AV12" s="311">
        <f t="shared" si="13"/>
        <v>905.0013054148601</v>
      </c>
      <c r="AW12" s="311">
        <f t="shared" si="14"/>
        <v>948.34923884732791</v>
      </c>
      <c r="AX12" s="311">
        <f t="shared" si="15"/>
        <v>909.99054919668094</v>
      </c>
      <c r="AY12" s="311">
        <f t="shared" si="16"/>
        <v>973.66462671726811</v>
      </c>
      <c r="AZ12" s="310">
        <f>+Listrik!S11</f>
        <v>20677.899000000358</v>
      </c>
      <c r="BA12" s="305">
        <f t="shared" si="39"/>
        <v>71533.49900000036</v>
      </c>
      <c r="BB12" s="311">
        <f t="shared" si="17"/>
        <v>539.86473291212883</v>
      </c>
      <c r="BC12" s="311">
        <f t="shared" si="40"/>
        <v>487.86267538634178</v>
      </c>
      <c r="BD12" s="311">
        <f t="shared" si="18"/>
        <v>542.84099023417934</v>
      </c>
      <c r="BE12" s="311">
        <f t="shared" si="19"/>
        <v>500.88576049967338</v>
      </c>
      <c r="BF12" s="588"/>
      <c r="BG12" s="590">
        <f t="shared" si="41"/>
        <v>0</v>
      </c>
      <c r="BH12" s="589">
        <f t="shared" si="42"/>
        <v>0</v>
      </c>
      <c r="BI12" s="589">
        <f t="shared" si="43"/>
        <v>0</v>
      </c>
      <c r="BJ12" s="589">
        <f t="shared" si="44"/>
        <v>0</v>
      </c>
      <c r="BK12" s="589">
        <f t="shared" si="45"/>
        <v>0</v>
      </c>
      <c r="BL12" s="539">
        <f>+SUM(Efficiency2!K25:K26)</f>
        <v>54.158827222500001</v>
      </c>
      <c r="BM12" s="540">
        <f t="shared" si="46"/>
        <v>216.6683254225</v>
      </c>
      <c r="BN12" s="541">
        <f t="shared" si="20"/>
        <v>0.70333871602328335</v>
      </c>
      <c r="BO12" s="541">
        <f t="shared" si="21"/>
        <v>0.65913649224691639</v>
      </c>
    </row>
    <row r="13" spans="1:67">
      <c r="A13" s="18">
        <f t="shared" si="22"/>
        <v>46086</v>
      </c>
      <c r="B13" s="437" t="s">
        <v>423</v>
      </c>
      <c r="C13" s="438" t="s">
        <v>498</v>
      </c>
      <c r="D13" s="442">
        <f>+'5'!F42</f>
        <v>1000</v>
      </c>
      <c r="E13" s="442">
        <f>+'5'!G42</f>
        <v>770</v>
      </c>
      <c r="F13" s="49">
        <f t="shared" si="0"/>
        <v>0.22999999999999998</v>
      </c>
      <c r="G13" s="446">
        <f t="shared" si="23"/>
        <v>0.94274704518209096</v>
      </c>
      <c r="H13" s="445">
        <f t="shared" si="24"/>
        <v>0.78734439349626273</v>
      </c>
      <c r="I13" s="445">
        <f t="shared" si="25"/>
        <v>1.0195386064030132</v>
      </c>
      <c r="J13" s="448">
        <f t="shared" si="26"/>
        <v>0.80272800570440528</v>
      </c>
      <c r="K13" s="448">
        <f t="shared" si="27"/>
        <v>0.68776414189123547</v>
      </c>
      <c r="L13" s="308">
        <f>+SUM(Efficiency1!K32:K33)</f>
        <v>53.9535181185</v>
      </c>
      <c r="M13" s="14">
        <f t="shared" si="28"/>
        <v>270.62184354099998</v>
      </c>
      <c r="N13" s="308">
        <f>+SUM(Efficiency1!C32:C33)</f>
        <v>45.0598071</v>
      </c>
      <c r="O13" s="14">
        <f t="shared" si="28"/>
        <v>227.06525117903848</v>
      </c>
      <c r="P13" s="304">
        <f>'5'!I38</f>
        <v>42.480000000000004</v>
      </c>
      <c r="Q13" s="14">
        <f t="shared" si="29"/>
        <v>189.10629999999998</v>
      </c>
      <c r="R13" s="16">
        <f>'5'!I40</f>
        <v>43.31</v>
      </c>
      <c r="S13" s="305">
        <f t="shared" si="30"/>
        <v>186.12400000000002</v>
      </c>
      <c r="T13" s="8">
        <f t="shared" si="1"/>
        <v>1.0195386064030132</v>
      </c>
      <c r="U13" s="8">
        <f t="shared" si="2"/>
        <v>0.98422950478117355</v>
      </c>
      <c r="V13" s="306">
        <f t="shared" si="3"/>
        <v>0.80272800570440528</v>
      </c>
      <c r="W13" s="307">
        <f t="shared" si="4"/>
        <v>0.68776414189123547</v>
      </c>
      <c r="X13" s="305"/>
      <c r="Y13" s="305"/>
      <c r="Z13" s="7"/>
      <c r="AA13" s="305"/>
      <c r="AB13" s="98">
        <f>+[1]Report1!AY13</f>
        <v>4091.4502893290778</v>
      </c>
      <c r="AC13" s="14">
        <f t="shared" si="31"/>
        <v>19684.208081149372</v>
      </c>
      <c r="AD13" s="303">
        <f t="shared" si="5"/>
        <v>96.314743157464164</v>
      </c>
      <c r="AE13" s="303">
        <f t="shared" si="6"/>
        <v>104.09070496937106</v>
      </c>
      <c r="AF13" s="309">
        <f t="shared" si="7"/>
        <v>94.468951496861649</v>
      </c>
      <c r="AG13" s="303">
        <f t="shared" si="8"/>
        <v>105.75856999177628</v>
      </c>
      <c r="AH13" s="554">
        <v>64.3</v>
      </c>
      <c r="AI13" s="305">
        <f t="shared" si="32"/>
        <v>295.10000000000002</v>
      </c>
      <c r="AJ13" s="311">
        <f t="shared" si="9"/>
        <v>1.5136534839924669</v>
      </c>
      <c r="AK13" s="311">
        <f t="shared" si="10"/>
        <v>1.5604979844669378</v>
      </c>
      <c r="AL13" s="308">
        <f t="shared" si="11"/>
        <v>1.4846455783883628</v>
      </c>
      <c r="AM13" s="311">
        <f t="shared" si="12"/>
        <v>1.5855021383593733</v>
      </c>
      <c r="AN13" s="98">
        <v>0</v>
      </c>
      <c r="AO13" s="305">
        <f t="shared" si="33"/>
        <v>0</v>
      </c>
      <c r="AP13" s="311">
        <f t="shared" si="34"/>
        <v>0</v>
      </c>
      <c r="AQ13" s="311">
        <f t="shared" si="35"/>
        <v>0</v>
      </c>
      <c r="AR13" s="308">
        <f t="shared" si="36"/>
        <v>0</v>
      </c>
      <c r="AS13" s="311">
        <f t="shared" si="37"/>
        <v>0</v>
      </c>
      <c r="AT13" s="310">
        <f>'5'!I46</f>
        <v>39057.419999999991</v>
      </c>
      <c r="AU13" s="305">
        <f t="shared" si="38"/>
        <v>178110.35999999993</v>
      </c>
      <c r="AV13" s="311">
        <f t="shared" si="13"/>
        <v>919.43079096045165</v>
      </c>
      <c r="AW13" s="311">
        <f t="shared" si="14"/>
        <v>941.85312705076433</v>
      </c>
      <c r="AX13" s="311">
        <f t="shared" si="15"/>
        <v>901.81066728238261</v>
      </c>
      <c r="AY13" s="311">
        <f t="shared" si="16"/>
        <v>956.94461756678299</v>
      </c>
      <c r="AZ13" s="310">
        <f>+Listrik!S12</f>
        <v>20494.484999999764</v>
      </c>
      <c r="BA13" s="305">
        <f t="shared" si="39"/>
        <v>92027.984000000128</v>
      </c>
      <c r="BB13" s="311">
        <f t="shared" si="17"/>
        <v>482.45021186440113</v>
      </c>
      <c r="BC13" s="311">
        <f t="shared" si="40"/>
        <v>486.64684360066343</v>
      </c>
      <c r="BD13" s="311">
        <f t="shared" si="18"/>
        <v>473.20445624566531</v>
      </c>
      <c r="BE13" s="311">
        <f t="shared" si="19"/>
        <v>494.44447787496568</v>
      </c>
      <c r="BF13" s="588"/>
      <c r="BG13" s="590">
        <f t="shared" si="41"/>
        <v>0</v>
      </c>
      <c r="BH13" s="589">
        <f t="shared" si="42"/>
        <v>0</v>
      </c>
      <c r="BI13" s="589">
        <f t="shared" si="43"/>
        <v>0</v>
      </c>
      <c r="BJ13" s="589">
        <f t="shared" si="44"/>
        <v>0</v>
      </c>
      <c r="BK13" s="589">
        <f t="shared" si="45"/>
        <v>0</v>
      </c>
      <c r="BL13" s="539">
        <f>+SUM(Efficiency2!K32:K33)</f>
        <v>53.9535181185</v>
      </c>
      <c r="BM13" s="540">
        <f t="shared" si="46"/>
        <v>270.62184354099998</v>
      </c>
      <c r="BN13" s="541">
        <f t="shared" si="20"/>
        <v>0.80272800570440528</v>
      </c>
      <c r="BO13" s="541">
        <f t="shared" si="21"/>
        <v>0.68776414189123547</v>
      </c>
    </row>
    <row r="14" spans="1:67">
      <c r="A14" s="18">
        <f t="shared" si="22"/>
        <v>46087</v>
      </c>
      <c r="B14" s="437" t="s">
        <v>423</v>
      </c>
      <c r="C14" s="438" t="s">
        <v>516</v>
      </c>
      <c r="D14" s="442">
        <f>+'6'!F42</f>
        <v>1000</v>
      </c>
      <c r="E14" s="442">
        <f>+'6'!G42</f>
        <v>820</v>
      </c>
      <c r="F14" s="49">
        <f t="shared" si="0"/>
        <v>0.18000000000000005</v>
      </c>
      <c r="G14" s="446">
        <f t="shared" si="23"/>
        <v>0.62109466704606231</v>
      </c>
      <c r="H14" s="445">
        <f t="shared" si="24"/>
        <v>0.4925293570709996</v>
      </c>
      <c r="I14" s="445">
        <f t="shared" si="25"/>
        <v>1.0017321233573069</v>
      </c>
      <c r="J14" s="448">
        <f t="shared" si="26"/>
        <v>0.49338247867454166</v>
      </c>
      <c r="K14" s="448">
        <f t="shared" si="27"/>
        <v>0.65546938764746199</v>
      </c>
      <c r="L14" s="308">
        <f>+SUM(Efficiency1!K38:K40)</f>
        <v>53.919628584031244</v>
      </c>
      <c r="M14" s="14">
        <f t="shared" si="28"/>
        <v>324.54147212503119</v>
      </c>
      <c r="N14" s="308">
        <f>+SUM(Efficiency1!C38:C40)</f>
        <v>42.758377118750005</v>
      </c>
      <c r="O14" s="14">
        <f t="shared" si="28"/>
        <v>269.8236282977885</v>
      </c>
      <c r="P14" s="304">
        <f>'6'!I38</f>
        <v>26.557000000000002</v>
      </c>
      <c r="Q14" s="14">
        <f t="shared" si="29"/>
        <v>215.66329999999999</v>
      </c>
      <c r="R14" s="16">
        <f>'6'!I40</f>
        <v>26.603000000000002</v>
      </c>
      <c r="S14" s="305">
        <f t="shared" si="30"/>
        <v>212.72700000000003</v>
      </c>
      <c r="T14" s="8">
        <f t="shared" si="1"/>
        <v>1.0017321233573069</v>
      </c>
      <c r="U14" s="8">
        <f t="shared" si="2"/>
        <v>0.98638479518768396</v>
      </c>
      <c r="V14" s="306">
        <f t="shared" si="3"/>
        <v>0.49338247867454166</v>
      </c>
      <c r="W14" s="307">
        <f t="shared" si="4"/>
        <v>0.65546938764746199</v>
      </c>
      <c r="X14" s="305"/>
      <c r="Y14" s="305"/>
      <c r="Z14" s="7"/>
      <c r="AA14" s="305"/>
      <c r="AB14" s="98">
        <f>+[1]Report1!AY14</f>
        <v>2299.8884110733748</v>
      </c>
      <c r="AC14" s="14">
        <f t="shared" si="31"/>
        <v>21984.096492222747</v>
      </c>
      <c r="AD14" s="303">
        <f t="shared" si="5"/>
        <v>86.601966000428305</v>
      </c>
      <c r="AE14" s="303">
        <f t="shared" si="6"/>
        <v>101.93712371192849</v>
      </c>
      <c r="AF14" s="309">
        <f t="shared" si="7"/>
        <v>86.452220090718143</v>
      </c>
      <c r="AG14" s="303">
        <f t="shared" si="8"/>
        <v>103.34417583204174</v>
      </c>
      <c r="AH14" s="554">
        <v>46.5</v>
      </c>
      <c r="AI14" s="305">
        <f t="shared" si="32"/>
        <v>341.6</v>
      </c>
      <c r="AJ14" s="311">
        <f t="shared" si="9"/>
        <v>1.7509507851037389</v>
      </c>
      <c r="AK14" s="311">
        <f t="shared" si="10"/>
        <v>1.5839505377131855</v>
      </c>
      <c r="AL14" s="308">
        <f t="shared" si="11"/>
        <v>1.7479231665601622</v>
      </c>
      <c r="AM14" s="311">
        <f t="shared" si="12"/>
        <v>1.6058140245478947</v>
      </c>
      <c r="AN14" s="98">
        <v>0</v>
      </c>
      <c r="AO14" s="305">
        <f t="shared" si="33"/>
        <v>0</v>
      </c>
      <c r="AP14" s="311">
        <f t="shared" si="34"/>
        <v>0</v>
      </c>
      <c r="AQ14" s="311">
        <f t="shared" si="35"/>
        <v>0</v>
      </c>
      <c r="AR14" s="308">
        <f t="shared" si="36"/>
        <v>0</v>
      </c>
      <c r="AS14" s="311">
        <f t="shared" si="37"/>
        <v>0</v>
      </c>
      <c r="AT14" s="310">
        <f>'6'!I46</f>
        <v>26909.02000000004</v>
      </c>
      <c r="AU14" s="305">
        <f t="shared" si="38"/>
        <v>205019.37999999998</v>
      </c>
      <c r="AV14" s="311">
        <f t="shared" si="13"/>
        <v>1013.2552622660706</v>
      </c>
      <c r="AW14" s="311">
        <f t="shared" si="14"/>
        <v>950.6456592289926</v>
      </c>
      <c r="AX14" s="311">
        <f t="shared" si="15"/>
        <v>1011.5032139232432</v>
      </c>
      <c r="AY14" s="311">
        <f t="shared" si="16"/>
        <v>963.76755183874138</v>
      </c>
      <c r="AZ14" s="310">
        <f>+Listrik!S13</f>
        <v>17410.492000000319</v>
      </c>
      <c r="BA14" s="305">
        <f t="shared" si="39"/>
        <v>109438.47600000045</v>
      </c>
      <c r="BB14" s="311">
        <f t="shared" si="17"/>
        <v>655.5895620740414</v>
      </c>
      <c r="BC14" s="311">
        <f t="shared" si="40"/>
        <v>507.45062326320914</v>
      </c>
      <c r="BD14" s="311">
        <f t="shared" si="18"/>
        <v>654.45596361313824</v>
      </c>
      <c r="BE14" s="311">
        <f t="shared" si="19"/>
        <v>514.45503391671218</v>
      </c>
      <c r="BF14" s="588"/>
      <c r="BG14" s="590">
        <f t="shared" si="41"/>
        <v>0</v>
      </c>
      <c r="BH14" s="589">
        <f t="shared" si="42"/>
        <v>0</v>
      </c>
      <c r="BI14" s="589">
        <f t="shared" si="43"/>
        <v>0</v>
      </c>
      <c r="BJ14" s="589">
        <f t="shared" si="44"/>
        <v>0</v>
      </c>
      <c r="BK14" s="589">
        <f t="shared" si="45"/>
        <v>0</v>
      </c>
      <c r="BL14" s="539">
        <f>+SUM(Efficiency2!K38:K40)</f>
        <v>41.820541584031247</v>
      </c>
      <c r="BM14" s="540">
        <f t="shared" si="46"/>
        <v>312.44238512503125</v>
      </c>
      <c r="BN14" s="541">
        <f t="shared" si="20"/>
        <v>0.63612279976206931</v>
      </c>
      <c r="BO14" s="541">
        <f t="shared" si="21"/>
        <v>0.68085192703567499</v>
      </c>
    </row>
    <row r="15" spans="1:67">
      <c r="A15" s="18">
        <f t="shared" si="22"/>
        <v>46088</v>
      </c>
      <c r="B15" s="437" t="s">
        <v>423</v>
      </c>
      <c r="C15" s="438" t="s">
        <v>553</v>
      </c>
      <c r="D15" s="442">
        <f>+'7'!F42</f>
        <v>850</v>
      </c>
      <c r="E15" s="442">
        <f>+'7'!G42</f>
        <v>663</v>
      </c>
      <c r="F15" s="49">
        <f t="shared" si="0"/>
        <v>0.21999999999999997</v>
      </c>
      <c r="G15" s="446">
        <f t="shared" si="23"/>
        <v>0.72028391295945116</v>
      </c>
      <c r="H15" s="445">
        <f t="shared" si="24"/>
        <v>0.68386766324777415</v>
      </c>
      <c r="I15" s="445">
        <f t="shared" si="25"/>
        <v>0.86340449650481754</v>
      </c>
      <c r="J15" s="448">
        <f t="shared" si="26"/>
        <v>0.59045441546237065</v>
      </c>
      <c r="K15" s="448">
        <f t="shared" si="27"/>
        <v>0.64616853185505374</v>
      </c>
      <c r="L15" s="308">
        <f>+SUM(Efficiency1!K44:K45)</f>
        <v>54.178610849999998</v>
      </c>
      <c r="M15" s="14">
        <f t="shared" si="28"/>
        <v>378.72008297503118</v>
      </c>
      <c r="N15" s="308">
        <f>+SUM(Efficiency1!C44:C45)</f>
        <v>51.439438439999996</v>
      </c>
      <c r="O15" s="14">
        <f t="shared" si="28"/>
        <v>321.26306673778851</v>
      </c>
      <c r="P15" s="304">
        <f>'7'!I38</f>
        <v>37.051000000000002</v>
      </c>
      <c r="Q15" s="14">
        <f t="shared" si="29"/>
        <v>252.71429999999998</v>
      </c>
      <c r="R15" s="16">
        <f>'7'!I40</f>
        <v>31.99</v>
      </c>
      <c r="S15" s="305">
        <f t="shared" si="30"/>
        <v>244.71700000000004</v>
      </c>
      <c r="T15" s="8">
        <f t="shared" si="1"/>
        <v>0.86340449650481754</v>
      </c>
      <c r="U15" s="8">
        <f t="shared" si="2"/>
        <v>0.9683543827951171</v>
      </c>
      <c r="V15" s="306">
        <f t="shared" si="3"/>
        <v>0.59045441546237065</v>
      </c>
      <c r="W15" s="307">
        <f t="shared" si="4"/>
        <v>0.64616853185505374</v>
      </c>
      <c r="X15" s="305"/>
      <c r="Y15" s="305"/>
      <c r="Z15" s="7"/>
      <c r="AA15" s="305"/>
      <c r="AB15" s="98">
        <f>+[1]Report1!AY15</f>
        <v>4350.4667975801558</v>
      </c>
      <c r="AC15" s="14">
        <f t="shared" si="31"/>
        <v>26334.563289802903</v>
      </c>
      <c r="AD15" s="303">
        <f t="shared" si="5"/>
        <v>117.41833682168243</v>
      </c>
      <c r="AE15" s="303">
        <f t="shared" si="6"/>
        <v>104.20685845558762</v>
      </c>
      <c r="AF15" s="309">
        <f t="shared" si="7"/>
        <v>135.99458573242126</v>
      </c>
      <c r="AG15" s="303">
        <f t="shared" si="8"/>
        <v>107.61231663432822</v>
      </c>
      <c r="AH15" s="554">
        <v>50.2</v>
      </c>
      <c r="AI15" s="305">
        <f t="shared" si="32"/>
        <v>391.8</v>
      </c>
      <c r="AJ15" s="311">
        <f t="shared" si="9"/>
        <v>1.3548892067690481</v>
      </c>
      <c r="AK15" s="311">
        <f t="shared" si="10"/>
        <v>1.5503673515903138</v>
      </c>
      <c r="AL15" s="308">
        <f t="shared" si="11"/>
        <v>1.5692403876211318</v>
      </c>
      <c r="AM15" s="311">
        <f t="shared" si="12"/>
        <v>1.6010330299897431</v>
      </c>
      <c r="AN15" s="98">
        <v>0</v>
      </c>
      <c r="AO15" s="305">
        <f t="shared" si="33"/>
        <v>0</v>
      </c>
      <c r="AP15" s="311">
        <f t="shared" si="34"/>
        <v>0</v>
      </c>
      <c r="AQ15" s="311">
        <f t="shared" si="35"/>
        <v>0</v>
      </c>
      <c r="AR15" s="308">
        <f t="shared" si="36"/>
        <v>0</v>
      </c>
      <c r="AS15" s="311">
        <f t="shared" si="37"/>
        <v>0</v>
      </c>
      <c r="AT15" s="310">
        <f>'7'!I46</f>
        <v>28849.019999999968</v>
      </c>
      <c r="AU15" s="305">
        <f t="shared" si="38"/>
        <v>233868.39999999994</v>
      </c>
      <c r="AV15" s="311">
        <f t="shared" si="13"/>
        <v>778.62999649132189</v>
      </c>
      <c r="AW15" s="311">
        <f t="shared" si="14"/>
        <v>925.4260641364574</v>
      </c>
      <c r="AX15" s="311">
        <f t="shared" si="15"/>
        <v>901.81369177867987</v>
      </c>
      <c r="AY15" s="311">
        <f t="shared" si="16"/>
        <v>955.66879293224383</v>
      </c>
      <c r="AZ15" s="310">
        <f>+Listrik!S14</f>
        <v>16581.399999999492</v>
      </c>
      <c r="BA15" s="305">
        <f t="shared" si="39"/>
        <v>126019.87599999993</v>
      </c>
      <c r="BB15" s="311">
        <f t="shared" si="17"/>
        <v>447.52908153624708</v>
      </c>
      <c r="BC15" s="311">
        <f t="shared" si="40"/>
        <v>498.66539408335791</v>
      </c>
      <c r="BD15" s="311">
        <f t="shared" si="18"/>
        <v>518.33072835259429</v>
      </c>
      <c r="BE15" s="311">
        <f t="shared" si="19"/>
        <v>514.96167409701786</v>
      </c>
      <c r="BF15" s="588"/>
      <c r="BG15" s="590">
        <f t="shared" si="41"/>
        <v>0</v>
      </c>
      <c r="BH15" s="589">
        <f t="shared" si="42"/>
        <v>0</v>
      </c>
      <c r="BI15" s="589">
        <f t="shared" si="43"/>
        <v>0</v>
      </c>
      <c r="BJ15" s="589">
        <f t="shared" si="44"/>
        <v>0</v>
      </c>
      <c r="BK15" s="589">
        <f t="shared" si="45"/>
        <v>0</v>
      </c>
      <c r="BL15" s="539">
        <f>+SUM(Efficiency2!K44:K45)</f>
        <v>39.691988699999996</v>
      </c>
      <c r="BM15" s="540">
        <f t="shared" si="46"/>
        <v>352.13437382503128</v>
      </c>
      <c r="BN15" s="541">
        <f t="shared" si="20"/>
        <v>0.80595608957230203</v>
      </c>
      <c r="BO15" s="541">
        <f t="shared" si="21"/>
        <v>0.69495345581228363</v>
      </c>
    </row>
    <row r="16" spans="1:67">
      <c r="A16" s="18">
        <f t="shared" si="22"/>
        <v>46089</v>
      </c>
      <c r="B16" s="437" t="s">
        <v>423</v>
      </c>
      <c r="C16" s="438" t="s">
        <v>554</v>
      </c>
      <c r="D16" s="442">
        <f>+'8'!F42</f>
        <v>887.01388888888891</v>
      </c>
      <c r="E16" s="442">
        <f>+'8'!G42</f>
        <v>710.19583333333333</v>
      </c>
      <c r="F16" s="49">
        <f t="shared" si="0"/>
        <v>0.19934079699365848</v>
      </c>
      <c r="G16" s="446">
        <f t="shared" si="23"/>
        <v>0.99826436138207519</v>
      </c>
      <c r="H16" s="445">
        <f t="shared" si="24"/>
        <v>0.83649154817084603</v>
      </c>
      <c r="I16" s="445">
        <f t="shared" si="25"/>
        <v>1.0314253135689853</v>
      </c>
      <c r="J16" s="448">
        <f t="shared" si="26"/>
        <v>0.86277855736992093</v>
      </c>
      <c r="K16" s="448">
        <f t="shared" si="27"/>
        <v>0.67250556514242266</v>
      </c>
      <c r="L16" s="308">
        <f>+SUM(Efficiency1!K50:K51)</f>
        <v>52.421330611034477</v>
      </c>
      <c r="M16" s="14">
        <f t="shared" si="28"/>
        <v>431.14141358606565</v>
      </c>
      <c r="N16" s="308">
        <f>+SUM(Efficiency1!C50:C51)</f>
        <v>43.926240078620687</v>
      </c>
      <c r="O16" s="14">
        <f t="shared" si="28"/>
        <v>365.18930681640921</v>
      </c>
      <c r="P16" s="304">
        <f>'8'!I38</f>
        <v>43.849999999999994</v>
      </c>
      <c r="Q16" s="14">
        <f t="shared" si="29"/>
        <v>296.5643</v>
      </c>
      <c r="R16" s="16">
        <f>'8'!I40</f>
        <v>45.228000000000002</v>
      </c>
      <c r="S16" s="305">
        <f t="shared" si="30"/>
        <v>289.94500000000005</v>
      </c>
      <c r="T16" s="8">
        <f t="shared" si="1"/>
        <v>1.0314253135689853</v>
      </c>
      <c r="U16" s="8">
        <f t="shared" si="2"/>
        <v>0.97768005117271384</v>
      </c>
      <c r="V16" s="306">
        <f t="shared" si="3"/>
        <v>0.86277855736992093</v>
      </c>
      <c r="W16" s="307">
        <f t="shared" si="4"/>
        <v>0.67250556514242266</v>
      </c>
      <c r="X16" s="305"/>
      <c r="Y16" s="305"/>
      <c r="Z16" s="7"/>
      <c r="AA16" s="305"/>
      <c r="AB16" s="98">
        <f>+[1]Report1!AY16</f>
        <v>3957.0449630557396</v>
      </c>
      <c r="AC16" s="14">
        <f t="shared" si="31"/>
        <v>30291.608252858641</v>
      </c>
      <c r="AD16" s="303">
        <f t="shared" si="5"/>
        <v>90.240478062844701</v>
      </c>
      <c r="AE16" s="303">
        <f t="shared" si="6"/>
        <v>102.14178932817821</v>
      </c>
      <c r="AF16" s="309">
        <f t="shared" si="7"/>
        <v>87.491044553279821</v>
      </c>
      <c r="AG16" s="303">
        <f t="shared" si="8"/>
        <v>104.47363552694006</v>
      </c>
      <c r="AH16" s="554">
        <v>62.4</v>
      </c>
      <c r="AI16" s="305">
        <f t="shared" si="32"/>
        <v>454.2</v>
      </c>
      <c r="AJ16" s="311">
        <f t="shared" si="9"/>
        <v>1.4230330672748006</v>
      </c>
      <c r="AK16" s="311">
        <f t="shared" si="10"/>
        <v>1.5315397031942144</v>
      </c>
      <c r="AL16" s="308">
        <f t="shared" si="11"/>
        <v>1.3796763067126558</v>
      </c>
      <c r="AM16" s="311">
        <f t="shared" si="12"/>
        <v>1.5665039921364394</v>
      </c>
      <c r="AN16" s="98">
        <v>0</v>
      </c>
      <c r="AO16" s="305">
        <f t="shared" si="33"/>
        <v>0</v>
      </c>
      <c r="AP16" s="311">
        <f t="shared" si="34"/>
        <v>0</v>
      </c>
      <c r="AQ16" s="311">
        <f t="shared" si="35"/>
        <v>0</v>
      </c>
      <c r="AR16" s="308">
        <f t="shared" si="36"/>
        <v>0</v>
      </c>
      <c r="AS16" s="311">
        <f t="shared" si="37"/>
        <v>0</v>
      </c>
      <c r="AT16" s="310">
        <f>'8'!I46</f>
        <v>35576.460000000094</v>
      </c>
      <c r="AU16" s="305">
        <f t="shared" si="38"/>
        <v>269444.86000000004</v>
      </c>
      <c r="AV16" s="311">
        <f t="shared" si="13"/>
        <v>811.32177879133633</v>
      </c>
      <c r="AW16" s="311">
        <f t="shared" si="14"/>
        <v>908.5546035041981</v>
      </c>
      <c r="AX16" s="311">
        <f t="shared" si="15"/>
        <v>786.60254709472213</v>
      </c>
      <c r="AY16" s="311">
        <f t="shared" si="16"/>
        <v>929.29645277552629</v>
      </c>
      <c r="AZ16" s="310">
        <f>+Listrik!S15</f>
        <v>23735.356000000094</v>
      </c>
      <c r="BA16" s="305">
        <f t="shared" si="39"/>
        <v>149755.23200000002</v>
      </c>
      <c r="BB16" s="311">
        <f t="shared" si="17"/>
        <v>541.28519954390185</v>
      </c>
      <c r="BC16" s="311">
        <f t="shared" si="40"/>
        <v>504.96715889269217</v>
      </c>
      <c r="BD16" s="311">
        <f t="shared" si="18"/>
        <v>524.79340231715082</v>
      </c>
      <c r="BE16" s="311">
        <f t="shared" si="19"/>
        <v>516.4953077307764</v>
      </c>
      <c r="BF16" s="588"/>
      <c r="BG16" s="590">
        <f t="shared" si="41"/>
        <v>0</v>
      </c>
      <c r="BH16" s="589">
        <f t="shared" si="42"/>
        <v>0</v>
      </c>
      <c r="BI16" s="589">
        <f t="shared" si="43"/>
        <v>0</v>
      </c>
      <c r="BJ16" s="589">
        <f t="shared" si="44"/>
        <v>0</v>
      </c>
      <c r="BK16" s="589">
        <f t="shared" si="45"/>
        <v>0</v>
      </c>
      <c r="BL16" s="308">
        <f>+SUM(Efficiency2!K50:K51)</f>
        <v>52.421330611034477</v>
      </c>
      <c r="BM16" s="540">
        <f t="shared" si="46"/>
        <v>404.55570443606575</v>
      </c>
      <c r="BN16" s="541">
        <f t="shared" si="20"/>
        <v>0.86277855736992093</v>
      </c>
      <c r="BO16" s="541">
        <f t="shared" si="21"/>
        <v>0.71669981864221055</v>
      </c>
    </row>
    <row r="17" spans="1:67">
      <c r="A17" s="18">
        <f t="shared" si="22"/>
        <v>46090</v>
      </c>
      <c r="B17" s="437" t="s">
        <v>573</v>
      </c>
      <c r="C17" s="438" t="s">
        <v>574</v>
      </c>
      <c r="D17" s="442">
        <f>+'9'!F42</f>
        <v>972.19444444444446</v>
      </c>
      <c r="E17" s="442">
        <f>+'9'!G42</f>
        <v>826.83722222222229</v>
      </c>
      <c r="F17" s="49">
        <f t="shared" si="0"/>
        <v>0.14951455755878729</v>
      </c>
      <c r="G17" s="446">
        <f t="shared" si="23"/>
        <v>0.97699893038972385</v>
      </c>
      <c r="H17" s="445">
        <f t="shared" si="24"/>
        <v>0.90545035836492072</v>
      </c>
      <c r="I17" s="445">
        <f t="shared" si="25"/>
        <v>1.0090621617606486</v>
      </c>
      <c r="J17" s="448">
        <f t="shared" si="26"/>
        <v>0.91365569597866092</v>
      </c>
      <c r="K17" s="448">
        <f t="shared" si="27"/>
        <v>0.6984778007413589</v>
      </c>
      <c r="L17" s="308">
        <f>+SUM(Efficiency1!K55:K56)</f>
        <v>52.039296870000001</v>
      </c>
      <c r="M17" s="14">
        <f t="shared" si="28"/>
        <v>483.18071045606564</v>
      </c>
      <c r="N17" s="308">
        <f>+SUM(Efficiency1!C55:C56)</f>
        <v>48.228302544000002</v>
      </c>
      <c r="O17" s="14">
        <f t="shared" si="28"/>
        <v>413.41760936040919</v>
      </c>
      <c r="P17" s="304">
        <f>'9'!I38</f>
        <v>47.119</v>
      </c>
      <c r="Q17" s="14">
        <f t="shared" si="29"/>
        <v>343.68330000000003</v>
      </c>
      <c r="R17" s="16">
        <f>'9'!I40</f>
        <v>47.545999999999999</v>
      </c>
      <c r="S17" s="305">
        <f t="shared" si="30"/>
        <v>337.49100000000004</v>
      </c>
      <c r="T17" s="8">
        <f t="shared" si="1"/>
        <v>1.0090621617606486</v>
      </c>
      <c r="U17" s="8">
        <f t="shared" si="2"/>
        <v>0.98198254032127841</v>
      </c>
      <c r="V17" s="306">
        <f t="shared" si="3"/>
        <v>0.91365569597866092</v>
      </c>
      <c r="W17" s="307">
        <f t="shared" si="4"/>
        <v>0.6984778007413589</v>
      </c>
      <c r="X17" s="305"/>
      <c r="Y17" s="305"/>
      <c r="Z17" s="7"/>
      <c r="AA17" s="305"/>
      <c r="AB17" s="98">
        <f>+[1]Report1!AY17</f>
        <v>4468.3044827761669</v>
      </c>
      <c r="AC17" s="14">
        <f t="shared" si="31"/>
        <v>34759.912735634811</v>
      </c>
      <c r="AD17" s="303">
        <f t="shared" si="5"/>
        <v>94.830206132901097</v>
      </c>
      <c r="AE17" s="303">
        <f t="shared" si="6"/>
        <v>101.13937085576985</v>
      </c>
      <c r="AF17" s="309">
        <f t="shared" si="7"/>
        <v>93.978557245113507</v>
      </c>
      <c r="AG17" s="303">
        <f t="shared" si="8"/>
        <v>102.99508056699233</v>
      </c>
      <c r="AH17" s="554">
        <v>68.599999999999994</v>
      </c>
      <c r="AI17" s="305">
        <f t="shared" si="32"/>
        <v>522.79999999999995</v>
      </c>
      <c r="AJ17" s="311">
        <f t="shared" si="9"/>
        <v>1.4558882828582949</v>
      </c>
      <c r="AK17" s="311">
        <f t="shared" si="10"/>
        <v>1.5211678891584197</v>
      </c>
      <c r="AL17" s="308">
        <f t="shared" si="11"/>
        <v>1.4428132755647163</v>
      </c>
      <c r="AM17" s="311">
        <f t="shared" si="12"/>
        <v>1.5490783457929245</v>
      </c>
      <c r="AN17" s="98">
        <v>0</v>
      </c>
      <c r="AO17" s="305">
        <f t="shared" si="33"/>
        <v>0</v>
      </c>
      <c r="AP17" s="311">
        <f t="shared" si="34"/>
        <v>0</v>
      </c>
      <c r="AQ17" s="311">
        <f t="shared" si="35"/>
        <v>0</v>
      </c>
      <c r="AR17" s="308">
        <f t="shared" si="36"/>
        <v>0</v>
      </c>
      <c r="AS17" s="311">
        <f t="shared" si="37"/>
        <v>0</v>
      </c>
      <c r="AT17" s="310">
        <f>'9'!I46</f>
        <v>40975.099999999904</v>
      </c>
      <c r="AU17" s="305">
        <f t="shared" si="38"/>
        <v>310419.95999999996</v>
      </c>
      <c r="AV17" s="311">
        <f t="shared" si="13"/>
        <v>869.60886266686271</v>
      </c>
      <c r="AW17" s="311">
        <f t="shared" si="14"/>
        <v>903.21514021775261</v>
      </c>
      <c r="AX17" s="311">
        <f t="shared" si="15"/>
        <v>861.79909981912056</v>
      </c>
      <c r="AY17" s="311">
        <f t="shared" si="16"/>
        <v>919.78737210770032</v>
      </c>
      <c r="AZ17" s="310">
        <f>+Listrik!S16</f>
        <v>21141.094000000048</v>
      </c>
      <c r="BA17" s="305">
        <f t="shared" si="39"/>
        <v>170896.32600000006</v>
      </c>
      <c r="BB17" s="311">
        <f t="shared" si="17"/>
        <v>448.67450497676197</v>
      </c>
      <c r="BC17" s="311">
        <f t="shared" si="40"/>
        <v>497.24943283540409</v>
      </c>
      <c r="BD17" s="311">
        <f t="shared" si="18"/>
        <v>444.64505952130668</v>
      </c>
      <c r="BE17" s="311">
        <f t="shared" si="19"/>
        <v>506.37298772411719</v>
      </c>
      <c r="BF17" s="588"/>
      <c r="BG17" s="590">
        <f t="shared" si="41"/>
        <v>0</v>
      </c>
      <c r="BH17" s="589">
        <f t="shared" si="42"/>
        <v>0</v>
      </c>
      <c r="BI17" s="589">
        <f t="shared" si="43"/>
        <v>0</v>
      </c>
      <c r="BJ17" s="589">
        <f t="shared" si="44"/>
        <v>0</v>
      </c>
      <c r="BK17" s="589">
        <f t="shared" si="45"/>
        <v>0</v>
      </c>
      <c r="BL17" s="308">
        <f>+SUM(Efficiency2!K55:K56)</f>
        <v>52.039296870000001</v>
      </c>
      <c r="BM17" s="540">
        <f t="shared" si="46"/>
        <v>456.59500130606574</v>
      </c>
      <c r="BN17" s="541">
        <f t="shared" si="20"/>
        <v>0.91365569597866092</v>
      </c>
      <c r="BO17" s="541">
        <f t="shared" si="21"/>
        <v>0.73914738232925237</v>
      </c>
    </row>
    <row r="18" spans="1:67">
      <c r="A18" s="18">
        <f t="shared" si="22"/>
        <v>46091</v>
      </c>
      <c r="B18" s="437" t="s">
        <v>585</v>
      </c>
      <c r="C18" s="438" t="s">
        <v>584</v>
      </c>
      <c r="D18" s="442">
        <f>+'10'!F42</f>
        <v>756.25</v>
      </c>
      <c r="E18" s="442">
        <f>+'10'!G42</f>
        <v>650.375</v>
      </c>
      <c r="F18" s="49">
        <f t="shared" si="0"/>
        <v>0.14000000000000001</v>
      </c>
      <c r="G18" s="446">
        <f t="shared" si="23"/>
        <v>1.0505192437337534</v>
      </c>
      <c r="H18" s="445">
        <f t="shared" si="24"/>
        <v>1.0476335712450835</v>
      </c>
      <c r="I18" s="445">
        <f t="shared" si="25"/>
        <v>0.95134021377191536</v>
      </c>
      <c r="J18" s="448">
        <f t="shared" si="26"/>
        <v>0.99665594562293292</v>
      </c>
      <c r="K18" s="448">
        <f t="shared" si="27"/>
        <v>0.72739221166333679</v>
      </c>
      <c r="L18" s="308">
        <f>+SUM(Efficiency1!K60:K61)</f>
        <v>51.885507959999991</v>
      </c>
      <c r="M18" s="14">
        <f t="shared" si="28"/>
        <v>535.06621841606568</v>
      </c>
      <c r="N18" s="308">
        <f>+SUM(Efficiency1!C60:C61)</f>
        <v>51.742983599999995</v>
      </c>
      <c r="O18" s="14">
        <f t="shared" si="28"/>
        <v>465.16059296040919</v>
      </c>
      <c r="P18" s="304">
        <f>'10'!I38</f>
        <v>54.356999999999999</v>
      </c>
      <c r="Q18" s="14">
        <f t="shared" si="29"/>
        <v>398.0403</v>
      </c>
      <c r="R18" s="16">
        <f>'10'!I40</f>
        <v>51.712000000000003</v>
      </c>
      <c r="S18" s="305">
        <f t="shared" si="30"/>
        <v>389.20300000000003</v>
      </c>
      <c r="T18" s="8">
        <f t="shared" si="1"/>
        <v>0.95134021377191536</v>
      </c>
      <c r="U18" s="8">
        <f t="shared" si="2"/>
        <v>0.97779797673753144</v>
      </c>
      <c r="V18" s="306">
        <f t="shared" si="3"/>
        <v>0.99665594562293292</v>
      </c>
      <c r="W18" s="307">
        <f t="shared" si="4"/>
        <v>0.72739221166333679</v>
      </c>
      <c r="X18" s="305"/>
      <c r="Y18" s="305"/>
      <c r="Z18" s="7"/>
      <c r="AA18" s="305"/>
      <c r="AB18" s="98">
        <f>+[1]Report1!AY18</f>
        <v>4436.1317744755243</v>
      </c>
      <c r="AC18" s="14">
        <f t="shared" si="31"/>
        <v>39196.044510110332</v>
      </c>
      <c r="AD18" s="303">
        <f t="shared" si="5"/>
        <v>81.611048705328187</v>
      </c>
      <c r="AE18" s="303">
        <f t="shared" si="6"/>
        <v>98.472552930219209</v>
      </c>
      <c r="AF18" s="309">
        <f t="shared" si="7"/>
        <v>85.785345267549587</v>
      </c>
      <c r="AG18" s="303">
        <f t="shared" si="8"/>
        <v>100.70848505820955</v>
      </c>
      <c r="AH18" s="554">
        <v>68.7</v>
      </c>
      <c r="AI18" s="305">
        <f t="shared" si="32"/>
        <v>591.5</v>
      </c>
      <c r="AJ18" s="311">
        <f t="shared" si="9"/>
        <v>1.2638666593079089</v>
      </c>
      <c r="AK18" s="311">
        <f t="shared" si="10"/>
        <v>1.486030434606747</v>
      </c>
      <c r="AL18" s="308">
        <f t="shared" si="11"/>
        <v>1.3285117574257426</v>
      </c>
      <c r="AM18" s="311">
        <f t="shared" si="12"/>
        <v>1.5197724580745779</v>
      </c>
      <c r="AN18" s="98">
        <v>0</v>
      </c>
      <c r="AO18" s="305">
        <f t="shared" si="33"/>
        <v>0</v>
      </c>
      <c r="AP18" s="311">
        <f t="shared" si="34"/>
        <v>0</v>
      </c>
      <c r="AQ18" s="311">
        <f t="shared" si="35"/>
        <v>0</v>
      </c>
      <c r="AR18" s="308">
        <f t="shared" si="36"/>
        <v>0</v>
      </c>
      <c r="AS18" s="311">
        <f t="shared" si="37"/>
        <v>0</v>
      </c>
      <c r="AT18" s="310">
        <f>'10'!I46</f>
        <v>38474.320000000065</v>
      </c>
      <c r="AU18" s="305">
        <f t="shared" si="38"/>
        <v>348894.28</v>
      </c>
      <c r="AV18" s="311">
        <f t="shared" si="13"/>
        <v>707.80801000791178</v>
      </c>
      <c r="AW18" s="311">
        <f t="shared" si="14"/>
        <v>876.53003979747791</v>
      </c>
      <c r="AX18" s="311">
        <f t="shared" si="15"/>
        <v>744.0114480198032</v>
      </c>
      <c r="AY18" s="311">
        <f t="shared" si="16"/>
        <v>896.43265853551998</v>
      </c>
      <c r="AZ18" s="310">
        <f>+Listrik!S17</f>
        <v>28224.049000000006</v>
      </c>
      <c r="BA18" s="305">
        <f t="shared" si="39"/>
        <v>199120.37500000006</v>
      </c>
      <c r="BB18" s="311">
        <f t="shared" si="17"/>
        <v>519.23485475651717</v>
      </c>
      <c r="BC18" s="311">
        <f t="shared" si="40"/>
        <v>500.25179611210234</v>
      </c>
      <c r="BD18" s="311">
        <f t="shared" si="18"/>
        <v>545.79302676361397</v>
      </c>
      <c r="BE18" s="311">
        <f t="shared" si="19"/>
        <v>511.6105862493352</v>
      </c>
      <c r="BF18" s="588"/>
      <c r="BG18" s="590">
        <f t="shared" si="41"/>
        <v>0</v>
      </c>
      <c r="BH18" s="589">
        <f t="shared" si="42"/>
        <v>0</v>
      </c>
      <c r="BI18" s="589">
        <f t="shared" si="43"/>
        <v>0</v>
      </c>
      <c r="BJ18" s="589">
        <f t="shared" si="44"/>
        <v>0</v>
      </c>
      <c r="BK18" s="589">
        <f t="shared" si="45"/>
        <v>0</v>
      </c>
      <c r="BL18" s="308">
        <f>+SUM(Efficiency2!K60:K61)</f>
        <v>51.885507959999991</v>
      </c>
      <c r="BM18" s="540">
        <f t="shared" si="46"/>
        <v>508.48050926606572</v>
      </c>
      <c r="BN18" s="541">
        <f t="shared" si="20"/>
        <v>0.99665594562293292</v>
      </c>
      <c r="BO18" s="541">
        <f t="shared" si="21"/>
        <v>0.76542363553279691</v>
      </c>
    </row>
    <row r="19" spans="1:67">
      <c r="A19" s="18">
        <f t="shared" si="22"/>
        <v>46092</v>
      </c>
      <c r="B19" s="437" t="s">
        <v>586</v>
      </c>
      <c r="C19" s="438" t="s">
        <v>591</v>
      </c>
      <c r="D19" s="442">
        <f>+'11'!F42</f>
        <v>740</v>
      </c>
      <c r="E19" s="442">
        <f>+'11'!G42</f>
        <v>636.4</v>
      </c>
      <c r="F19" s="49">
        <f t="shared" si="0"/>
        <v>0.14000000000000001</v>
      </c>
      <c r="G19" s="446">
        <f t="shared" si="23"/>
        <v>1.0536501860816405</v>
      </c>
      <c r="H19" s="445">
        <f t="shared" si="24"/>
        <v>1.0536501860816405</v>
      </c>
      <c r="I19" s="445">
        <f t="shared" si="25"/>
        <v>0.95950104407077708</v>
      </c>
      <c r="J19" s="448">
        <f t="shared" si="26"/>
        <v>1.0109784536307025</v>
      </c>
      <c r="K19" s="448">
        <f t="shared" si="27"/>
        <v>0.75242931227355714</v>
      </c>
      <c r="L19" s="308">
        <f>+Efficiency1!K65</f>
        <v>51.81416063999999</v>
      </c>
      <c r="M19" s="14">
        <f t="shared" si="28"/>
        <v>586.88037905606564</v>
      </c>
      <c r="N19" s="308">
        <f>+Efficiency1!C65</f>
        <v>51.81416063999999</v>
      </c>
      <c r="O19" s="14">
        <f t="shared" si="28"/>
        <v>516.97475360040914</v>
      </c>
      <c r="P19" s="304">
        <f>'11'!I38</f>
        <v>54.594000000000001</v>
      </c>
      <c r="Q19" s="14">
        <f t="shared" si="29"/>
        <v>452.6343</v>
      </c>
      <c r="R19" s="16">
        <f>'11'!I40</f>
        <v>52.383000000000003</v>
      </c>
      <c r="S19" s="305">
        <f t="shared" si="30"/>
        <v>441.58600000000001</v>
      </c>
      <c r="T19" s="8">
        <f t="shared" si="1"/>
        <v>0.95950104407077708</v>
      </c>
      <c r="U19" s="8">
        <f t="shared" si="2"/>
        <v>0.97559111185343228</v>
      </c>
      <c r="V19" s="306">
        <f t="shared" si="3"/>
        <v>1.0109784536307025</v>
      </c>
      <c r="W19" s="307">
        <f t="shared" si="4"/>
        <v>0.75242931227355714</v>
      </c>
      <c r="X19" s="305"/>
      <c r="Y19" s="305"/>
      <c r="Z19" s="7"/>
      <c r="AA19" s="305"/>
      <c r="AB19" s="98">
        <f>+[1]Report1!AY19</f>
        <v>4422.8808165316623</v>
      </c>
      <c r="AC19" s="14">
        <f t="shared" si="31"/>
        <v>43618.925326641998</v>
      </c>
      <c r="AD19" s="303">
        <f t="shared" si="5"/>
        <v>81.014045802316417</v>
      </c>
      <c r="AE19" s="303">
        <f t="shared" si="6"/>
        <v>96.366813842083999</v>
      </c>
      <c r="AF19" s="309">
        <f t="shared" si="7"/>
        <v>84.433515005472429</v>
      </c>
      <c r="AG19" s="303">
        <f t="shared" si="8"/>
        <v>98.777871867862657</v>
      </c>
      <c r="AH19" s="554">
        <v>68.099999999999994</v>
      </c>
      <c r="AI19" s="305">
        <f t="shared" si="32"/>
        <v>659.6</v>
      </c>
      <c r="AJ19" s="311">
        <f t="shared" si="9"/>
        <v>1.2473898230574787</v>
      </c>
      <c r="AK19" s="311">
        <f t="shared" si="10"/>
        <v>1.4572470535264341</v>
      </c>
      <c r="AL19" s="308">
        <f t="shared" si="11"/>
        <v>1.3000400893419619</v>
      </c>
      <c r="AM19" s="311">
        <f t="shared" si="12"/>
        <v>1.4937067751242115</v>
      </c>
      <c r="AN19" s="98">
        <v>0</v>
      </c>
      <c r="AO19" s="305">
        <f t="shared" si="33"/>
        <v>0</v>
      </c>
      <c r="AP19" s="311">
        <f t="shared" si="34"/>
        <v>0</v>
      </c>
      <c r="AQ19" s="311">
        <f t="shared" si="35"/>
        <v>0</v>
      </c>
      <c r="AR19" s="308">
        <f t="shared" si="36"/>
        <v>0</v>
      </c>
      <c r="AS19" s="311">
        <f t="shared" si="37"/>
        <v>0</v>
      </c>
      <c r="AT19" s="310">
        <f>'11'!I46</f>
        <v>37643.739999999954</v>
      </c>
      <c r="AU19" s="305">
        <f t="shared" si="38"/>
        <v>386538.01999999996</v>
      </c>
      <c r="AV19" s="311">
        <f t="shared" si="13"/>
        <v>689.52155914569278</v>
      </c>
      <c r="AW19" s="311">
        <f t="shared" si="14"/>
        <v>853.97421273641874</v>
      </c>
      <c r="AX19" s="311">
        <f t="shared" si="15"/>
        <v>718.62512647232791</v>
      </c>
      <c r="AY19" s="311">
        <f t="shared" si="16"/>
        <v>875.3402961144601</v>
      </c>
      <c r="AZ19" s="310">
        <f>+Listrik!S18</f>
        <v>27891.951000000008</v>
      </c>
      <c r="BA19" s="305">
        <f t="shared" si="39"/>
        <v>227012.32600000006</v>
      </c>
      <c r="BB19" s="311">
        <f t="shared" si="17"/>
        <v>510.89773601494682</v>
      </c>
      <c r="BC19" s="311">
        <f t="shared" si="40"/>
        <v>501.53584472056156</v>
      </c>
      <c r="BD19" s="311">
        <f t="shared" si="18"/>
        <v>532.46188648989187</v>
      </c>
      <c r="BE19" s="311">
        <f t="shared" si="19"/>
        <v>514.08406516510956</v>
      </c>
      <c r="BF19" s="588"/>
      <c r="BG19" s="590">
        <f t="shared" si="41"/>
        <v>0</v>
      </c>
      <c r="BH19" s="589">
        <f t="shared" si="42"/>
        <v>0</v>
      </c>
      <c r="BI19" s="589">
        <f t="shared" si="43"/>
        <v>0</v>
      </c>
      <c r="BJ19" s="589">
        <f t="shared" si="44"/>
        <v>0</v>
      </c>
      <c r="BK19" s="589">
        <f t="shared" si="45"/>
        <v>0</v>
      </c>
      <c r="BL19" s="539">
        <f>+Efficiency2!K65</f>
        <v>51.81416063999999</v>
      </c>
      <c r="BM19" s="540">
        <f t="shared" si="46"/>
        <v>560.29466990606568</v>
      </c>
      <c r="BN19" s="541">
        <f t="shared" si="20"/>
        <v>1.0109784536307025</v>
      </c>
      <c r="BO19" s="541">
        <f t="shared" si="21"/>
        <v>0.78813171660910608</v>
      </c>
    </row>
    <row r="20" spans="1:67">
      <c r="A20" s="18">
        <f t="shared" si="22"/>
        <v>46093</v>
      </c>
      <c r="B20" s="437" t="s">
        <v>594</v>
      </c>
      <c r="C20" s="438" t="s">
        <v>595</v>
      </c>
      <c r="D20" s="442">
        <f>+'12'!F42</f>
        <v>756.25</v>
      </c>
      <c r="E20" s="442">
        <f>+'12'!G42</f>
        <v>650.375</v>
      </c>
      <c r="F20" s="49">
        <f t="shared" si="0"/>
        <v>0.14000000000000001</v>
      </c>
      <c r="G20" s="446">
        <f t="shared" si="23"/>
        <v>1.0187145278794056</v>
      </c>
      <c r="H20" s="445">
        <f t="shared" si="24"/>
        <v>1.0159758472998703</v>
      </c>
      <c r="I20" s="445">
        <f t="shared" si="25"/>
        <v>0.99044416581177097</v>
      </c>
      <c r="J20" s="448">
        <f t="shared" si="26"/>
        <v>1.0062673505638271</v>
      </c>
      <c r="K20" s="448">
        <f t="shared" si="27"/>
        <v>0.77302053469254062</v>
      </c>
      <c r="L20" s="308">
        <f>+SUM(Efficiency1!K70:K71)</f>
        <v>51.81028676999999</v>
      </c>
      <c r="M20" s="14">
        <f t="shared" si="28"/>
        <v>638.69066582606558</v>
      </c>
      <c r="N20" s="308">
        <f>+SUM(Efficiency1!C70:C71)</f>
        <v>51.67100159999999</v>
      </c>
      <c r="O20" s="14">
        <f t="shared" si="28"/>
        <v>568.6457552004091</v>
      </c>
      <c r="P20" s="304">
        <f>'12'!I38</f>
        <v>52.637999999999998</v>
      </c>
      <c r="Q20" s="14">
        <f t="shared" si="29"/>
        <v>505.27229999999997</v>
      </c>
      <c r="R20" s="16">
        <f>'12'!I40</f>
        <v>52.134999999999998</v>
      </c>
      <c r="S20" s="305">
        <f t="shared" si="30"/>
        <v>493.721</v>
      </c>
      <c r="T20" s="8">
        <f t="shared" si="1"/>
        <v>0.99044416581177097</v>
      </c>
      <c r="U20" s="8">
        <f t="shared" si="2"/>
        <v>0.97713846573421903</v>
      </c>
      <c r="V20" s="306">
        <f t="shared" si="3"/>
        <v>1.0062673505638271</v>
      </c>
      <c r="W20" s="307">
        <f t="shared" si="4"/>
        <v>0.77302053469254062</v>
      </c>
      <c r="X20" s="305"/>
      <c r="Y20" s="305"/>
      <c r="Z20" s="7"/>
      <c r="AA20" s="305"/>
      <c r="AB20" s="98">
        <f>+[1]Report1!AY20</f>
        <v>4342.4234784064902</v>
      </c>
      <c r="AC20" s="14">
        <f t="shared" si="31"/>
        <v>47961.348805048488</v>
      </c>
      <c r="AD20" s="303">
        <f t="shared" si="5"/>
        <v>82.495981579970561</v>
      </c>
      <c r="AE20" s="303">
        <f t="shared" si="6"/>
        <v>94.921785352271428</v>
      </c>
      <c r="AF20" s="309">
        <f t="shared" si="7"/>
        <v>83.291905215430916</v>
      </c>
      <c r="AG20" s="303">
        <f t="shared" si="8"/>
        <v>97.142614563789039</v>
      </c>
      <c r="AH20" s="554">
        <v>68.099999999999994</v>
      </c>
      <c r="AI20" s="305">
        <f t="shared" si="32"/>
        <v>727.7</v>
      </c>
      <c r="AJ20" s="311">
        <f t="shared" si="9"/>
        <v>1.2937421634560582</v>
      </c>
      <c r="AK20" s="311">
        <f t="shared" si="10"/>
        <v>1.4402135244698751</v>
      </c>
      <c r="AL20" s="308">
        <f t="shared" si="11"/>
        <v>1.3062242255682361</v>
      </c>
      <c r="AM20" s="311">
        <f t="shared" si="12"/>
        <v>1.4739093536633039</v>
      </c>
      <c r="AN20" s="98">
        <v>0</v>
      </c>
      <c r="AO20" s="305">
        <f t="shared" si="33"/>
        <v>0</v>
      </c>
      <c r="AP20" s="311">
        <f t="shared" si="34"/>
        <v>0</v>
      </c>
      <c r="AQ20" s="311">
        <f t="shared" si="35"/>
        <v>0</v>
      </c>
      <c r="AR20" s="308">
        <f t="shared" si="36"/>
        <v>0</v>
      </c>
      <c r="AS20" s="311">
        <f t="shared" si="37"/>
        <v>0</v>
      </c>
      <c r="AT20" s="310">
        <f>'12'!I46</f>
        <v>37147.780000000064</v>
      </c>
      <c r="AU20" s="305">
        <f t="shared" si="38"/>
        <v>423685.80000000005</v>
      </c>
      <c r="AV20" s="311">
        <f t="shared" si="13"/>
        <v>705.72172194992334</v>
      </c>
      <c r="AW20" s="311">
        <f t="shared" si="14"/>
        <v>838.52964035432001</v>
      </c>
      <c r="AX20" s="311">
        <f t="shared" si="15"/>
        <v>712.53054569866811</v>
      </c>
      <c r="AY20" s="311">
        <f t="shared" si="16"/>
        <v>858.14822541475871</v>
      </c>
      <c r="AZ20" s="310">
        <f>+Listrik!S19</f>
        <v>24819.899999999998</v>
      </c>
      <c r="BA20" s="305">
        <f t="shared" si="39"/>
        <v>251832.22600000005</v>
      </c>
      <c r="BB20" s="311">
        <f t="shared" si="17"/>
        <v>471.52057448991218</v>
      </c>
      <c r="BC20" s="311">
        <f t="shared" si="40"/>
        <v>498.40892920510402</v>
      </c>
      <c r="BD20" s="311">
        <f t="shared" si="18"/>
        <v>476.0698187398101</v>
      </c>
      <c r="BE20" s="311">
        <f t="shared" si="19"/>
        <v>510.06990992888711</v>
      </c>
      <c r="BF20" s="588"/>
      <c r="BG20" s="590">
        <f t="shared" si="41"/>
        <v>0</v>
      </c>
      <c r="BH20" s="589">
        <f t="shared" si="42"/>
        <v>0</v>
      </c>
      <c r="BI20" s="589">
        <f t="shared" si="43"/>
        <v>0</v>
      </c>
      <c r="BJ20" s="589">
        <f t="shared" si="44"/>
        <v>0</v>
      </c>
      <c r="BK20" s="589">
        <f t="shared" si="45"/>
        <v>0</v>
      </c>
      <c r="BL20" s="539">
        <f>+SUM(Efficiency2!K70:K71)</f>
        <v>51.81028676999999</v>
      </c>
      <c r="BM20" s="540">
        <f t="shared" si="46"/>
        <v>612.10495667606563</v>
      </c>
      <c r="BN20" s="541">
        <f t="shared" si="20"/>
        <v>1.0062673505638271</v>
      </c>
      <c r="BO20" s="541">
        <f t="shared" si="21"/>
        <v>0.80659533077639156</v>
      </c>
    </row>
    <row r="21" spans="1:67">
      <c r="A21" s="18">
        <f t="shared" si="22"/>
        <v>46094</v>
      </c>
      <c r="B21" s="437" t="s">
        <v>585</v>
      </c>
      <c r="C21" s="438" t="s">
        <v>584</v>
      </c>
      <c r="D21" s="442">
        <f>+'13'!F42</f>
        <v>929.49305555555554</v>
      </c>
      <c r="E21" s="442">
        <f>+'13'!G42</f>
        <v>799.36402777777778</v>
      </c>
      <c r="F21" s="49">
        <f t="shared" si="0"/>
        <v>0.14000000000000001</v>
      </c>
      <c r="G21" s="446">
        <f t="shared" si="23"/>
        <v>0.99862968390173168</v>
      </c>
      <c r="H21" s="445">
        <f t="shared" si="24"/>
        <v>0.98437293753002919</v>
      </c>
      <c r="I21" s="445">
        <f t="shared" si="25"/>
        <v>0.95219006648416116</v>
      </c>
      <c r="J21" s="448">
        <f t="shared" si="26"/>
        <v>0.93731013283192754</v>
      </c>
      <c r="K21" s="448">
        <f t="shared" si="27"/>
        <v>0.78537880848135755</v>
      </c>
      <c r="L21" s="308">
        <f>+SUM(Efficiency1!K75:K76)</f>
        <v>51.951854881666662</v>
      </c>
      <c r="M21" s="14">
        <f t="shared" si="28"/>
        <v>690.64252070773227</v>
      </c>
      <c r="N21" s="308">
        <f>+SUM(Efficiency1!C75:C76)</f>
        <v>51.210174125999984</v>
      </c>
      <c r="O21" s="14">
        <f t="shared" si="28"/>
        <v>619.85592932640907</v>
      </c>
      <c r="P21" s="304">
        <f>'13'!I38</f>
        <v>51.14</v>
      </c>
      <c r="Q21" s="14">
        <f t="shared" si="29"/>
        <v>556.41229999999996</v>
      </c>
      <c r="R21" s="16">
        <f>'13'!I40</f>
        <v>48.695</v>
      </c>
      <c r="S21" s="305">
        <f t="shared" si="30"/>
        <v>542.41600000000005</v>
      </c>
      <c r="T21" s="8">
        <f t="shared" si="1"/>
        <v>0.95219006648416116</v>
      </c>
      <c r="U21" s="8">
        <f t="shared" si="2"/>
        <v>0.97484545183490745</v>
      </c>
      <c r="V21" s="306">
        <f t="shared" si="3"/>
        <v>0.93731013283192754</v>
      </c>
      <c r="W21" s="307">
        <f t="shared" si="4"/>
        <v>0.78537880848135755</v>
      </c>
      <c r="X21" s="305"/>
      <c r="Y21" s="305"/>
      <c r="Z21" s="7"/>
      <c r="AA21" s="305"/>
      <c r="AB21" s="98">
        <f>+[1]Report1!AY21</f>
        <v>4363.8426070276519</v>
      </c>
      <c r="AC21" s="14">
        <f t="shared" si="31"/>
        <v>52325.191412076143</v>
      </c>
      <c r="AD21" s="303">
        <f t="shared" si="5"/>
        <v>85.331298533978327</v>
      </c>
      <c r="AE21" s="303">
        <f t="shared" si="6"/>
        <v>94.040321200800463</v>
      </c>
      <c r="AF21" s="309">
        <f t="shared" si="7"/>
        <v>89.615825177690766</v>
      </c>
      <c r="AG21" s="303">
        <f t="shared" si="8"/>
        <v>96.466902547262876</v>
      </c>
      <c r="AH21" s="554">
        <v>69.599999999999994</v>
      </c>
      <c r="AI21" s="305">
        <f t="shared" si="32"/>
        <v>797.30000000000007</v>
      </c>
      <c r="AJ21" s="311">
        <f t="shared" si="9"/>
        <v>1.3609698865858426</v>
      </c>
      <c r="AK21" s="311">
        <f t="shared" si="10"/>
        <v>1.4329302209890042</v>
      </c>
      <c r="AL21" s="308">
        <f t="shared" si="11"/>
        <v>1.4293048567614743</v>
      </c>
      <c r="AM21" s="311">
        <f t="shared" si="12"/>
        <v>1.4699050175511046</v>
      </c>
      <c r="AN21" s="98">
        <v>0</v>
      </c>
      <c r="AO21" s="305">
        <f t="shared" si="33"/>
        <v>0</v>
      </c>
      <c r="AP21" s="311">
        <f t="shared" si="34"/>
        <v>0</v>
      </c>
      <c r="AQ21" s="311">
        <f t="shared" si="35"/>
        <v>0</v>
      </c>
      <c r="AR21" s="308">
        <f t="shared" si="36"/>
        <v>0</v>
      </c>
      <c r="AS21" s="311">
        <f t="shared" si="37"/>
        <v>0</v>
      </c>
      <c r="AT21" s="310">
        <f>'13'!I46</f>
        <v>41775.779999999984</v>
      </c>
      <c r="AU21" s="305">
        <f t="shared" si="38"/>
        <v>465461.58</v>
      </c>
      <c r="AV21" s="311">
        <f t="shared" si="13"/>
        <v>816.89049667579161</v>
      </c>
      <c r="AW21" s="311">
        <f t="shared" si="14"/>
        <v>836.5407809999889</v>
      </c>
      <c r="AX21" s="311">
        <f t="shared" si="15"/>
        <v>857.90697196837425</v>
      </c>
      <c r="AY21" s="311">
        <f t="shared" si="16"/>
        <v>858.12656706291853</v>
      </c>
      <c r="AZ21" s="310">
        <f>+Listrik!S20</f>
        <v>24769.549000000006</v>
      </c>
      <c r="BA21" s="305">
        <f t="shared" si="39"/>
        <v>276601.77500000008</v>
      </c>
      <c r="BB21" s="311">
        <f t="shared" si="17"/>
        <v>484.34784904184602</v>
      </c>
      <c r="BC21" s="311">
        <f t="shared" si="40"/>
        <v>497.11657165019557</v>
      </c>
      <c r="BD21" s="311">
        <f t="shared" si="18"/>
        <v>508.66719375705935</v>
      </c>
      <c r="BE21" s="311">
        <f t="shared" si="19"/>
        <v>509.94398210967239</v>
      </c>
      <c r="BF21" s="588"/>
      <c r="BG21" s="590">
        <f t="shared" si="41"/>
        <v>0</v>
      </c>
      <c r="BH21" s="589">
        <f t="shared" si="42"/>
        <v>0</v>
      </c>
      <c r="BI21" s="589">
        <f t="shared" si="43"/>
        <v>0</v>
      </c>
      <c r="BJ21" s="589">
        <f t="shared" si="44"/>
        <v>0</v>
      </c>
      <c r="BK21" s="589">
        <f t="shared" si="45"/>
        <v>0</v>
      </c>
      <c r="BL21" s="539">
        <f>+SUM(Efficiency2!K75:K76)</f>
        <v>51.951854881666662</v>
      </c>
      <c r="BM21" s="540">
        <f t="shared" si="46"/>
        <v>664.05681155773232</v>
      </c>
      <c r="BN21" s="541">
        <f t="shared" si="20"/>
        <v>0.93731013283192754</v>
      </c>
      <c r="BO21" s="541">
        <f t="shared" si="21"/>
        <v>0.81682167934940764</v>
      </c>
    </row>
    <row r="22" spans="1:67">
      <c r="A22" s="18">
        <f t="shared" si="22"/>
        <v>46095</v>
      </c>
      <c r="B22" s="437" t="s">
        <v>586</v>
      </c>
      <c r="C22" s="438" t="s">
        <v>591</v>
      </c>
      <c r="D22" s="442">
        <f>+'14'!F42</f>
        <v>743.33333333333337</v>
      </c>
      <c r="E22" s="442">
        <f>+'14'!G42</f>
        <v>639.26666666666665</v>
      </c>
      <c r="F22" s="49">
        <f t="shared" si="0"/>
        <v>0.14000000000000001</v>
      </c>
      <c r="G22" s="446">
        <f t="shared" si="23"/>
        <v>1.0145144608606511</v>
      </c>
      <c r="H22" s="445">
        <f t="shared" si="24"/>
        <v>1.0145144608606511</v>
      </c>
      <c r="I22" s="445">
        <f t="shared" si="25"/>
        <v>0.97640285589833919</v>
      </c>
      <c r="J22" s="448">
        <f t="shared" si="26"/>
        <v>0.99057481693450367</v>
      </c>
      <c r="K22" s="448">
        <f t="shared" si="27"/>
        <v>0.79975889973573477</v>
      </c>
      <c r="L22" s="308">
        <f>+Efficiency1!K80</f>
        <v>52.047557759999997</v>
      </c>
      <c r="M22" s="14">
        <f t="shared" si="28"/>
        <v>742.69007846773229</v>
      </c>
      <c r="N22" s="308">
        <f>+Efficiency1!C80</f>
        <v>52.047557759999997</v>
      </c>
      <c r="O22" s="14">
        <f t="shared" si="28"/>
        <v>671.90348708640909</v>
      </c>
      <c r="P22" s="304">
        <f>'14'!I38</f>
        <v>52.802999999999997</v>
      </c>
      <c r="Q22" s="14">
        <f t="shared" si="29"/>
        <v>609.21529999999996</v>
      </c>
      <c r="R22" s="16">
        <f>'14'!I40</f>
        <v>51.557000000000002</v>
      </c>
      <c r="S22" s="305">
        <f t="shared" si="30"/>
        <v>593.97300000000007</v>
      </c>
      <c r="T22" s="8">
        <f t="shared" si="1"/>
        <v>0.97640285589833919</v>
      </c>
      <c r="U22" s="8">
        <f t="shared" si="2"/>
        <v>0.97498043795026179</v>
      </c>
      <c r="V22" s="306">
        <f t="shared" si="3"/>
        <v>0.99057481693450367</v>
      </c>
      <c r="W22" s="307">
        <f t="shared" si="4"/>
        <v>0.79975889973573477</v>
      </c>
      <c r="X22" s="305"/>
      <c r="Y22" s="305"/>
      <c r="Z22" s="7"/>
      <c r="AA22" s="305"/>
      <c r="AB22" s="98">
        <f>+[1]Report1!AY22</f>
        <v>4389.4903583406885</v>
      </c>
      <c r="AC22" s="14">
        <f t="shared" si="31"/>
        <v>56714.681770416835</v>
      </c>
      <c r="AD22" s="303">
        <f t="shared" si="5"/>
        <v>83.129563819114225</v>
      </c>
      <c r="AE22" s="303">
        <f t="shared" si="6"/>
        <v>93.094644488437567</v>
      </c>
      <c r="AF22" s="309">
        <f t="shared" si="7"/>
        <v>85.138591429693122</v>
      </c>
      <c r="AG22" s="303">
        <f t="shared" si="8"/>
        <v>95.483602403504591</v>
      </c>
      <c r="AH22" s="554">
        <v>69.599999999999994</v>
      </c>
      <c r="AI22" s="305">
        <f t="shared" si="32"/>
        <v>866.90000000000009</v>
      </c>
      <c r="AJ22" s="311">
        <f t="shared" si="9"/>
        <v>1.3181069257428555</v>
      </c>
      <c r="AK22" s="311">
        <f t="shared" si="10"/>
        <v>1.4229780506169167</v>
      </c>
      <c r="AL22" s="308">
        <f t="shared" si="11"/>
        <v>1.349962177783812</v>
      </c>
      <c r="AM22" s="311">
        <f t="shared" si="12"/>
        <v>1.459493950061703</v>
      </c>
      <c r="AN22" s="98">
        <v>0</v>
      </c>
      <c r="AO22" s="305">
        <f t="shared" si="33"/>
        <v>0</v>
      </c>
      <c r="AP22" s="311">
        <f t="shared" si="34"/>
        <v>0</v>
      </c>
      <c r="AQ22" s="311">
        <f t="shared" si="35"/>
        <v>0</v>
      </c>
      <c r="AR22" s="308">
        <f t="shared" si="36"/>
        <v>0</v>
      </c>
      <c r="AS22" s="311">
        <f t="shared" si="37"/>
        <v>0</v>
      </c>
      <c r="AT22" s="310">
        <f>'14'!I46</f>
        <v>37134.599999999919</v>
      </c>
      <c r="AU22" s="305">
        <f t="shared" si="38"/>
        <v>502596.17999999993</v>
      </c>
      <c r="AV22" s="311">
        <f t="shared" si="13"/>
        <v>703.2668598375077</v>
      </c>
      <c r="AW22" s="311">
        <f t="shared" si="14"/>
        <v>824.9894249208777</v>
      </c>
      <c r="AX22" s="311">
        <f t="shared" si="15"/>
        <v>720.26300987256661</v>
      </c>
      <c r="AY22" s="311">
        <f t="shared" si="16"/>
        <v>846.15997696864986</v>
      </c>
      <c r="AZ22" s="310">
        <f>+Listrik!S21</f>
        <v>27480.000000000004</v>
      </c>
      <c r="BA22" s="305">
        <f t="shared" si="39"/>
        <v>304081.77500000008</v>
      </c>
      <c r="BB22" s="311">
        <f t="shared" si="17"/>
        <v>520.42497585364481</v>
      </c>
      <c r="BC22" s="311">
        <f t="shared" si="40"/>
        <v>499.13679942050067</v>
      </c>
      <c r="BD22" s="311">
        <f t="shared" si="18"/>
        <v>533.00230812498796</v>
      </c>
      <c r="BE22" s="311">
        <f t="shared" si="19"/>
        <v>511.94545038242478</v>
      </c>
      <c r="BF22" s="588"/>
      <c r="BG22" s="590">
        <f t="shared" si="41"/>
        <v>0</v>
      </c>
      <c r="BH22" s="589">
        <f t="shared" si="42"/>
        <v>0</v>
      </c>
      <c r="BI22" s="589">
        <f t="shared" si="43"/>
        <v>0</v>
      </c>
      <c r="BJ22" s="589">
        <f t="shared" si="44"/>
        <v>0</v>
      </c>
      <c r="BK22" s="589">
        <f t="shared" si="45"/>
        <v>0</v>
      </c>
      <c r="BL22" s="539">
        <f>+Efficiency2!K80</f>
        <v>52.047557759999997</v>
      </c>
      <c r="BM22" s="540">
        <f t="shared" si="46"/>
        <v>716.10436931773233</v>
      </c>
      <c r="BN22" s="541">
        <f t="shared" si="20"/>
        <v>0.99057481693450367</v>
      </c>
      <c r="BO22" s="541">
        <f t="shared" si="21"/>
        <v>0.829450322396311</v>
      </c>
    </row>
    <row r="23" spans="1:67">
      <c r="A23" s="18">
        <f t="shared" si="22"/>
        <v>46096</v>
      </c>
      <c r="B23" s="437" t="s">
        <v>586</v>
      </c>
      <c r="C23" s="438" t="s">
        <v>591</v>
      </c>
      <c r="D23" s="442">
        <f>+'15'!F42</f>
        <v>740</v>
      </c>
      <c r="E23" s="442">
        <f>+'15'!G42</f>
        <v>636.4</v>
      </c>
      <c r="F23" s="49">
        <f t="shared" si="0"/>
        <v>0.14000000000000001</v>
      </c>
      <c r="G23" s="446">
        <f t="shared" si="23"/>
        <v>1.0222229180679809</v>
      </c>
      <c r="H23" s="445">
        <f t="shared" si="24"/>
        <v>1.0222229180679809</v>
      </c>
      <c r="I23" s="445">
        <f t="shared" si="25"/>
        <v>0.98848074449572521</v>
      </c>
      <c r="J23" s="448">
        <f t="shared" si="26"/>
        <v>1.0104476710924306</v>
      </c>
      <c r="K23" s="448">
        <f t="shared" si="27"/>
        <v>0.81347544197889277</v>
      </c>
      <c r="L23" s="308">
        <f>+Efficiency1!K85</f>
        <v>51.718660446315795</v>
      </c>
      <c r="M23" s="14">
        <f t="shared" si="28"/>
        <v>794.40873891404806</v>
      </c>
      <c r="N23" s="308">
        <f>+Efficiency1!C85</f>
        <v>51.718660446315795</v>
      </c>
      <c r="O23" s="14">
        <f t="shared" si="28"/>
        <v>723.62214753272485</v>
      </c>
      <c r="P23" s="304">
        <f>'15'!I38</f>
        <v>52.868000000000002</v>
      </c>
      <c r="Q23" s="14">
        <f t="shared" si="29"/>
        <v>662.08330000000001</v>
      </c>
      <c r="R23" s="16">
        <f>'15'!I40</f>
        <v>52.259</v>
      </c>
      <c r="S23" s="305">
        <f t="shared" si="30"/>
        <v>646.23200000000008</v>
      </c>
      <c r="T23" s="8">
        <f t="shared" si="1"/>
        <v>0.98848074449572521</v>
      </c>
      <c r="U23" s="8">
        <f t="shared" si="2"/>
        <v>0.97605845065114927</v>
      </c>
      <c r="V23" s="306">
        <f t="shared" si="3"/>
        <v>1.0104476710924306</v>
      </c>
      <c r="W23" s="307">
        <f t="shared" si="4"/>
        <v>0.81347544197889277</v>
      </c>
      <c r="X23" s="305"/>
      <c r="Y23" s="305"/>
      <c r="Z23" s="7"/>
      <c r="AA23" s="305"/>
      <c r="AB23" s="98">
        <f>+[1]Report1!AY23</f>
        <v>4374.4160874854915</v>
      </c>
      <c r="AC23" s="14">
        <f t="shared" si="31"/>
        <v>61089.097857902329</v>
      </c>
      <c r="AD23" s="303">
        <f t="shared" si="5"/>
        <v>82.742227575953152</v>
      </c>
      <c r="AE23" s="303">
        <f t="shared" si="6"/>
        <v>92.267993858027125</v>
      </c>
      <c r="AF23" s="309">
        <f t="shared" si="7"/>
        <v>83.706463718890362</v>
      </c>
      <c r="AG23" s="303">
        <f t="shared" si="8"/>
        <v>94.531217670901967</v>
      </c>
      <c r="AH23" s="554">
        <v>69.400000000000006</v>
      </c>
      <c r="AI23" s="305">
        <f t="shared" si="32"/>
        <v>936.30000000000007</v>
      </c>
      <c r="AJ23" s="311">
        <f t="shared" si="9"/>
        <v>1.3127033366119392</v>
      </c>
      <c r="AK23" s="311">
        <f t="shared" si="10"/>
        <v>1.4141725066921338</v>
      </c>
      <c r="AL23" s="308">
        <f t="shared" si="11"/>
        <v>1.3280009185020762</v>
      </c>
      <c r="AM23" s="311">
        <f t="shared" si="12"/>
        <v>1.4488604711620594</v>
      </c>
      <c r="AN23" s="98">
        <v>0</v>
      </c>
      <c r="AO23" s="305">
        <f t="shared" si="33"/>
        <v>0</v>
      </c>
      <c r="AP23" s="311">
        <f t="shared" si="34"/>
        <v>0</v>
      </c>
      <c r="AQ23" s="311">
        <f t="shared" si="35"/>
        <v>0</v>
      </c>
      <c r="AR23" s="308">
        <f t="shared" si="36"/>
        <v>0</v>
      </c>
      <c r="AS23" s="311">
        <f t="shared" si="37"/>
        <v>0</v>
      </c>
      <c r="AT23" s="310">
        <f>'15'!I46</f>
        <v>38173.700000000012</v>
      </c>
      <c r="AU23" s="305">
        <f t="shared" si="38"/>
        <v>540769.87999999989</v>
      </c>
      <c r="AV23" s="311">
        <f t="shared" si="13"/>
        <v>722.05682076114124</v>
      </c>
      <c r="AW23" s="311">
        <f t="shared" si="14"/>
        <v>816.77015565866088</v>
      </c>
      <c r="AX23" s="311">
        <f t="shared" si="15"/>
        <v>730.47130637784892</v>
      </c>
      <c r="AY23" s="311">
        <f t="shared" si="16"/>
        <v>836.80455316356938</v>
      </c>
      <c r="AZ23" s="310">
        <f>+Listrik!S22</f>
        <v>27466.400000000005</v>
      </c>
      <c r="BA23" s="305">
        <f t="shared" si="39"/>
        <v>331548.1750000001</v>
      </c>
      <c r="BB23" s="311">
        <f t="shared" si="17"/>
        <v>519.52788075962781</v>
      </c>
      <c r="BC23" s="311">
        <f t="shared" si="40"/>
        <v>500.76504723801384</v>
      </c>
      <c r="BD23" s="311">
        <f t="shared" si="18"/>
        <v>525.58219636808974</v>
      </c>
      <c r="BE23" s="311">
        <f t="shared" si="19"/>
        <v>513.04821643001287</v>
      </c>
      <c r="BF23" s="588"/>
      <c r="BG23" s="590">
        <f t="shared" si="41"/>
        <v>0</v>
      </c>
      <c r="BH23" s="589">
        <f t="shared" si="42"/>
        <v>0</v>
      </c>
      <c r="BI23" s="589">
        <f t="shared" si="43"/>
        <v>0</v>
      </c>
      <c r="BJ23" s="589">
        <f t="shared" si="44"/>
        <v>0</v>
      </c>
      <c r="BK23" s="589">
        <f t="shared" si="45"/>
        <v>0</v>
      </c>
      <c r="BL23" s="539">
        <f>+Efficiency2!K85</f>
        <v>51.718660446315795</v>
      </c>
      <c r="BM23" s="540">
        <f t="shared" si="46"/>
        <v>767.8230297640481</v>
      </c>
      <c r="BN23" s="541">
        <f t="shared" si="20"/>
        <v>1.0104476710924306</v>
      </c>
      <c r="BO23" s="541">
        <f t="shared" si="21"/>
        <v>0.84164185619515353</v>
      </c>
    </row>
    <row r="24" spans="1:67">
      <c r="A24" s="18">
        <f t="shared" si="22"/>
        <v>46097</v>
      </c>
      <c r="B24" s="437" t="s">
        <v>586</v>
      </c>
      <c r="C24" s="438" t="s">
        <v>591</v>
      </c>
      <c r="D24" s="442">
        <f>+'16'!F42</f>
        <v>740</v>
      </c>
      <c r="E24" s="442">
        <f>+'16'!G42</f>
        <v>636.4</v>
      </c>
      <c r="F24" s="49">
        <f t="shared" si="0"/>
        <v>0.14000000000000001</v>
      </c>
      <c r="G24" s="446">
        <f t="shared" si="23"/>
        <v>1.0366664873614366</v>
      </c>
      <c r="H24" s="445">
        <f t="shared" si="24"/>
        <v>1.0366664873614366</v>
      </c>
      <c r="I24" s="445">
        <f t="shared" si="25"/>
        <v>0.99734604242594149</v>
      </c>
      <c r="J24" s="448">
        <f t="shared" si="26"/>
        <v>1.0339152184855311</v>
      </c>
      <c r="K24" s="448">
        <f t="shared" si="27"/>
        <v>0.82692363643200062</v>
      </c>
      <c r="L24" s="308">
        <f>+Efficiency1!K90</f>
        <v>51.612549119999997</v>
      </c>
      <c r="M24" s="14">
        <f t="shared" si="28"/>
        <v>846.0212880340481</v>
      </c>
      <c r="N24" s="308">
        <f>+Efficiency1!C90</f>
        <v>51.612549119999997</v>
      </c>
      <c r="O24" s="14">
        <f t="shared" si="28"/>
        <v>775.23469665272489</v>
      </c>
      <c r="P24" s="304">
        <f>'16'!I38</f>
        <v>53.505000000000003</v>
      </c>
      <c r="Q24" s="14">
        <f t="shared" si="29"/>
        <v>715.5883</v>
      </c>
      <c r="R24" s="16">
        <f>'16'!I40</f>
        <v>53.363</v>
      </c>
      <c r="S24" s="305">
        <f t="shared" si="30"/>
        <v>699.59500000000003</v>
      </c>
      <c r="T24" s="8">
        <f t="shared" si="1"/>
        <v>0.99734604242594149</v>
      </c>
      <c r="U24" s="8">
        <f t="shared" si="2"/>
        <v>0.97765013765596787</v>
      </c>
      <c r="V24" s="306">
        <f t="shared" si="3"/>
        <v>1.0339152184855311</v>
      </c>
      <c r="W24" s="307">
        <f t="shared" si="4"/>
        <v>0.82692363643200062</v>
      </c>
      <c r="X24" s="305"/>
      <c r="Y24" s="305"/>
      <c r="Z24" s="7"/>
      <c r="AA24" s="305"/>
      <c r="AB24" s="98">
        <f>+[1]Report1!AY24</f>
        <v>3865.9083988281363</v>
      </c>
      <c r="AC24" s="14">
        <f t="shared" si="31"/>
        <v>64955.006256730463</v>
      </c>
      <c r="AD24" s="303">
        <f t="shared" si="5"/>
        <v>72.253217434410544</v>
      </c>
      <c r="AE24" s="303">
        <f t="shared" si="6"/>
        <v>90.771476080213247</v>
      </c>
      <c r="AF24" s="309">
        <f t="shared" si="7"/>
        <v>72.44548467717587</v>
      </c>
      <c r="AG24" s="303">
        <f t="shared" si="8"/>
        <v>92.846584462053698</v>
      </c>
      <c r="AH24" s="554">
        <v>70.599999999999994</v>
      </c>
      <c r="AI24" s="305">
        <f t="shared" si="32"/>
        <v>1006.9000000000001</v>
      </c>
      <c r="AJ24" s="311">
        <f t="shared" si="9"/>
        <v>1.3195028502009156</v>
      </c>
      <c r="AK24" s="311">
        <f t="shared" si="10"/>
        <v>1.4070939952483852</v>
      </c>
      <c r="AL24" s="308">
        <f t="shared" si="11"/>
        <v>1.3230140734216591</v>
      </c>
      <c r="AM24" s="311">
        <f t="shared" si="12"/>
        <v>1.4392612868874135</v>
      </c>
      <c r="AN24" s="98">
        <v>0</v>
      </c>
      <c r="AO24" s="305">
        <f t="shared" si="33"/>
        <v>0</v>
      </c>
      <c r="AP24" s="311">
        <f t="shared" si="34"/>
        <v>0</v>
      </c>
      <c r="AQ24" s="311">
        <f t="shared" si="35"/>
        <v>0</v>
      </c>
      <c r="AR24" s="308">
        <f t="shared" si="36"/>
        <v>0</v>
      </c>
      <c r="AS24" s="311">
        <f t="shared" si="37"/>
        <v>0</v>
      </c>
      <c r="AT24" s="310">
        <f>'16'!I46</f>
        <v>43306.800000000047</v>
      </c>
      <c r="AU24" s="305">
        <f t="shared" si="38"/>
        <v>584076.67999999993</v>
      </c>
      <c r="AV24" s="311">
        <f t="shared" si="13"/>
        <v>809.39725259321654</v>
      </c>
      <c r="AW24" s="311">
        <f t="shared" si="14"/>
        <v>816.21887892800919</v>
      </c>
      <c r="AX24" s="311">
        <f t="shared" si="15"/>
        <v>811.5510747146908</v>
      </c>
      <c r="AY24" s="311">
        <f t="shared" si="16"/>
        <v>834.87829387002466</v>
      </c>
      <c r="AZ24" s="310">
        <f>+Listrik!S23</f>
        <v>22899.000000000004</v>
      </c>
      <c r="BA24" s="305">
        <f t="shared" si="39"/>
        <v>354447.1750000001</v>
      </c>
      <c r="BB24" s="311">
        <f t="shared" si="17"/>
        <v>427.97869358003931</v>
      </c>
      <c r="BC24" s="311">
        <f t="shared" si="40"/>
        <v>495.32276450020225</v>
      </c>
      <c r="BD24" s="311">
        <f t="shared" si="18"/>
        <v>429.11755336094302</v>
      </c>
      <c r="BE24" s="311">
        <f t="shared" si="19"/>
        <v>506.64623818066178</v>
      </c>
      <c r="BF24" s="588"/>
      <c r="BG24" s="590">
        <f t="shared" si="41"/>
        <v>0</v>
      </c>
      <c r="BH24" s="589">
        <f t="shared" si="42"/>
        <v>0</v>
      </c>
      <c r="BI24" s="589">
        <f t="shared" si="43"/>
        <v>0</v>
      </c>
      <c r="BJ24" s="589">
        <f t="shared" si="44"/>
        <v>0</v>
      </c>
      <c r="BK24" s="589">
        <f t="shared" si="45"/>
        <v>0</v>
      </c>
      <c r="BL24" s="539">
        <f>+Efficiency2!K90</f>
        <v>51.612549119999997</v>
      </c>
      <c r="BM24" s="540">
        <f t="shared" si="46"/>
        <v>819.43557888404814</v>
      </c>
      <c r="BN24" s="541">
        <f t="shared" si="20"/>
        <v>1.0339152184855311</v>
      </c>
      <c r="BO24" s="541">
        <f t="shared" si="21"/>
        <v>0.8537522875840301</v>
      </c>
    </row>
    <row r="25" spans="1:67">
      <c r="A25" s="18">
        <f t="shared" si="22"/>
        <v>46098</v>
      </c>
      <c r="B25" s="437" t="s">
        <v>586</v>
      </c>
      <c r="C25" s="438" t="s">
        <v>591</v>
      </c>
      <c r="D25" s="442">
        <f>+'17'!F42</f>
        <v>740</v>
      </c>
      <c r="E25" s="442">
        <f>+'17'!G42</f>
        <v>636.4</v>
      </c>
      <c r="F25" s="49">
        <f t="shared" si="0"/>
        <v>0.14000000000000001</v>
      </c>
      <c r="G25" s="446">
        <f t="shared" si="23"/>
        <v>1.0469934332125466</v>
      </c>
      <c r="H25" s="445">
        <f t="shared" si="24"/>
        <v>1.0469934332125466</v>
      </c>
      <c r="I25" s="445">
        <f t="shared" si="25"/>
        <v>0.98786039453717756</v>
      </c>
      <c r="J25" s="448">
        <f t="shared" si="26"/>
        <v>1.0342833460111804</v>
      </c>
      <c r="K25" s="448">
        <f t="shared" si="27"/>
        <v>0.83884649712773385</v>
      </c>
      <c r="L25" s="308">
        <f>+Efficiency1!K95</f>
        <v>51.612549119999997</v>
      </c>
      <c r="M25" s="14">
        <f t="shared" si="28"/>
        <v>897.63383715404814</v>
      </c>
      <c r="N25" s="308">
        <f>+Efficiency1!C95</f>
        <v>51.612549119999997</v>
      </c>
      <c r="O25" s="14">
        <f t="shared" si="28"/>
        <v>826.84724577272493</v>
      </c>
      <c r="P25" s="304">
        <f>'17'!I38</f>
        <v>54.037999999999997</v>
      </c>
      <c r="Q25" s="14">
        <f t="shared" si="29"/>
        <v>769.62630000000001</v>
      </c>
      <c r="R25" s="16">
        <f>'17'!I40</f>
        <v>53.381999999999998</v>
      </c>
      <c r="S25" s="305">
        <f t="shared" si="30"/>
        <v>752.97699999999998</v>
      </c>
      <c r="T25" s="8">
        <f t="shared" si="1"/>
        <v>0.98786039453717756</v>
      </c>
      <c r="U25" s="8">
        <f t="shared" si="2"/>
        <v>0.9783670334550677</v>
      </c>
      <c r="V25" s="306">
        <f t="shared" si="3"/>
        <v>1.0342833460111804</v>
      </c>
      <c r="W25" s="307">
        <f t="shared" si="4"/>
        <v>0.83884649712773385</v>
      </c>
      <c r="X25" s="305"/>
      <c r="Y25" s="305"/>
      <c r="Z25" s="7"/>
      <c r="AA25" s="305"/>
      <c r="AB25" s="98">
        <f>+[1]Report1!AY25</f>
        <v>6150.8539374638094</v>
      </c>
      <c r="AC25" s="14">
        <f t="shared" si="31"/>
        <v>71105.860194194276</v>
      </c>
      <c r="AD25" s="303">
        <f t="shared" si="5"/>
        <v>113.82460375039435</v>
      </c>
      <c r="AE25" s="303">
        <f t="shared" si="6"/>
        <v>92.390112180670371</v>
      </c>
      <c r="AF25" s="309">
        <f t="shared" si="7"/>
        <v>115.22337000231931</v>
      </c>
      <c r="AG25" s="303">
        <f t="shared" si="8"/>
        <v>94.432977626400643</v>
      </c>
      <c r="AH25" s="554">
        <v>71.3</v>
      </c>
      <c r="AI25" s="305">
        <f t="shared" si="32"/>
        <v>1078.2</v>
      </c>
      <c r="AJ25" s="311">
        <f t="shared" si="9"/>
        <v>1.3194418742366483</v>
      </c>
      <c r="AK25" s="311">
        <f t="shared" si="10"/>
        <v>1.4009396508409342</v>
      </c>
      <c r="AL25" s="308">
        <f t="shared" si="11"/>
        <v>1.3356562137049941</v>
      </c>
      <c r="AM25" s="311">
        <f t="shared" si="12"/>
        <v>1.4319162471098057</v>
      </c>
      <c r="AN25" s="98">
        <v>0</v>
      </c>
      <c r="AO25" s="305">
        <f t="shared" si="33"/>
        <v>0</v>
      </c>
      <c r="AP25" s="311">
        <f t="shared" si="34"/>
        <v>0</v>
      </c>
      <c r="AQ25" s="311">
        <f t="shared" si="35"/>
        <v>0</v>
      </c>
      <c r="AR25" s="308">
        <f t="shared" si="36"/>
        <v>0</v>
      </c>
      <c r="AS25" s="311">
        <f t="shared" si="37"/>
        <v>0</v>
      </c>
      <c r="AT25" s="310">
        <f>'17'!I46</f>
        <v>42228.059999999932</v>
      </c>
      <c r="AU25" s="305">
        <f t="shared" si="38"/>
        <v>626304.73999999987</v>
      </c>
      <c r="AV25" s="311">
        <f t="shared" si="13"/>
        <v>781.45120100669772</v>
      </c>
      <c r="AW25" s="311">
        <f t="shared" si="14"/>
        <v>813.77772563125745</v>
      </c>
      <c r="AX25" s="311">
        <f t="shared" si="15"/>
        <v>791.05428796223316</v>
      </c>
      <c r="AY25" s="311">
        <f t="shared" si="16"/>
        <v>831.77140868844583</v>
      </c>
      <c r="AZ25" s="310">
        <f>+Listrik!S24</f>
        <v>23934.249000000014</v>
      </c>
      <c r="BA25" s="305">
        <f t="shared" si="39"/>
        <v>378381.42400000012</v>
      </c>
      <c r="BB25" s="311">
        <f t="shared" si="17"/>
        <v>442.91515230023344</v>
      </c>
      <c r="BC25" s="311">
        <f t="shared" si="40"/>
        <v>491.64305325844515</v>
      </c>
      <c r="BD25" s="311">
        <f t="shared" si="18"/>
        <v>448.35804203664179</v>
      </c>
      <c r="BE25" s="311">
        <f t="shared" si="19"/>
        <v>502.51392007989637</v>
      </c>
      <c r="BF25" s="588"/>
      <c r="BG25" s="590">
        <f t="shared" si="41"/>
        <v>0</v>
      </c>
      <c r="BH25" s="589">
        <f t="shared" si="42"/>
        <v>0</v>
      </c>
      <c r="BI25" s="589">
        <f t="shared" si="43"/>
        <v>0</v>
      </c>
      <c r="BJ25" s="589">
        <f t="shared" si="44"/>
        <v>0</v>
      </c>
      <c r="BK25" s="589">
        <f t="shared" si="45"/>
        <v>0</v>
      </c>
      <c r="BL25" s="539">
        <f>+Efficiency2!K95</f>
        <v>51.612549119999997</v>
      </c>
      <c r="BM25" s="540">
        <f t="shared" si="46"/>
        <v>871.04812800404818</v>
      </c>
      <c r="BN25" s="541">
        <f t="shared" si="20"/>
        <v>1.0342833460111804</v>
      </c>
      <c r="BO25" s="541">
        <f t="shared" si="21"/>
        <v>0.86444936369405811</v>
      </c>
    </row>
    <row r="26" spans="1:67">
      <c r="A26" s="18">
        <f t="shared" si="22"/>
        <v>46099</v>
      </c>
      <c r="B26" s="437" t="s">
        <v>635</v>
      </c>
      <c r="C26" s="438" t="s">
        <v>636</v>
      </c>
      <c r="D26" s="442">
        <f>+'18'!F42</f>
        <v>1042.6875</v>
      </c>
      <c r="E26" s="442">
        <f>+'18'!G42</f>
        <v>823.18624999999997</v>
      </c>
      <c r="F26" s="49">
        <f t="shared" si="0"/>
        <v>0.21051489540250556</v>
      </c>
      <c r="G26" s="446">
        <f t="shared" si="23"/>
        <v>0.9980027649578771</v>
      </c>
      <c r="H26" s="445">
        <f t="shared" si="24"/>
        <v>0.91729613233272622</v>
      </c>
      <c r="I26" s="445">
        <f t="shared" si="25"/>
        <v>0.96933947385023034</v>
      </c>
      <c r="J26" s="448">
        <f t="shared" si="26"/>
        <v>0.88917135028025607</v>
      </c>
      <c r="K26" s="448">
        <f t="shared" si="27"/>
        <v>0.84159418684621523</v>
      </c>
      <c r="L26" s="308">
        <f>+SUM(Efficiency1!K100:K102)</f>
        <v>51.840401724000003</v>
      </c>
      <c r="M26" s="14">
        <f t="shared" si="28"/>
        <v>949.47423887804814</v>
      </c>
      <c r="N26" s="308">
        <f>+SUM(Efficiency1!C100:C102)</f>
        <v>47.648164584</v>
      </c>
      <c r="O26" s="14">
        <f t="shared" si="28"/>
        <v>874.49541035672496</v>
      </c>
      <c r="P26" s="304">
        <f>'18'!I38</f>
        <v>47.552999999999997</v>
      </c>
      <c r="Q26" s="14">
        <f t="shared" si="29"/>
        <v>817.17930000000001</v>
      </c>
      <c r="R26" s="16">
        <f>'18'!I40</f>
        <v>46.094999999999999</v>
      </c>
      <c r="S26" s="305">
        <f t="shared" si="30"/>
        <v>799.072</v>
      </c>
      <c r="T26" s="8">
        <f t="shared" si="1"/>
        <v>0.96933947385023034</v>
      </c>
      <c r="U26" s="8">
        <f t="shared" si="2"/>
        <v>0.97784170499668799</v>
      </c>
      <c r="V26" s="306">
        <f t="shared" si="3"/>
        <v>0.88917135028025607</v>
      </c>
      <c r="W26" s="307">
        <f t="shared" si="4"/>
        <v>0.84159418684621523</v>
      </c>
      <c r="X26" s="305"/>
      <c r="Y26" s="305"/>
      <c r="Z26" s="7"/>
      <c r="AA26" s="305"/>
      <c r="AB26" s="98">
        <f>+[1]Report1!AY26</f>
        <v>5268.0415369334978</v>
      </c>
      <c r="AC26" s="14">
        <f t="shared" si="31"/>
        <v>76373.901731127771</v>
      </c>
      <c r="AD26" s="303">
        <f t="shared" si="5"/>
        <v>110.78252764144214</v>
      </c>
      <c r="AE26" s="303">
        <f t="shared" si="6"/>
        <v>93.460396917944166</v>
      </c>
      <c r="AF26" s="309">
        <f t="shared" si="7"/>
        <v>114.2866154015294</v>
      </c>
      <c r="AG26" s="303">
        <f t="shared" si="8"/>
        <v>95.578247931510262</v>
      </c>
      <c r="AH26" s="554">
        <v>65.900000000000006</v>
      </c>
      <c r="AI26" s="305">
        <f t="shared" si="32"/>
        <v>1144.1000000000001</v>
      </c>
      <c r="AJ26" s="311">
        <f t="shared" si="9"/>
        <v>1.3858221353016635</v>
      </c>
      <c r="AK26" s="311">
        <f t="shared" si="10"/>
        <v>1.4000599378863368</v>
      </c>
      <c r="AL26" s="308">
        <f t="shared" si="11"/>
        <v>1.429656144918104</v>
      </c>
      <c r="AM26" s="311">
        <f t="shared" si="12"/>
        <v>1.431785871611069</v>
      </c>
      <c r="AN26" s="98">
        <v>0</v>
      </c>
      <c r="AO26" s="305">
        <f t="shared" si="33"/>
        <v>0</v>
      </c>
      <c r="AP26" s="311">
        <f t="shared" si="34"/>
        <v>0</v>
      </c>
      <c r="AQ26" s="311">
        <f t="shared" si="35"/>
        <v>0</v>
      </c>
      <c r="AR26" s="308">
        <f t="shared" si="36"/>
        <v>0</v>
      </c>
      <c r="AS26" s="311">
        <f t="shared" si="37"/>
        <v>0</v>
      </c>
      <c r="AT26" s="310">
        <f>'18'!I46</f>
        <v>43771.280000000057</v>
      </c>
      <c r="AU26" s="305">
        <f t="shared" si="38"/>
        <v>670076.0199999999</v>
      </c>
      <c r="AV26" s="311">
        <f t="shared" si="13"/>
        <v>920.47357685109364</v>
      </c>
      <c r="AW26" s="311">
        <f t="shared" si="14"/>
        <v>819.98653171953811</v>
      </c>
      <c r="AX26" s="311">
        <f t="shared" si="15"/>
        <v>949.58845861807265</v>
      </c>
      <c r="AY26" s="311">
        <f t="shared" si="16"/>
        <v>838.5677636057826</v>
      </c>
      <c r="AZ26" s="310">
        <f>+Listrik!S25</f>
        <v>20906.953999999987</v>
      </c>
      <c r="BA26" s="305">
        <f t="shared" si="39"/>
        <v>399288.37800000008</v>
      </c>
      <c r="BB26" s="311">
        <f t="shared" si="17"/>
        <v>439.65583664542697</v>
      </c>
      <c r="BC26" s="311">
        <f t="shared" si="40"/>
        <v>488.61783209633438</v>
      </c>
      <c r="BD26" s="311">
        <f t="shared" si="18"/>
        <v>453.56229525978932</v>
      </c>
      <c r="BE26" s="311">
        <f t="shared" si="19"/>
        <v>499.6901130311162</v>
      </c>
      <c r="BF26" s="588"/>
      <c r="BG26" s="590">
        <f t="shared" si="41"/>
        <v>0</v>
      </c>
      <c r="BH26" s="589">
        <f t="shared" si="42"/>
        <v>0</v>
      </c>
      <c r="BI26" s="589">
        <f t="shared" si="43"/>
        <v>0</v>
      </c>
      <c r="BJ26" s="589">
        <f t="shared" si="44"/>
        <v>0</v>
      </c>
      <c r="BK26" s="589">
        <f t="shared" si="45"/>
        <v>0</v>
      </c>
      <c r="BL26" s="539">
        <f>+SUM(Efficiency2!K100:K102)</f>
        <v>51.840401724000003</v>
      </c>
      <c r="BM26" s="540">
        <f t="shared" si="46"/>
        <v>922.88852972804818</v>
      </c>
      <c r="BN26" s="541">
        <f t="shared" si="20"/>
        <v>0.88917135028025607</v>
      </c>
      <c r="BO26" s="541">
        <f t="shared" si="21"/>
        <v>0.86583804463954739</v>
      </c>
    </row>
    <row r="27" spans="1:67">
      <c r="A27" s="18">
        <f t="shared" si="22"/>
        <v>46100</v>
      </c>
      <c r="B27" s="438" t="s">
        <v>423</v>
      </c>
      <c r="C27" s="438" t="s">
        <v>637</v>
      </c>
      <c r="D27" s="442">
        <f>+'19'!F42</f>
        <v>1150</v>
      </c>
      <c r="E27" s="442">
        <f>+'19'!G42</f>
        <v>897</v>
      </c>
      <c r="F27" s="49">
        <f t="shared" si="0"/>
        <v>0.21999999999999997</v>
      </c>
      <c r="G27" s="446">
        <f t="shared" si="23"/>
        <v>0.95001616740747175</v>
      </c>
      <c r="H27" s="445">
        <f t="shared" si="24"/>
        <v>0.95001616740747175</v>
      </c>
      <c r="I27" s="445">
        <f t="shared" si="25"/>
        <v>1.004762509525019</v>
      </c>
      <c r="J27" s="448">
        <f t="shared" si="26"/>
        <v>0.95454062845367194</v>
      </c>
      <c r="K27" s="448">
        <f t="shared" si="27"/>
        <v>0.84721545222774441</v>
      </c>
      <c r="L27" s="308">
        <f>+Efficiency1!K105</f>
        <v>49.729680000000002</v>
      </c>
      <c r="M27" s="14">
        <f t="shared" si="28"/>
        <v>999.20391887804817</v>
      </c>
      <c r="N27" s="308">
        <f>+Efficiency1!C105</f>
        <v>49.729680000000002</v>
      </c>
      <c r="O27" s="14">
        <f t="shared" si="28"/>
        <v>924.22509035672499</v>
      </c>
      <c r="P27" s="304">
        <f>'19'!I38</f>
        <v>47.244</v>
      </c>
      <c r="Q27" s="14">
        <f t="shared" si="29"/>
        <v>864.42330000000004</v>
      </c>
      <c r="R27" s="16">
        <f>'19'!I40</f>
        <v>47.469000000000001</v>
      </c>
      <c r="S27" s="305">
        <f t="shared" si="30"/>
        <v>846.54100000000005</v>
      </c>
      <c r="T27" s="8">
        <f t="shared" si="1"/>
        <v>1.004762509525019</v>
      </c>
      <c r="U27" s="8">
        <f t="shared" si="2"/>
        <v>0.9793130286978613</v>
      </c>
      <c r="V27" s="306">
        <f t="shared" si="3"/>
        <v>0.95454062845367194</v>
      </c>
      <c r="W27" s="307">
        <f t="shared" si="4"/>
        <v>0.84721545222774441</v>
      </c>
      <c r="X27" s="305"/>
      <c r="Y27" s="305"/>
      <c r="Z27" s="7"/>
      <c r="AA27" s="305"/>
      <c r="AB27" s="98">
        <f>+[1]Report1!AY27</f>
        <v>5297.5256555226042</v>
      </c>
      <c r="AC27" s="14">
        <f t="shared" si="31"/>
        <v>81671.427386650379</v>
      </c>
      <c r="AD27" s="303">
        <f t="shared" si="5"/>
        <v>112.13118397092973</v>
      </c>
      <c r="AE27" s="303">
        <f t="shared" si="6"/>
        <v>94.480825987280042</v>
      </c>
      <c r="AF27" s="309">
        <f t="shared" si="7"/>
        <v>111.59968938723385</v>
      </c>
      <c r="AG27" s="303">
        <f t="shared" si="8"/>
        <v>96.476635374601315</v>
      </c>
      <c r="AH27" s="554">
        <v>65.2</v>
      </c>
      <c r="AI27" s="305">
        <f t="shared" si="32"/>
        <v>1209.3000000000002</v>
      </c>
      <c r="AJ27" s="311">
        <f t="shared" si="9"/>
        <v>1.3800694268055202</v>
      </c>
      <c r="AK27" s="311">
        <f t="shared" si="10"/>
        <v>1.3989673809116439</v>
      </c>
      <c r="AL27" s="308">
        <f t="shared" si="11"/>
        <v>1.3735279866860477</v>
      </c>
      <c r="AM27" s="311">
        <f t="shared" si="12"/>
        <v>1.4285191148449987</v>
      </c>
      <c r="AN27" s="98">
        <v>0</v>
      </c>
      <c r="AO27" s="305">
        <f t="shared" si="33"/>
        <v>0</v>
      </c>
      <c r="AP27" s="311">
        <f t="shared" si="34"/>
        <v>0</v>
      </c>
      <c r="AQ27" s="311">
        <f t="shared" si="35"/>
        <v>0</v>
      </c>
      <c r="AR27" s="308">
        <f t="shared" si="36"/>
        <v>0</v>
      </c>
      <c r="AS27" s="311">
        <f t="shared" si="37"/>
        <v>0</v>
      </c>
      <c r="AT27" s="310">
        <f>'19'!I46</f>
        <v>42535.160000000033</v>
      </c>
      <c r="AU27" s="305">
        <f t="shared" si="38"/>
        <v>712611.17999999993</v>
      </c>
      <c r="AV27" s="311">
        <f t="shared" si="13"/>
        <v>900.32935399204212</v>
      </c>
      <c r="AW27" s="311">
        <f t="shared" si="14"/>
        <v>824.37757057219517</v>
      </c>
      <c r="AX27" s="311">
        <f t="shared" si="15"/>
        <v>896.06185089216183</v>
      </c>
      <c r="AY27" s="311">
        <f t="shared" si="16"/>
        <v>841.79169112895875</v>
      </c>
      <c r="AZ27" s="310">
        <f>+Listrik!S26</f>
        <v>23509.288000000008</v>
      </c>
      <c r="BA27" s="305">
        <f t="shared" si="39"/>
        <v>422797.66600000008</v>
      </c>
      <c r="BB27" s="311">
        <f t="shared" si="17"/>
        <v>497.61425789518262</v>
      </c>
      <c r="BC27" s="311">
        <f t="shared" si="40"/>
        <v>489.10952076372774</v>
      </c>
      <c r="BD27" s="311">
        <f t="shared" si="18"/>
        <v>495.25559839052875</v>
      </c>
      <c r="BE27" s="311">
        <f t="shared" si="19"/>
        <v>499.44145174303441</v>
      </c>
      <c r="BF27" s="588"/>
      <c r="BG27" s="590">
        <f t="shared" si="41"/>
        <v>0</v>
      </c>
      <c r="BH27" s="589">
        <f t="shared" si="42"/>
        <v>0</v>
      </c>
      <c r="BI27" s="589">
        <f t="shared" si="43"/>
        <v>0</v>
      </c>
      <c r="BJ27" s="589">
        <f t="shared" si="44"/>
        <v>0</v>
      </c>
      <c r="BK27" s="589">
        <f t="shared" si="45"/>
        <v>0</v>
      </c>
      <c r="BL27" s="539">
        <f>+Efficiency1!K105</f>
        <v>49.729680000000002</v>
      </c>
      <c r="BM27" s="540">
        <f t="shared" si="46"/>
        <v>972.61820972804821</v>
      </c>
      <c r="BN27" s="541">
        <f t="shared" si="20"/>
        <v>0.95454062845367194</v>
      </c>
      <c r="BO27" s="541">
        <f t="shared" si="21"/>
        <v>0.87037338138744047</v>
      </c>
    </row>
    <row r="28" spans="1:67">
      <c r="A28" s="18">
        <f t="shared" si="22"/>
        <v>46101</v>
      </c>
      <c r="B28" s="438" t="s">
        <v>423</v>
      </c>
      <c r="C28" s="438" t="s">
        <v>637</v>
      </c>
      <c r="D28" s="442">
        <f>+'20'!F42</f>
        <v>1196.7361111111111</v>
      </c>
      <c r="E28" s="442">
        <f>+'20'!G42</f>
        <v>933.45416666666665</v>
      </c>
      <c r="F28" s="49">
        <f t="shared" si="0"/>
        <v>0.21999999999999997</v>
      </c>
      <c r="G28" s="446">
        <f t="shared" si="23"/>
        <v>0.91548757189188334</v>
      </c>
      <c r="H28" s="445">
        <f t="shared" si="24"/>
        <v>0.91548757189188334</v>
      </c>
      <c r="I28" s="445">
        <f t="shared" si="25"/>
        <v>0.97849554489376278</v>
      </c>
      <c r="J28" s="448">
        <f t="shared" si="26"/>
        <v>0.89580051050181619</v>
      </c>
      <c r="K28" s="448">
        <f t="shared" si="27"/>
        <v>0.84957474997839977</v>
      </c>
      <c r="L28" s="308">
        <f>+Efficiency1!K110</f>
        <v>50.99796156</v>
      </c>
      <c r="M28" s="14">
        <f t="shared" si="28"/>
        <v>1050.2018804380482</v>
      </c>
      <c r="N28" s="308">
        <f>+Efficiency1!C110</f>
        <v>50.99796156</v>
      </c>
      <c r="O28" s="14">
        <f t="shared" si="28"/>
        <v>975.22305191672501</v>
      </c>
      <c r="P28" s="304">
        <f>'20'!I38</f>
        <v>46.688000000000002</v>
      </c>
      <c r="Q28" s="14">
        <f t="shared" si="29"/>
        <v>911.11130000000003</v>
      </c>
      <c r="R28" s="16">
        <f>'20'!I40</f>
        <v>45.683999999999997</v>
      </c>
      <c r="S28" s="305">
        <f t="shared" si="30"/>
        <v>892.22500000000002</v>
      </c>
      <c r="T28" s="8">
        <f t="shared" si="1"/>
        <v>0.97849554489376278</v>
      </c>
      <c r="U28" s="8">
        <f t="shared" si="2"/>
        <v>0.97927113844378832</v>
      </c>
      <c r="V28" s="306">
        <f t="shared" si="3"/>
        <v>0.89580051050181619</v>
      </c>
      <c r="W28" s="307">
        <f t="shared" si="4"/>
        <v>0.84957474997839977</v>
      </c>
      <c r="X28" s="305"/>
      <c r="Y28" s="305"/>
      <c r="Z28" s="7"/>
      <c r="AA28" s="305"/>
      <c r="AB28" s="98">
        <f>+[1]Report1!AY28</f>
        <v>5579.8311988197811</v>
      </c>
      <c r="AC28" s="14">
        <f t="shared" si="31"/>
        <v>87251.258585470161</v>
      </c>
      <c r="AD28" s="303">
        <f t="shared" si="5"/>
        <v>119.51317680816871</v>
      </c>
      <c r="AE28" s="303">
        <f t="shared" si="6"/>
        <v>95.763556642827453</v>
      </c>
      <c r="AF28" s="309">
        <f t="shared" si="7"/>
        <v>122.13972504202306</v>
      </c>
      <c r="AG28" s="303">
        <f t="shared" si="8"/>
        <v>97.790645392664587</v>
      </c>
      <c r="AH28" s="554">
        <v>66.7</v>
      </c>
      <c r="AI28" s="305">
        <f t="shared" si="32"/>
        <v>1276.0000000000002</v>
      </c>
      <c r="AJ28" s="311">
        <f t="shared" si="9"/>
        <v>1.4286326250856751</v>
      </c>
      <c r="AK28" s="311">
        <f t="shared" si="10"/>
        <v>1.4004875145330764</v>
      </c>
      <c r="AL28" s="308">
        <f t="shared" si="11"/>
        <v>1.4600297697224414</v>
      </c>
      <c r="AM28" s="311">
        <f t="shared" si="12"/>
        <v>1.4301325338339546</v>
      </c>
      <c r="AN28" s="98">
        <v>0</v>
      </c>
      <c r="AO28" s="305">
        <f t="shared" si="33"/>
        <v>0</v>
      </c>
      <c r="AP28" s="311">
        <f t="shared" si="34"/>
        <v>0</v>
      </c>
      <c r="AQ28" s="311">
        <f t="shared" si="35"/>
        <v>0</v>
      </c>
      <c r="AR28" s="308">
        <f t="shared" si="36"/>
        <v>0</v>
      </c>
      <c r="AS28" s="311">
        <f t="shared" si="37"/>
        <v>0</v>
      </c>
      <c r="AT28" s="310">
        <f>'20'!I46</f>
        <v>41844.979999999996</v>
      </c>
      <c r="AU28" s="305">
        <f t="shared" si="38"/>
        <v>754456.15999999992</v>
      </c>
      <c r="AV28" s="311">
        <f t="shared" si="13"/>
        <v>896.26842015078807</v>
      </c>
      <c r="AW28" s="311">
        <f t="shared" si="14"/>
        <v>828.06146735311029</v>
      </c>
      <c r="AX28" s="311">
        <f t="shared" si="15"/>
        <v>915.96576481919271</v>
      </c>
      <c r="AY28" s="311">
        <f t="shared" si="16"/>
        <v>845.58957662024704</v>
      </c>
      <c r="AZ28" s="310">
        <f>+Listrik!S27</f>
        <v>23386.455000000013</v>
      </c>
      <c r="BA28" s="305">
        <f t="shared" si="39"/>
        <v>446184.1210000001</v>
      </c>
      <c r="BB28" s="311">
        <f t="shared" si="17"/>
        <v>500.90933430431829</v>
      </c>
      <c r="BC28" s="311">
        <f t="shared" si="40"/>
        <v>489.71417762023157</v>
      </c>
      <c r="BD28" s="311">
        <f t="shared" si="18"/>
        <v>511.91784869976385</v>
      </c>
      <c r="BE28" s="311">
        <f t="shared" si="19"/>
        <v>500.08027235282594</v>
      </c>
      <c r="BF28" s="588"/>
      <c r="BG28" s="590">
        <f t="shared" si="41"/>
        <v>0</v>
      </c>
      <c r="BH28" s="589">
        <f t="shared" si="42"/>
        <v>0</v>
      </c>
      <c r="BI28" s="589">
        <f t="shared" si="43"/>
        <v>0</v>
      </c>
      <c r="BJ28" s="589">
        <f t="shared" si="44"/>
        <v>0</v>
      </c>
      <c r="BK28" s="589">
        <f t="shared" si="45"/>
        <v>0</v>
      </c>
      <c r="BL28" s="539">
        <f>+Efficiency2!K110</f>
        <v>50.99796156</v>
      </c>
      <c r="BM28" s="540">
        <f t="shared" si="46"/>
        <v>1023.6161712880482</v>
      </c>
      <c r="BN28" s="541">
        <f t="shared" si="20"/>
        <v>0.89580051050181619</v>
      </c>
      <c r="BO28" s="541">
        <f t="shared" si="21"/>
        <v>0.87164019583364472</v>
      </c>
    </row>
    <row r="29" spans="1:67" ht="12.2" customHeight="1">
      <c r="A29" s="18">
        <f t="shared" si="22"/>
        <v>46102</v>
      </c>
      <c r="B29" s="438" t="s">
        <v>423</v>
      </c>
      <c r="C29" s="438" t="s">
        <v>637</v>
      </c>
      <c r="D29" s="442">
        <f>+'21'!F42</f>
        <v>1183.3333333333333</v>
      </c>
      <c r="E29" s="442">
        <f>+'21'!G42</f>
        <v>923</v>
      </c>
      <c r="F29" s="49">
        <f t="shared" si="0"/>
        <v>0.21999999999999997</v>
      </c>
      <c r="G29" s="446">
        <f t="shared" si="23"/>
        <v>0.98430068439271523</v>
      </c>
      <c r="H29" s="445">
        <f t="shared" si="24"/>
        <v>0.98430068439271523</v>
      </c>
      <c r="I29" s="445">
        <f t="shared" si="25"/>
        <v>0.94838052637884906</v>
      </c>
      <c r="J29" s="448">
        <f t="shared" si="26"/>
        <v>0.93349160117942476</v>
      </c>
      <c r="K29" s="448">
        <f t="shared" si="27"/>
        <v>0.85345223422669003</v>
      </c>
      <c r="L29" s="308">
        <f>+Efficiency1!K115</f>
        <v>50.876729838805971</v>
      </c>
      <c r="M29" s="14">
        <f t="shared" si="28"/>
        <v>1101.0786102768541</v>
      </c>
      <c r="N29" s="308">
        <f>+Efficiency1!C115</f>
        <v>50.876729838805971</v>
      </c>
      <c r="O29" s="14">
        <f t="shared" si="28"/>
        <v>1026.099781755531</v>
      </c>
      <c r="P29" s="304">
        <f>'21'!I38</f>
        <v>50.077999999999996</v>
      </c>
      <c r="Q29" s="14">
        <f t="shared" si="29"/>
        <v>961.1893</v>
      </c>
      <c r="R29" s="16">
        <f>'21'!I40</f>
        <v>47.493000000000002</v>
      </c>
      <c r="S29" s="305">
        <f t="shared" si="30"/>
        <v>939.71800000000007</v>
      </c>
      <c r="T29" s="8">
        <f t="shared" si="1"/>
        <v>0.94838052637884906</v>
      </c>
      <c r="U29" s="8">
        <f t="shared" si="2"/>
        <v>0.97766173635099773</v>
      </c>
      <c r="V29" s="306">
        <f t="shared" si="3"/>
        <v>0.93349160117942476</v>
      </c>
      <c r="W29" s="307">
        <f t="shared" si="4"/>
        <v>0.85345223422669003</v>
      </c>
      <c r="X29" s="305"/>
      <c r="Y29" s="305"/>
      <c r="Z29" s="7"/>
      <c r="AA29" s="305"/>
      <c r="AB29" s="98">
        <f>+[1]Report1!AY29</f>
        <v>5701.7579910130971</v>
      </c>
      <c r="AC29" s="14">
        <f t="shared" si="31"/>
        <v>92953.016576483264</v>
      </c>
      <c r="AD29" s="303">
        <f t="shared" si="5"/>
        <v>113.85754205465669</v>
      </c>
      <c r="AE29" s="303">
        <f t="shared" si="6"/>
        <v>96.706253988140801</v>
      </c>
      <c r="AF29" s="309">
        <f t="shared" si="7"/>
        <v>120.05470260908129</v>
      </c>
      <c r="AG29" s="303">
        <f t="shared" si="8"/>
        <v>98.91586260610444</v>
      </c>
      <c r="AH29" s="554">
        <v>67.7</v>
      </c>
      <c r="AI29" s="305">
        <f t="shared" si="32"/>
        <v>1343.7000000000003</v>
      </c>
      <c r="AJ29" s="311">
        <f t="shared" si="9"/>
        <v>1.3518910499620593</v>
      </c>
      <c r="AK29" s="311">
        <f t="shared" si="10"/>
        <v>1.3979556368344928</v>
      </c>
      <c r="AL29" s="308">
        <f t="shared" si="11"/>
        <v>1.425473227633546</v>
      </c>
      <c r="AM29" s="311">
        <f t="shared" si="12"/>
        <v>1.4298970542226499</v>
      </c>
      <c r="AN29" s="98">
        <v>0</v>
      </c>
      <c r="AO29" s="305">
        <f t="shared" si="33"/>
        <v>0</v>
      </c>
      <c r="AP29" s="311">
        <f t="shared" si="34"/>
        <v>0</v>
      </c>
      <c r="AQ29" s="311">
        <f t="shared" si="35"/>
        <v>0</v>
      </c>
      <c r="AR29" s="308">
        <f t="shared" si="36"/>
        <v>0</v>
      </c>
      <c r="AS29" s="311">
        <f t="shared" si="37"/>
        <v>0</v>
      </c>
      <c r="AT29" s="310">
        <f>'21'!I46</f>
        <v>42946.539999999979</v>
      </c>
      <c r="AU29" s="305">
        <f t="shared" si="38"/>
        <v>797402.7</v>
      </c>
      <c r="AV29" s="311">
        <f t="shared" si="13"/>
        <v>857.59295499021493</v>
      </c>
      <c r="AW29" s="311">
        <f t="shared" si="14"/>
        <v>829.60005901022816</v>
      </c>
      <c r="AX29" s="311">
        <f t="shared" si="15"/>
        <v>904.27094519192258</v>
      </c>
      <c r="AY29" s="311">
        <f t="shared" si="16"/>
        <v>848.55531127423319</v>
      </c>
      <c r="AZ29" s="310">
        <f>+Listrik!S28</f>
        <v>25186.544999999995</v>
      </c>
      <c r="BA29" s="305">
        <f t="shared" si="39"/>
        <v>471370.66600000008</v>
      </c>
      <c r="BB29" s="311">
        <f t="shared" si="17"/>
        <v>502.9463037661248</v>
      </c>
      <c r="BC29" s="311">
        <f t="shared" si="40"/>
        <v>490.40357190825995</v>
      </c>
      <c r="BD29" s="311">
        <f t="shared" si="18"/>
        <v>530.32120523024435</v>
      </c>
      <c r="BE29" s="311">
        <f t="shared" si="19"/>
        <v>501.60863791052213</v>
      </c>
      <c r="BF29" s="588"/>
      <c r="BG29" s="590">
        <f t="shared" si="41"/>
        <v>0</v>
      </c>
      <c r="BH29" s="589">
        <f t="shared" si="42"/>
        <v>0</v>
      </c>
      <c r="BI29" s="589">
        <f t="shared" si="43"/>
        <v>0</v>
      </c>
      <c r="BJ29" s="589">
        <f t="shared" si="44"/>
        <v>0</v>
      </c>
      <c r="BK29" s="589">
        <f t="shared" si="45"/>
        <v>0</v>
      </c>
      <c r="BL29" s="539">
        <f>+Efficiency2!K115</f>
        <v>50.876729838805971</v>
      </c>
      <c r="BM29" s="540">
        <f t="shared" si="46"/>
        <v>1074.4929011268541</v>
      </c>
      <c r="BN29" s="541">
        <f t="shared" si="20"/>
        <v>0.93349160117942476</v>
      </c>
      <c r="BO29" s="541">
        <f t="shared" si="21"/>
        <v>0.87456883057532397</v>
      </c>
    </row>
    <row r="30" spans="1:67" ht="12.75" customHeight="1">
      <c r="A30" s="18">
        <f t="shared" si="22"/>
        <v>46103</v>
      </c>
      <c r="B30" s="438" t="s">
        <v>423</v>
      </c>
      <c r="C30" s="438" t="s">
        <v>653</v>
      </c>
      <c r="D30" s="442">
        <f>+'22'!F42</f>
        <v>1200</v>
      </c>
      <c r="E30" s="442">
        <f>+'22'!G42</f>
        <v>936</v>
      </c>
      <c r="F30" s="49">
        <f t="shared" si="0"/>
        <v>0.21999999999999997</v>
      </c>
      <c r="G30" s="446">
        <f t="shared" si="23"/>
        <v>0.96786524319042599</v>
      </c>
      <c r="H30" s="445">
        <f t="shared" si="24"/>
        <v>0.96786524319042599</v>
      </c>
      <c r="I30" s="445">
        <f t="shared" si="25"/>
        <v>0.97322100807846479</v>
      </c>
      <c r="J30" s="448">
        <f t="shared" si="26"/>
        <v>0.94194678766189488</v>
      </c>
      <c r="K30" s="448">
        <f t="shared" si="27"/>
        <v>0.85735314632591308</v>
      </c>
      <c r="L30" s="308">
        <f>+SUM(Efficiency1!K120:K121)</f>
        <v>50.774630400000007</v>
      </c>
      <c r="M30" s="14">
        <f t="shared" si="28"/>
        <v>1151.8532406768541</v>
      </c>
      <c r="N30" s="308">
        <f>+SUM(Efficiency1!C120:C121)</f>
        <v>50.774630400000007</v>
      </c>
      <c r="O30" s="14">
        <f t="shared" si="28"/>
        <v>1076.874412155531</v>
      </c>
      <c r="P30" s="304">
        <f>'22'!I38</f>
        <v>49.143000000000001</v>
      </c>
      <c r="Q30" s="14">
        <f t="shared" si="29"/>
        <v>1010.3323</v>
      </c>
      <c r="R30" s="16">
        <f>'22'!I40</f>
        <v>47.826999999999998</v>
      </c>
      <c r="S30" s="305">
        <f t="shared" si="30"/>
        <v>987.54500000000007</v>
      </c>
      <c r="T30" s="8">
        <f t="shared" si="1"/>
        <v>0.97322100807846479</v>
      </c>
      <c r="U30" s="8">
        <f t="shared" si="2"/>
        <v>0.97744573740738572</v>
      </c>
      <c r="V30" s="306">
        <f t="shared" si="3"/>
        <v>0.94194678766189488</v>
      </c>
      <c r="W30" s="307">
        <f t="shared" si="4"/>
        <v>0.85735314632591308</v>
      </c>
      <c r="X30" s="305"/>
      <c r="Y30" s="305"/>
      <c r="Z30" s="7"/>
      <c r="AA30" s="305"/>
      <c r="AB30" s="98">
        <f>+[1]Report1!AY30</f>
        <v>5694.4038701290392</v>
      </c>
      <c r="AC30" s="14">
        <f t="shared" si="31"/>
        <v>98647.420446612305</v>
      </c>
      <c r="AD30" s="303">
        <f t="shared" si="5"/>
        <v>115.87416051378709</v>
      </c>
      <c r="AE30" s="303">
        <f t="shared" si="6"/>
        <v>97.638589250895279</v>
      </c>
      <c r="AF30" s="309">
        <f t="shared" si="7"/>
        <v>119.06253518157189</v>
      </c>
      <c r="AG30" s="303">
        <f t="shared" si="8"/>
        <v>99.891569950343836</v>
      </c>
      <c r="AH30" s="554">
        <v>69</v>
      </c>
      <c r="AI30" s="305">
        <f t="shared" si="32"/>
        <v>1412.7000000000003</v>
      </c>
      <c r="AJ30" s="311">
        <f t="shared" si="9"/>
        <v>1.4040656858555645</v>
      </c>
      <c r="AK30" s="311">
        <f t="shared" si="10"/>
        <v>1.3982528322612275</v>
      </c>
      <c r="AL30" s="308">
        <f t="shared" si="11"/>
        <v>1.4426997302778766</v>
      </c>
      <c r="AM30" s="311">
        <f t="shared" si="12"/>
        <v>1.4305170903604394</v>
      </c>
      <c r="AN30" s="98">
        <v>0</v>
      </c>
      <c r="AO30" s="305">
        <f t="shared" si="33"/>
        <v>0</v>
      </c>
      <c r="AP30" s="311">
        <f t="shared" si="34"/>
        <v>0</v>
      </c>
      <c r="AQ30" s="311">
        <f t="shared" si="35"/>
        <v>0</v>
      </c>
      <c r="AR30" s="308">
        <f t="shared" si="36"/>
        <v>0</v>
      </c>
      <c r="AS30" s="311">
        <f t="shared" si="37"/>
        <v>0</v>
      </c>
      <c r="AT30" s="310">
        <f>'22'!I46</f>
        <v>42520.299999999967</v>
      </c>
      <c r="AU30" s="305">
        <f t="shared" si="38"/>
        <v>839922.99999999988</v>
      </c>
      <c r="AV30" s="311">
        <f t="shared" si="13"/>
        <v>865.23614756933773</v>
      </c>
      <c r="AW30" s="311">
        <f t="shared" si="14"/>
        <v>831.33341376891519</v>
      </c>
      <c r="AX30" s="311">
        <f t="shared" si="15"/>
        <v>889.04384552658462</v>
      </c>
      <c r="AY30" s="311">
        <f t="shared" si="16"/>
        <v>850.51617900956387</v>
      </c>
      <c r="AZ30" s="310">
        <f>+Listrik!S29</f>
        <v>24632.652999999671</v>
      </c>
      <c r="BA30" s="305">
        <f t="shared" si="39"/>
        <v>496003.31899999978</v>
      </c>
      <c r="BB30" s="311">
        <f t="shared" si="17"/>
        <v>501.24438882444446</v>
      </c>
      <c r="BC30" s="311">
        <f t="shared" si="40"/>
        <v>490.93087393127962</v>
      </c>
      <c r="BD30" s="311">
        <f t="shared" si="18"/>
        <v>515.03654839316016</v>
      </c>
      <c r="BE30" s="311">
        <f t="shared" si="19"/>
        <v>502.25895427550103</v>
      </c>
      <c r="BF30" s="588"/>
      <c r="BG30" s="590">
        <f t="shared" si="41"/>
        <v>0</v>
      </c>
      <c r="BH30" s="589">
        <f t="shared" si="42"/>
        <v>0</v>
      </c>
      <c r="BI30" s="589">
        <f t="shared" si="43"/>
        <v>0</v>
      </c>
      <c r="BJ30" s="589">
        <f t="shared" si="44"/>
        <v>0</v>
      </c>
      <c r="BK30" s="589">
        <f t="shared" si="45"/>
        <v>0</v>
      </c>
      <c r="BL30" s="539">
        <f>+SUM(Efficiency2!K120:K121)</f>
        <v>50.774630400000007</v>
      </c>
      <c r="BM30" s="540">
        <f t="shared" si="46"/>
        <v>1125.2675315268541</v>
      </c>
      <c r="BN30" s="541">
        <f t="shared" si="20"/>
        <v>0.94194678766189488</v>
      </c>
      <c r="BO30" s="541">
        <f t="shared" si="21"/>
        <v>0.87760907724762938</v>
      </c>
    </row>
    <row r="31" spans="1:67">
      <c r="A31" s="18">
        <f t="shared" si="22"/>
        <v>46104</v>
      </c>
      <c r="B31" s="438" t="s">
        <v>423</v>
      </c>
      <c r="C31" s="438" t="s">
        <v>670</v>
      </c>
      <c r="D31" s="442">
        <f>+'23'!F42</f>
        <v>1235.8333333333333</v>
      </c>
      <c r="E31" s="442">
        <f>+'23'!G42</f>
        <v>963.95</v>
      </c>
      <c r="F31" s="49">
        <f t="shared" si="0"/>
        <v>0.21999999999999986</v>
      </c>
      <c r="G31" s="446">
        <f t="shared" si="23"/>
        <v>0.92635646453970522</v>
      </c>
      <c r="H31" s="445">
        <f t="shared" si="24"/>
        <v>0.92635646453970522</v>
      </c>
      <c r="I31" s="445">
        <f t="shared" si="25"/>
        <v>0.96744029316372526</v>
      </c>
      <c r="J31" s="448">
        <f t="shared" si="26"/>
        <v>0.89619456962840449</v>
      </c>
      <c r="K31" s="448">
        <f t="shared" si="27"/>
        <v>0.8590079279066769</v>
      </c>
      <c r="L31" s="308">
        <f>+SUM(Efficiency1!K125:K126)</f>
        <v>51.25672655999999</v>
      </c>
      <c r="M31" s="14">
        <f t="shared" si="28"/>
        <v>1203.1099672368541</v>
      </c>
      <c r="N31" s="308">
        <f>+SUM(Efficiency1!C125:C126)</f>
        <v>51.25672655999999</v>
      </c>
      <c r="O31" s="14">
        <f t="shared" si="28"/>
        <v>1128.1311387155311</v>
      </c>
      <c r="P31" s="304">
        <f>'23'!I38</f>
        <v>47.481999999999999</v>
      </c>
      <c r="Q31" s="14">
        <f t="shared" si="29"/>
        <v>1057.8143</v>
      </c>
      <c r="R31" s="16">
        <f>'23'!I40</f>
        <v>45.936</v>
      </c>
      <c r="S31" s="305">
        <f t="shared" si="30"/>
        <v>1033.481</v>
      </c>
      <c r="T31" s="8">
        <f t="shared" si="1"/>
        <v>0.96744029316372526</v>
      </c>
      <c r="U31" s="8">
        <f t="shared" si="2"/>
        <v>0.97699662407664556</v>
      </c>
      <c r="V31" s="306">
        <f t="shared" si="3"/>
        <v>0.89619456962840449</v>
      </c>
      <c r="W31" s="307">
        <f t="shared" si="4"/>
        <v>0.8590079279066769</v>
      </c>
      <c r="X31" s="305"/>
      <c r="Y31" s="305"/>
      <c r="Z31" s="7"/>
      <c r="AA31" s="305"/>
      <c r="AB31" s="98">
        <f>+[1]Report1!AY31</f>
        <v>5370.5047333179409</v>
      </c>
      <c r="AC31" s="14">
        <f t="shared" si="31"/>
        <v>104017.92517993024</v>
      </c>
      <c r="AD31" s="303">
        <f t="shared" si="5"/>
        <v>113.10611880961082</v>
      </c>
      <c r="AE31" s="303">
        <f t="shared" si="6"/>
        <v>98.332878634681194</v>
      </c>
      <c r="AF31" s="309">
        <f t="shared" si="7"/>
        <v>116.91276413527387</v>
      </c>
      <c r="AG31" s="303">
        <f t="shared" si="8"/>
        <v>100.64812529686587</v>
      </c>
      <c r="AH31" s="554">
        <v>68.599999999999994</v>
      </c>
      <c r="AI31" s="305">
        <f t="shared" si="32"/>
        <v>1481.3000000000002</v>
      </c>
      <c r="AJ31" s="311">
        <f t="shared" si="9"/>
        <v>1.4447580135630342</v>
      </c>
      <c r="AK31" s="311">
        <f t="shared" si="10"/>
        <v>1.400340305477058</v>
      </c>
      <c r="AL31" s="308">
        <f t="shared" si="11"/>
        <v>1.4933820968303726</v>
      </c>
      <c r="AM31" s="311">
        <f t="shared" si="12"/>
        <v>1.4333113042232999</v>
      </c>
      <c r="AN31" s="98">
        <v>0</v>
      </c>
      <c r="AO31" s="305">
        <f t="shared" si="33"/>
        <v>0</v>
      </c>
      <c r="AP31" s="311">
        <f t="shared" si="34"/>
        <v>0</v>
      </c>
      <c r="AQ31" s="311">
        <f t="shared" si="35"/>
        <v>0</v>
      </c>
      <c r="AR31" s="308">
        <f t="shared" si="36"/>
        <v>0</v>
      </c>
      <c r="AS31" s="311">
        <f t="shared" si="37"/>
        <v>0</v>
      </c>
      <c r="AT31" s="310">
        <f>'23'!I46</f>
        <v>43564.020000000011</v>
      </c>
      <c r="AU31" s="305">
        <f t="shared" si="38"/>
        <v>883487.0199999999</v>
      </c>
      <c r="AV31" s="311">
        <f t="shared" si="13"/>
        <v>917.48494166210378</v>
      </c>
      <c r="AW31" s="311">
        <f t="shared" si="14"/>
        <v>835.20048840330458</v>
      </c>
      <c r="AX31" s="311">
        <f t="shared" si="15"/>
        <v>948.36337513061676</v>
      </c>
      <c r="AY31" s="311">
        <f t="shared" si="16"/>
        <v>854.86527570414933</v>
      </c>
      <c r="AZ31" s="310">
        <f>+Listrik!S30</f>
        <v>27352.742000000275</v>
      </c>
      <c r="BA31" s="305">
        <f t="shared" si="39"/>
        <v>523356.06100000005</v>
      </c>
      <c r="BB31" s="311">
        <f t="shared" si="17"/>
        <v>576.0654985047023</v>
      </c>
      <c r="BC31" s="311">
        <f t="shared" si="40"/>
        <v>494.75230293256578</v>
      </c>
      <c r="BD31" s="311">
        <f t="shared" si="18"/>
        <v>595.45328282828882</v>
      </c>
      <c r="BE31" s="311">
        <f t="shared" si="19"/>
        <v>506.40124104845665</v>
      </c>
      <c r="BF31" s="588"/>
      <c r="BG31" s="590">
        <f t="shared" si="41"/>
        <v>0</v>
      </c>
      <c r="BH31" s="589">
        <f t="shared" si="42"/>
        <v>0</v>
      </c>
      <c r="BI31" s="589">
        <f t="shared" si="43"/>
        <v>0</v>
      </c>
      <c r="BJ31" s="589">
        <f t="shared" si="44"/>
        <v>0</v>
      </c>
      <c r="BK31" s="589">
        <f t="shared" si="45"/>
        <v>0</v>
      </c>
      <c r="BL31" s="539">
        <f>+SUM(Efficiency2!K125:K126)</f>
        <v>51.25672655999999</v>
      </c>
      <c r="BM31" s="540">
        <f t="shared" si="46"/>
        <v>1176.5242580868542</v>
      </c>
      <c r="BN31" s="541">
        <f t="shared" si="20"/>
        <v>0.89619456962840449</v>
      </c>
      <c r="BO31" s="541">
        <f t="shared" si="21"/>
        <v>0.87841877708543237</v>
      </c>
    </row>
    <row r="32" spans="1:67">
      <c r="A32" s="18">
        <f t="shared" si="22"/>
        <v>46105</v>
      </c>
      <c r="B32" s="438" t="s">
        <v>423</v>
      </c>
      <c r="C32" s="438" t="s">
        <v>703</v>
      </c>
      <c r="D32" s="442">
        <f>+'24'!F42</f>
        <v>1198.75</v>
      </c>
      <c r="E32" s="442">
        <f>+'24'!G42</f>
        <v>935.02499999999998</v>
      </c>
      <c r="F32" s="49">
        <f t="shared" si="0"/>
        <v>0.21999999999999997</v>
      </c>
      <c r="G32" s="446">
        <f t="shared" si="23"/>
        <v>0.98277388873558558</v>
      </c>
      <c r="H32" s="445">
        <f t="shared" si="24"/>
        <v>0.98277388873558558</v>
      </c>
      <c r="I32" s="445">
        <f t="shared" si="25"/>
        <v>0.97255238095238095</v>
      </c>
      <c r="J32" s="448">
        <f t="shared" si="26"/>
        <v>0.95579908542762404</v>
      </c>
      <c r="K32" s="448">
        <f t="shared" si="27"/>
        <v>0.86312291474230518</v>
      </c>
      <c r="L32" s="308">
        <f>+SUM(Efficiency1!K130:K131)</f>
        <v>53.420222699999997</v>
      </c>
      <c r="M32" s="14">
        <f t="shared" si="28"/>
        <v>1256.5301899368542</v>
      </c>
      <c r="N32" s="308">
        <f>+SUM(Efficiency1!C130:C131)</f>
        <v>53.420222699999997</v>
      </c>
      <c r="O32" s="14">
        <f t="shared" si="28"/>
        <v>1181.5513614155311</v>
      </c>
      <c r="P32" s="304">
        <f>'24'!I38</f>
        <v>52.5</v>
      </c>
      <c r="Q32" s="14">
        <f t="shared" si="29"/>
        <v>1110.3143</v>
      </c>
      <c r="R32" s="16">
        <f>'24'!I40</f>
        <v>51.058999999999997</v>
      </c>
      <c r="S32" s="305">
        <f t="shared" si="30"/>
        <v>1084.54</v>
      </c>
      <c r="T32" s="8">
        <f t="shared" si="1"/>
        <v>0.97255238095238095</v>
      </c>
      <c r="U32" s="8">
        <f t="shared" si="2"/>
        <v>0.97678648289047521</v>
      </c>
      <c r="V32" s="306">
        <f t="shared" si="3"/>
        <v>0.95579908542762404</v>
      </c>
      <c r="W32" s="307">
        <f t="shared" si="4"/>
        <v>0.86312291474230518</v>
      </c>
      <c r="X32" s="305"/>
      <c r="Y32" s="305"/>
      <c r="Z32" s="7"/>
      <c r="AA32" s="305"/>
      <c r="AB32" s="98">
        <f>+[1]Report1!AY32</f>
        <v>5041.7839984278962</v>
      </c>
      <c r="AC32" s="14">
        <f t="shared" si="31"/>
        <v>109059.70917835814</v>
      </c>
      <c r="AD32" s="303">
        <f t="shared" si="5"/>
        <v>96.033980922436115</v>
      </c>
      <c r="AE32" s="303">
        <f t="shared" si="6"/>
        <v>98.224177765123031</v>
      </c>
      <c r="AF32" s="309">
        <f t="shared" si="7"/>
        <v>98.744276198670093</v>
      </c>
      <c r="AG32" s="303">
        <f t="shared" si="8"/>
        <v>100.55849408814626</v>
      </c>
      <c r="AH32" s="554">
        <v>70.2</v>
      </c>
      <c r="AI32" s="305">
        <f t="shared" si="32"/>
        <v>1551.5000000000002</v>
      </c>
      <c r="AJ32" s="311">
        <f t="shared" si="9"/>
        <v>1.3371428571428572</v>
      </c>
      <c r="AK32" s="311">
        <f t="shared" si="10"/>
        <v>1.3973520830993533</v>
      </c>
      <c r="AL32" s="308">
        <f t="shared" si="11"/>
        <v>1.3748800407371866</v>
      </c>
      <c r="AM32" s="311">
        <f t="shared" si="12"/>
        <v>1.4305604219300352</v>
      </c>
      <c r="AN32" s="98">
        <v>0</v>
      </c>
      <c r="AO32" s="305">
        <f t="shared" si="33"/>
        <v>0</v>
      </c>
      <c r="AP32" s="311">
        <f t="shared" si="34"/>
        <v>0</v>
      </c>
      <c r="AQ32" s="311">
        <f t="shared" si="35"/>
        <v>0</v>
      </c>
      <c r="AR32" s="308">
        <f t="shared" si="36"/>
        <v>0</v>
      </c>
      <c r="AS32" s="311">
        <f t="shared" si="37"/>
        <v>0</v>
      </c>
      <c r="AT32" s="310">
        <f>+'24'!I46</f>
        <v>45067.659999999967</v>
      </c>
      <c r="AU32" s="305">
        <f t="shared" si="38"/>
        <v>928554.67999999982</v>
      </c>
      <c r="AV32" s="311">
        <f t="shared" si="13"/>
        <v>858.43161904761848</v>
      </c>
      <c r="AW32" s="311">
        <f t="shared" si="14"/>
        <v>836.29894706390769</v>
      </c>
      <c r="AX32" s="311">
        <f t="shared" si="15"/>
        <v>882.65849311580655</v>
      </c>
      <c r="AY32" s="311">
        <f t="shared" si="16"/>
        <v>856.17375108340843</v>
      </c>
      <c r="AZ32" s="310">
        <f>+Listrik!S31</f>
        <v>23016.402000000009</v>
      </c>
      <c r="BA32" s="305">
        <f t="shared" si="39"/>
        <v>546372.46300000011</v>
      </c>
      <c r="BB32" s="311">
        <f t="shared" si="17"/>
        <v>438.40765714285732</v>
      </c>
      <c r="BC32" s="311">
        <f t="shared" si="40"/>
        <v>492.08810784477879</v>
      </c>
      <c r="BD32" s="311">
        <f t="shared" si="18"/>
        <v>450.78050882312635</v>
      </c>
      <c r="BE32" s="311">
        <f t="shared" si="19"/>
        <v>503.78267560440383</v>
      </c>
      <c r="BF32" s="588"/>
      <c r="BG32" s="590">
        <f t="shared" si="41"/>
        <v>0</v>
      </c>
      <c r="BH32" s="589">
        <f t="shared" si="42"/>
        <v>0</v>
      </c>
      <c r="BI32" s="589">
        <f t="shared" si="43"/>
        <v>0</v>
      </c>
      <c r="BJ32" s="589">
        <f t="shared" si="44"/>
        <v>0</v>
      </c>
      <c r="BK32" s="589">
        <f t="shared" si="45"/>
        <v>0</v>
      </c>
      <c r="BL32" s="539">
        <f>+SUM(Efficiency2!K130:K131)</f>
        <v>53.420222699999997</v>
      </c>
      <c r="BM32" s="540">
        <f t="shared" si="46"/>
        <v>1229.9444807868542</v>
      </c>
      <c r="BN32" s="541">
        <f t="shared" si="20"/>
        <v>0.95579908542762404</v>
      </c>
      <c r="BO32" s="541">
        <f t="shared" si="21"/>
        <v>0.88177963879001098</v>
      </c>
    </row>
    <row r="33" spans="1:67">
      <c r="A33" s="18">
        <f t="shared" si="22"/>
        <v>46106</v>
      </c>
      <c r="B33" s="438" t="s">
        <v>423</v>
      </c>
      <c r="C33" s="438" t="s">
        <v>711</v>
      </c>
      <c r="D33" s="442">
        <f>+'25'!F42</f>
        <v>1200</v>
      </c>
      <c r="E33" s="442">
        <f>+'25'!G42</f>
        <v>936</v>
      </c>
      <c r="F33" s="49">
        <f t="shared" si="0"/>
        <v>0.21999999999999997</v>
      </c>
      <c r="G33" s="446">
        <f t="shared" si="23"/>
        <v>0.97118532844404704</v>
      </c>
      <c r="H33" s="445">
        <f t="shared" si="24"/>
        <v>0.97118532844404704</v>
      </c>
      <c r="I33" s="445">
        <f t="shared" si="25"/>
        <v>0.98810408921933079</v>
      </c>
      <c r="J33" s="448">
        <f t="shared" si="26"/>
        <v>0.95963219442538172</v>
      </c>
      <c r="K33" s="448">
        <f t="shared" si="27"/>
        <v>0.86719802872629703</v>
      </c>
      <c r="L33" s="308">
        <f>+Efficiency1!K135</f>
        <v>55.396223999999997</v>
      </c>
      <c r="M33" s="14">
        <f t="shared" si="28"/>
        <v>1311.9264139368543</v>
      </c>
      <c r="N33" s="308">
        <f>+Efficiency1!C135</f>
        <v>55.396223999999997</v>
      </c>
      <c r="O33" s="14">
        <f t="shared" si="28"/>
        <v>1236.9475854155312</v>
      </c>
      <c r="P33" s="304">
        <f>'25'!I38</f>
        <v>53.8</v>
      </c>
      <c r="Q33" s="14">
        <f t="shared" si="29"/>
        <v>1164.1143</v>
      </c>
      <c r="R33" s="16">
        <f>'25'!I40</f>
        <v>53.16</v>
      </c>
      <c r="S33" s="305">
        <f t="shared" si="30"/>
        <v>1137.7</v>
      </c>
      <c r="T33" s="8">
        <f t="shared" si="1"/>
        <v>0.98810408921933079</v>
      </c>
      <c r="U33" s="8">
        <f t="shared" si="2"/>
        <v>0.97730953051603275</v>
      </c>
      <c r="V33" s="306">
        <f t="shared" si="3"/>
        <v>0.95963219442538172</v>
      </c>
      <c r="W33" s="307">
        <f t="shared" si="4"/>
        <v>0.86719802872629703</v>
      </c>
      <c r="X33" s="305"/>
      <c r="Y33" s="305"/>
      <c r="Z33" s="7"/>
      <c r="AA33" s="305"/>
      <c r="AB33" s="98">
        <f>+[1]Report1!AY33</f>
        <v>5163.7208801850766</v>
      </c>
      <c r="AC33" s="14">
        <f t="shared" si="31"/>
        <v>114223.43005854322</v>
      </c>
      <c r="AD33" s="303">
        <f t="shared" si="5"/>
        <v>95.979942010875035</v>
      </c>
      <c r="AE33" s="303">
        <f t="shared" si="6"/>
        <v>98.120459527507933</v>
      </c>
      <c r="AF33" s="309">
        <f t="shared" si="7"/>
        <v>97.135456737868267</v>
      </c>
      <c r="AG33" s="303">
        <f t="shared" si="8"/>
        <v>100.39854975700379</v>
      </c>
      <c r="AH33" s="554">
        <v>71.2</v>
      </c>
      <c r="AI33" s="305">
        <f t="shared" si="32"/>
        <v>1622.7000000000003</v>
      </c>
      <c r="AJ33" s="311">
        <f t="shared" si="9"/>
        <v>1.3234200743494424</v>
      </c>
      <c r="AK33" s="311">
        <f t="shared" si="10"/>
        <v>1.3939352862515308</v>
      </c>
      <c r="AL33" s="308">
        <f t="shared" si="11"/>
        <v>1.3393528969149737</v>
      </c>
      <c r="AM33" s="311">
        <f t="shared" si="12"/>
        <v>1.4262986727608336</v>
      </c>
      <c r="AN33" s="98">
        <v>0</v>
      </c>
      <c r="AO33" s="305">
        <f t="shared" si="33"/>
        <v>0</v>
      </c>
      <c r="AP33" s="311">
        <f t="shared" si="34"/>
        <v>0</v>
      </c>
      <c r="AQ33" s="311">
        <f t="shared" si="35"/>
        <v>0</v>
      </c>
      <c r="AR33" s="308">
        <f t="shared" si="36"/>
        <v>0</v>
      </c>
      <c r="AS33" s="311">
        <f t="shared" si="37"/>
        <v>0</v>
      </c>
      <c r="AT33" s="310">
        <f>+'25'!I46</f>
        <v>42534.020000000084</v>
      </c>
      <c r="AU33" s="305">
        <f t="shared" si="38"/>
        <v>971088.7</v>
      </c>
      <c r="AV33" s="311">
        <f t="shared" si="13"/>
        <v>790.59516728624692</v>
      </c>
      <c r="AW33" s="311">
        <f t="shared" si="14"/>
        <v>834.1867289148496</v>
      </c>
      <c r="AX33" s="311">
        <f t="shared" si="15"/>
        <v>800.11324303988113</v>
      </c>
      <c r="AY33" s="311">
        <f t="shared" si="16"/>
        <v>853.55427617122257</v>
      </c>
      <c r="AZ33" s="310">
        <f>+Listrik!S32</f>
        <v>30706.000000000004</v>
      </c>
      <c r="BA33" s="305">
        <f t="shared" si="39"/>
        <v>577078.46300000011</v>
      </c>
      <c r="BB33" s="311">
        <f t="shared" si="17"/>
        <v>570.74349442379196</v>
      </c>
      <c r="BC33" s="311">
        <f t="shared" si="40"/>
        <v>495.72319745578255</v>
      </c>
      <c r="BD33" s="311">
        <f t="shared" si="18"/>
        <v>577.61474793077502</v>
      </c>
      <c r="BE33" s="311">
        <f t="shared" si="19"/>
        <v>507.23254197064261</v>
      </c>
      <c r="BF33" s="588"/>
      <c r="BG33" s="590">
        <f t="shared" si="41"/>
        <v>0</v>
      </c>
      <c r="BH33" s="589">
        <f t="shared" si="42"/>
        <v>0</v>
      </c>
      <c r="BI33" s="589">
        <f t="shared" si="43"/>
        <v>0</v>
      </c>
      <c r="BJ33" s="589">
        <f t="shared" si="44"/>
        <v>0</v>
      </c>
      <c r="BK33" s="589">
        <f t="shared" si="45"/>
        <v>0</v>
      </c>
      <c r="BL33" s="539">
        <f>+Efficiency2!K135</f>
        <v>55.396223999999997</v>
      </c>
      <c r="BM33" s="540">
        <f t="shared" si="46"/>
        <v>1285.3407047868543</v>
      </c>
      <c r="BN33" s="541">
        <f t="shared" si="20"/>
        <v>0.95963219442538172</v>
      </c>
      <c r="BO33" s="541">
        <f t="shared" si="21"/>
        <v>0.88513496519871182</v>
      </c>
    </row>
    <row r="34" spans="1:67">
      <c r="A34" s="18">
        <f t="shared" si="22"/>
        <v>46107</v>
      </c>
      <c r="B34" s="438" t="s">
        <v>423</v>
      </c>
      <c r="C34" s="438" t="s">
        <v>711</v>
      </c>
      <c r="D34" s="442">
        <f>+'26'!F42</f>
        <v>1200</v>
      </c>
      <c r="E34" s="442">
        <f>+'26'!G42</f>
        <v>936</v>
      </c>
      <c r="F34" s="49">
        <f t="shared" si="0"/>
        <v>0.21999999999999997</v>
      </c>
      <c r="G34" s="446">
        <f t="shared" si="23"/>
        <v>0.95644560981528048</v>
      </c>
      <c r="H34" s="445">
        <f t="shared" si="24"/>
        <v>0.95644560981528048</v>
      </c>
      <c r="I34" s="445">
        <f t="shared" si="25"/>
        <v>0.99685378689649917</v>
      </c>
      <c r="J34" s="448">
        <f t="shared" si="26"/>
        <v>0.95343642810489382</v>
      </c>
      <c r="K34" s="448">
        <f t="shared" si="27"/>
        <v>0.87065777622360041</v>
      </c>
      <c r="L34" s="308">
        <f>+Efficiency1!K140</f>
        <v>54.832182260869573</v>
      </c>
      <c r="M34" s="14">
        <f t="shared" si="28"/>
        <v>1366.7585961977238</v>
      </c>
      <c r="N34" s="308">
        <f>+Efficiency1!C140</f>
        <v>54.832182260869573</v>
      </c>
      <c r="O34" s="14">
        <f t="shared" si="28"/>
        <v>1291.7797676764008</v>
      </c>
      <c r="P34" s="304">
        <f>'26'!I38</f>
        <v>52.444000000000003</v>
      </c>
      <c r="Q34" s="14">
        <f t="shared" si="29"/>
        <v>1216.5582999999999</v>
      </c>
      <c r="R34" s="16">
        <f>'26'!I40</f>
        <v>52.279000000000003</v>
      </c>
      <c r="S34" s="305">
        <f t="shared" si="30"/>
        <v>1189.979</v>
      </c>
      <c r="T34" s="8">
        <f t="shared" si="1"/>
        <v>0.99685378689649917</v>
      </c>
      <c r="U34" s="8">
        <f t="shared" si="2"/>
        <v>0.97815205403637473</v>
      </c>
      <c r="V34" s="306">
        <f t="shared" si="3"/>
        <v>0.95343642810489382</v>
      </c>
      <c r="W34" s="307">
        <f t="shared" si="4"/>
        <v>0.87065777622360041</v>
      </c>
      <c r="X34" s="305"/>
      <c r="Y34" s="305"/>
      <c r="Z34" s="7"/>
      <c r="AA34" s="305"/>
      <c r="AB34" s="98">
        <f>+[1]Report1!AY34</f>
        <v>5195.5551474257882</v>
      </c>
      <c r="AC34" s="14">
        <f t="shared" si="31"/>
        <v>119418.98520596902</v>
      </c>
      <c r="AD34" s="303">
        <f t="shared" si="5"/>
        <v>99.068628392681489</v>
      </c>
      <c r="AE34" s="303">
        <f t="shared" si="6"/>
        <v>98.161333662323472</v>
      </c>
      <c r="AF34" s="309">
        <f t="shared" si="7"/>
        <v>99.381303150897836</v>
      </c>
      <c r="AG34" s="303">
        <f t="shared" si="8"/>
        <v>100.3538593588366</v>
      </c>
      <c r="AH34" s="554">
        <v>71.3</v>
      </c>
      <c r="AI34" s="305">
        <f t="shared" si="32"/>
        <v>1694.0000000000002</v>
      </c>
      <c r="AJ34" s="311">
        <f t="shared" si="9"/>
        <v>1.3595454198764394</v>
      </c>
      <c r="AK34" s="311">
        <f t="shared" si="10"/>
        <v>1.3924527907951476</v>
      </c>
      <c r="AL34" s="308">
        <f t="shared" si="11"/>
        <v>1.3638363396392432</v>
      </c>
      <c r="AM34" s="311">
        <f t="shared" si="12"/>
        <v>1.4235545333152939</v>
      </c>
      <c r="AN34" s="98">
        <v>0</v>
      </c>
      <c r="AO34" s="305">
        <f t="shared" si="33"/>
        <v>0</v>
      </c>
      <c r="AP34" s="311">
        <f t="shared" si="34"/>
        <v>0</v>
      </c>
      <c r="AQ34" s="311">
        <f t="shared" si="35"/>
        <v>0</v>
      </c>
      <c r="AR34" s="308">
        <f t="shared" si="36"/>
        <v>0</v>
      </c>
      <c r="AS34" s="311">
        <f t="shared" si="37"/>
        <v>0</v>
      </c>
      <c r="AT34" s="310">
        <f>'26'!I46</f>
        <v>42238.599999999991</v>
      </c>
      <c r="AU34" s="305">
        <f t="shared" si="38"/>
        <v>1013327.2999999999</v>
      </c>
      <c r="AV34" s="311">
        <f t="shared" si="13"/>
        <v>805.40385935474012</v>
      </c>
      <c r="AW34" s="311">
        <f t="shared" si="14"/>
        <v>832.94594266464674</v>
      </c>
      <c r="AX34" s="311">
        <f t="shared" si="15"/>
        <v>807.94582910920246</v>
      </c>
      <c r="AY34" s="311">
        <f t="shared" si="16"/>
        <v>851.55057358155045</v>
      </c>
      <c r="AZ34" s="310">
        <f>+Listrik!S33</f>
        <v>30496.400000000001</v>
      </c>
      <c r="BA34" s="305">
        <f t="shared" si="39"/>
        <v>607574.86300000013</v>
      </c>
      <c r="BB34" s="311">
        <f t="shared" si="17"/>
        <v>581.50408054305547</v>
      </c>
      <c r="BC34" s="311">
        <f t="shared" si="40"/>
        <v>499.42108240928548</v>
      </c>
      <c r="BD34" s="311">
        <f t="shared" si="18"/>
        <v>583.33939057747853</v>
      </c>
      <c r="BE34" s="311">
        <f t="shared" si="19"/>
        <v>510.57612193156365</v>
      </c>
      <c r="BF34" s="588"/>
      <c r="BG34" s="590">
        <f t="shared" si="41"/>
        <v>0</v>
      </c>
      <c r="BH34" s="589">
        <f t="shared" si="42"/>
        <v>0</v>
      </c>
      <c r="BI34" s="589">
        <f t="shared" si="43"/>
        <v>0</v>
      </c>
      <c r="BJ34" s="589">
        <f t="shared" si="44"/>
        <v>0</v>
      </c>
      <c r="BK34" s="589">
        <f t="shared" si="45"/>
        <v>0</v>
      </c>
      <c r="BL34" s="539">
        <f>+Efficiency2!K140</f>
        <v>54.832182260869573</v>
      </c>
      <c r="BM34" s="540">
        <f t="shared" si="46"/>
        <v>1340.1728870477239</v>
      </c>
      <c r="BN34" s="541">
        <f t="shared" si="20"/>
        <v>0.95343642810489382</v>
      </c>
      <c r="BO34" s="541">
        <f t="shared" si="21"/>
        <v>0.88792946902650227</v>
      </c>
    </row>
    <row r="35" spans="1:67">
      <c r="A35" s="18">
        <f t="shared" si="22"/>
        <v>46108</v>
      </c>
      <c r="B35" s="438" t="s">
        <v>423</v>
      </c>
      <c r="C35" s="438" t="s">
        <v>720</v>
      </c>
      <c r="D35" s="442">
        <f>+'27'!F42</f>
        <v>1250</v>
      </c>
      <c r="E35" s="442">
        <f>+'27'!G42</f>
        <v>975</v>
      </c>
      <c r="F35" s="49">
        <f t="shared" si="0"/>
        <v>0.21999999999999997</v>
      </c>
      <c r="G35" s="446">
        <f t="shared" si="23"/>
        <v>1.0465826355484971</v>
      </c>
      <c r="H35" s="445">
        <f t="shared" si="24"/>
        <v>1.0465826355484971</v>
      </c>
      <c r="I35" s="445">
        <f t="shared" si="25"/>
        <v>0.96604081315651513</v>
      </c>
      <c r="J35" s="448">
        <f t="shared" si="26"/>
        <v>1.0110415402807589</v>
      </c>
      <c r="K35" s="448">
        <f t="shared" si="27"/>
        <v>0.87553667791784306</v>
      </c>
      <c r="L35" s="308">
        <f>+SUM(Efficiency1!K145:K146)</f>
        <v>49.210638750000001</v>
      </c>
      <c r="M35" s="14">
        <f t="shared" si="28"/>
        <v>1415.9692349477239</v>
      </c>
      <c r="N35" s="308">
        <f>+SUM(Efficiency1!C145:C146)</f>
        <v>49.210638750000001</v>
      </c>
      <c r="O35" s="14">
        <f t="shared" si="28"/>
        <v>1340.9904064264008</v>
      </c>
      <c r="P35" s="304">
        <f>'27'!I38</f>
        <v>51.503</v>
      </c>
      <c r="Q35" s="14">
        <f t="shared" si="29"/>
        <v>1268.0612999999998</v>
      </c>
      <c r="R35" s="16">
        <f>'27'!I40</f>
        <v>49.753999999999998</v>
      </c>
      <c r="S35" s="305">
        <f t="shared" si="30"/>
        <v>1239.7329999999999</v>
      </c>
      <c r="T35" s="8">
        <f t="shared" si="1"/>
        <v>0.96604081315651513</v>
      </c>
      <c r="U35" s="8">
        <f t="shared" si="2"/>
        <v>0.97766014939498591</v>
      </c>
      <c r="V35" s="306">
        <f t="shared" si="3"/>
        <v>1.0110415402807589</v>
      </c>
      <c r="W35" s="307">
        <f t="shared" si="4"/>
        <v>0.87553667791784306</v>
      </c>
      <c r="X35" s="305"/>
      <c r="Y35" s="305"/>
      <c r="Z35" s="7"/>
      <c r="AA35" s="305"/>
      <c r="AB35" s="98">
        <f>+[1]Report1!AY35</f>
        <v>4858.0378860579849</v>
      </c>
      <c r="AC35" s="14">
        <f t="shared" si="31"/>
        <v>124277.023092027</v>
      </c>
      <c r="AD35" s="303">
        <f t="shared" si="5"/>
        <v>94.325338059103061</v>
      </c>
      <c r="AE35" s="303">
        <f t="shared" si="6"/>
        <v>98.005532612679701</v>
      </c>
      <c r="AF35" s="309">
        <f t="shared" si="7"/>
        <v>97.641152189934175</v>
      </c>
      <c r="AG35" s="303">
        <f t="shared" si="8"/>
        <v>100.24499072947724</v>
      </c>
      <c r="AH35" s="554">
        <v>72.2</v>
      </c>
      <c r="AI35" s="305">
        <f t="shared" si="32"/>
        <v>1766.2000000000003</v>
      </c>
      <c r="AJ35" s="311">
        <f t="shared" si="9"/>
        <v>1.4018600858202435</v>
      </c>
      <c r="AK35" s="311">
        <f t="shared" si="10"/>
        <v>1.3928348732036855</v>
      </c>
      <c r="AL35" s="308">
        <f t="shared" si="11"/>
        <v>1.4511396068657798</v>
      </c>
      <c r="AM35" s="311">
        <f t="shared" si="12"/>
        <v>1.4246616005220483</v>
      </c>
      <c r="AN35" s="98">
        <v>0</v>
      </c>
      <c r="AO35" s="305">
        <f t="shared" si="33"/>
        <v>0</v>
      </c>
      <c r="AP35" s="311">
        <f t="shared" si="34"/>
        <v>0</v>
      </c>
      <c r="AQ35" s="311">
        <f t="shared" si="35"/>
        <v>0</v>
      </c>
      <c r="AR35" s="308">
        <f t="shared" si="36"/>
        <v>0</v>
      </c>
      <c r="AS35" s="311">
        <f t="shared" si="37"/>
        <v>0</v>
      </c>
      <c r="AT35" s="310">
        <f>'27'!I46</f>
        <v>44618.960000000014</v>
      </c>
      <c r="AU35" s="305">
        <f t="shared" si="38"/>
        <v>1057946.26</v>
      </c>
      <c r="AV35" s="311">
        <f t="shared" si="13"/>
        <v>866.33710657631627</v>
      </c>
      <c r="AW35" s="311">
        <f t="shared" si="14"/>
        <v>834.30214296422434</v>
      </c>
      <c r="AX35" s="311">
        <f t="shared" si="15"/>
        <v>896.79141375567815</v>
      </c>
      <c r="AY35" s="311">
        <f t="shared" si="16"/>
        <v>853.36621675796323</v>
      </c>
      <c r="AZ35" s="310">
        <f>+Listrik!S34</f>
        <v>24834.000000000418</v>
      </c>
      <c r="BA35" s="305">
        <f t="shared" si="39"/>
        <v>632408.86300000059</v>
      </c>
      <c r="BB35" s="311">
        <f t="shared" si="17"/>
        <v>482.18550375707082</v>
      </c>
      <c r="BC35" s="311">
        <f t="shared" si="40"/>
        <v>498.72104999971265</v>
      </c>
      <c r="BD35" s="311">
        <f t="shared" si="18"/>
        <v>499.13574787957589</v>
      </c>
      <c r="BE35" s="311">
        <f t="shared" si="19"/>
        <v>510.11698728677914</v>
      </c>
      <c r="BF35" s="588"/>
      <c r="BG35" s="590">
        <f t="shared" si="41"/>
        <v>0</v>
      </c>
      <c r="BH35" s="589">
        <f t="shared" si="42"/>
        <v>0</v>
      </c>
      <c r="BI35" s="589">
        <f t="shared" si="43"/>
        <v>0</v>
      </c>
      <c r="BJ35" s="589">
        <f t="shared" si="44"/>
        <v>0</v>
      </c>
      <c r="BK35" s="589">
        <f t="shared" si="45"/>
        <v>0</v>
      </c>
      <c r="BL35" s="539">
        <f>+SUM(Efficiency2!K145:K146)</f>
        <v>49.210638750000001</v>
      </c>
      <c r="BM35" s="540">
        <f t="shared" si="46"/>
        <v>1389.3835257977239</v>
      </c>
      <c r="BN35" s="541">
        <f t="shared" si="20"/>
        <v>1.0110415402807589</v>
      </c>
      <c r="BO35" s="541">
        <f t="shared" si="21"/>
        <v>0.89228998111820768</v>
      </c>
    </row>
    <row r="36" spans="1:67">
      <c r="A36" s="18">
        <f t="shared" si="22"/>
        <v>46109</v>
      </c>
      <c r="B36" s="438" t="s">
        <v>423</v>
      </c>
      <c r="C36" s="438" t="s">
        <v>725</v>
      </c>
      <c r="D36" s="442">
        <f>+'28'!F42</f>
        <v>1207.1381578947369</v>
      </c>
      <c r="E36" s="442">
        <f>+'28'!G42</f>
        <v>941.56776315789477</v>
      </c>
      <c r="F36" s="49">
        <f t="shared" si="0"/>
        <v>0.21999999999999997</v>
      </c>
      <c r="G36" s="446">
        <f t="shared" si="23"/>
        <v>0.9714509115026102</v>
      </c>
      <c r="H36" s="445">
        <f t="shared" si="24"/>
        <v>0.9714509115026102</v>
      </c>
      <c r="I36" s="445">
        <f t="shared" si="25"/>
        <v>1.0119075414429139</v>
      </c>
      <c r="J36" s="448">
        <f t="shared" si="26"/>
        <v>0.98301850349108399</v>
      </c>
      <c r="K36" s="448">
        <f t="shared" si="27"/>
        <v>0.87940799245740564</v>
      </c>
      <c r="L36" s="308">
        <f>+SUM(Efficiency1!K150:K151)</f>
        <v>52.906430362500004</v>
      </c>
      <c r="M36" s="14">
        <f t="shared" si="28"/>
        <v>1468.8756653102239</v>
      </c>
      <c r="N36" s="308">
        <f>+SUM(Efficiency1!C150:C151)</f>
        <v>52.906430362500004</v>
      </c>
      <c r="O36" s="14">
        <f t="shared" si="28"/>
        <v>1393.8968367889008</v>
      </c>
      <c r="P36" s="304">
        <f>'28'!I38</f>
        <v>51.396000000000001</v>
      </c>
      <c r="Q36" s="14">
        <f t="shared" si="29"/>
        <v>1319.4572999999998</v>
      </c>
      <c r="R36" s="16">
        <f>'28'!I40</f>
        <v>52.008000000000003</v>
      </c>
      <c r="S36" s="305">
        <f t="shared" si="30"/>
        <v>1291.741</v>
      </c>
      <c r="T36" s="8">
        <f t="shared" si="1"/>
        <v>1.0119075414429139</v>
      </c>
      <c r="U36" s="8">
        <f t="shared" si="2"/>
        <v>0.97899416676841322</v>
      </c>
      <c r="V36" s="306">
        <f t="shared" si="3"/>
        <v>0.98301850349108399</v>
      </c>
      <c r="W36" s="307">
        <f t="shared" si="4"/>
        <v>0.87940799245740564</v>
      </c>
      <c r="X36" s="305"/>
      <c r="Y36" s="305"/>
      <c r="Z36" s="7"/>
      <c r="AA36" s="305"/>
      <c r="AB36" s="98">
        <f>+[1]Report1!AY36</f>
        <v>4950.0190466006834</v>
      </c>
      <c r="AC36" s="14">
        <f t="shared" si="31"/>
        <v>129227.04213862769</v>
      </c>
      <c r="AD36" s="303">
        <f t="shared" si="5"/>
        <v>96.311367550017181</v>
      </c>
      <c r="AE36" s="303">
        <f t="shared" si="6"/>
        <v>97.939540854128211</v>
      </c>
      <c r="AF36" s="309">
        <f t="shared" si="7"/>
        <v>95.178031199059447</v>
      </c>
      <c r="AG36" s="303">
        <f t="shared" si="8"/>
        <v>100.04098510353677</v>
      </c>
      <c r="AH36" s="554">
        <v>72.5</v>
      </c>
      <c r="AI36" s="305">
        <f t="shared" si="32"/>
        <v>1838.7000000000003</v>
      </c>
      <c r="AJ36" s="311">
        <f t="shared" si="9"/>
        <v>1.4106156121098918</v>
      </c>
      <c r="AK36" s="311">
        <f t="shared" si="10"/>
        <v>1.3935274752733571</v>
      </c>
      <c r="AL36" s="308">
        <f t="shared" si="11"/>
        <v>1.3940163051838177</v>
      </c>
      <c r="AM36" s="311">
        <f t="shared" si="12"/>
        <v>1.423427761447535</v>
      </c>
      <c r="AN36" s="98">
        <v>0</v>
      </c>
      <c r="AO36" s="305">
        <f t="shared" si="33"/>
        <v>0</v>
      </c>
      <c r="AP36" s="311">
        <f t="shared" si="34"/>
        <v>0</v>
      </c>
      <c r="AQ36" s="311">
        <f t="shared" si="35"/>
        <v>0</v>
      </c>
      <c r="AR36" s="308">
        <f t="shared" si="36"/>
        <v>0</v>
      </c>
      <c r="AS36" s="311">
        <f t="shared" si="37"/>
        <v>0</v>
      </c>
      <c r="AT36" s="310">
        <f>'28'!I46</f>
        <v>41639.079999999893</v>
      </c>
      <c r="AU36" s="305">
        <f t="shared" si="38"/>
        <v>1099585.3399999999</v>
      </c>
      <c r="AV36" s="311">
        <f t="shared" si="13"/>
        <v>810.1618803019669</v>
      </c>
      <c r="AW36" s="311">
        <f t="shared" si="14"/>
        <v>833.36182231891848</v>
      </c>
      <c r="AX36" s="311">
        <f t="shared" si="15"/>
        <v>800.62836486694141</v>
      </c>
      <c r="AY36" s="311">
        <f t="shared" si="16"/>
        <v>851.24288847377284</v>
      </c>
      <c r="AZ36" s="310">
        <f>+Listrik!S35</f>
        <v>24768.949999999892</v>
      </c>
      <c r="BA36" s="305">
        <f t="shared" si="39"/>
        <v>657177.81300000043</v>
      </c>
      <c r="BB36" s="311">
        <f t="shared" si="17"/>
        <v>481.92369055957454</v>
      </c>
      <c r="BC36" s="311">
        <f t="shared" si="40"/>
        <v>498.06675289909003</v>
      </c>
      <c r="BD36" s="311">
        <f t="shared" si="18"/>
        <v>476.25269189355276</v>
      </c>
      <c r="BE36" s="311">
        <f t="shared" si="19"/>
        <v>508.75354502179647</v>
      </c>
      <c r="BF36" s="588"/>
      <c r="BG36" s="590">
        <f t="shared" si="41"/>
        <v>0</v>
      </c>
      <c r="BH36" s="589">
        <f t="shared" si="42"/>
        <v>0</v>
      </c>
      <c r="BI36" s="589">
        <f t="shared" si="43"/>
        <v>0</v>
      </c>
      <c r="BJ36" s="589">
        <f t="shared" si="44"/>
        <v>0</v>
      </c>
      <c r="BK36" s="589">
        <f t="shared" si="45"/>
        <v>0</v>
      </c>
      <c r="BL36" s="539">
        <f>+SUM(Efficiency2!K150:K151)</f>
        <v>52.906430362500004</v>
      </c>
      <c r="BM36" s="540">
        <f t="shared" si="46"/>
        <v>1442.2899561602239</v>
      </c>
      <c r="BN36" s="541">
        <f t="shared" si="20"/>
        <v>0.98301850349108399</v>
      </c>
      <c r="BO36" s="541">
        <f t="shared" si="21"/>
        <v>0.89561810680494025</v>
      </c>
    </row>
    <row r="37" spans="1:67">
      <c r="A37" s="18">
        <f t="shared" si="22"/>
        <v>46110</v>
      </c>
      <c r="B37" s="438" t="s">
        <v>423</v>
      </c>
      <c r="C37" s="438">
        <v>15.5</v>
      </c>
      <c r="D37" s="442">
        <f>+'29'!F42</f>
        <v>1150</v>
      </c>
      <c r="E37" s="442">
        <f>+'29'!G42</f>
        <v>897</v>
      </c>
      <c r="F37" s="49">
        <f t="shared" si="0"/>
        <v>0.21999999999999997</v>
      </c>
      <c r="G37" s="446">
        <f t="shared" si="23"/>
        <v>0.97913321716166823</v>
      </c>
      <c r="H37" s="445">
        <f t="shared" si="24"/>
        <v>0.97913321716166823</v>
      </c>
      <c r="I37" s="445">
        <f t="shared" si="25"/>
        <v>0.95241790773563917</v>
      </c>
      <c r="J37" s="448">
        <f t="shared" si="26"/>
        <v>0.93254401008358123</v>
      </c>
      <c r="K37" s="448">
        <f t="shared" si="27"/>
        <v>0.88129069758705103</v>
      </c>
      <c r="L37" s="308">
        <f>+Efficiency1!K155</f>
        <v>53.956702800000002</v>
      </c>
      <c r="M37" s="14">
        <f t="shared" si="28"/>
        <v>1522.8323681102238</v>
      </c>
      <c r="N37" s="308">
        <f>+Efficiency1!C155</f>
        <v>53.956702800000002</v>
      </c>
      <c r="O37" s="14">
        <f t="shared" si="28"/>
        <v>1447.8535395889007</v>
      </c>
      <c r="P37" s="304">
        <f>'29'!I38</f>
        <v>52.830799999999996</v>
      </c>
      <c r="Q37" s="14">
        <f t="shared" si="29"/>
        <v>1372.2880999999998</v>
      </c>
      <c r="R37" s="16">
        <f>'29'!I40</f>
        <v>50.317</v>
      </c>
      <c r="S37" s="305">
        <f t="shared" si="30"/>
        <v>1342.058</v>
      </c>
      <c r="T37" s="8">
        <f t="shared" si="1"/>
        <v>0.95241790773563917</v>
      </c>
      <c r="U37" s="8">
        <f t="shared" si="2"/>
        <v>0.97797102518049983</v>
      </c>
      <c r="V37" s="306">
        <f t="shared" si="3"/>
        <v>0.93254401008358123</v>
      </c>
      <c r="W37" s="307">
        <f t="shared" si="4"/>
        <v>0.88129069758705103</v>
      </c>
      <c r="X37" s="305"/>
      <c r="Y37" s="305"/>
      <c r="Z37" s="7"/>
      <c r="AA37" s="305"/>
      <c r="AB37" s="98">
        <f>+[1]Report1!AY37</f>
        <v>5022.2523060445819</v>
      </c>
      <c r="AC37" s="14">
        <f t="shared" si="31"/>
        <v>134249.29444467227</v>
      </c>
      <c r="AD37" s="303">
        <f t="shared" si="5"/>
        <v>95.062961493003741</v>
      </c>
      <c r="AE37" s="303">
        <f t="shared" si="6"/>
        <v>97.828797352882603</v>
      </c>
      <c r="AF37" s="309">
        <f t="shared" si="7"/>
        <v>99.812236541220301</v>
      </c>
      <c r="AG37" s="303">
        <f t="shared" si="8"/>
        <v>100.03240876673904</v>
      </c>
      <c r="AH37" s="554">
        <v>71.2</v>
      </c>
      <c r="AI37" s="305">
        <f t="shared" si="32"/>
        <v>1909.9000000000003</v>
      </c>
      <c r="AJ37" s="311">
        <f t="shared" si="9"/>
        <v>1.347698690915148</v>
      </c>
      <c r="AK37" s="311">
        <f t="shared" si="10"/>
        <v>1.3917631436139399</v>
      </c>
      <c r="AL37" s="308">
        <f t="shared" si="11"/>
        <v>1.4150287179283345</v>
      </c>
      <c r="AM37" s="311">
        <f t="shared" si="12"/>
        <v>1.4231128609940855</v>
      </c>
      <c r="AN37" s="98">
        <v>0</v>
      </c>
      <c r="AO37" s="305">
        <f t="shared" si="33"/>
        <v>0</v>
      </c>
      <c r="AP37" s="311">
        <f t="shared" si="34"/>
        <v>0</v>
      </c>
      <c r="AQ37" s="311">
        <f t="shared" si="35"/>
        <v>0</v>
      </c>
      <c r="AR37" s="308">
        <f t="shared" si="36"/>
        <v>0</v>
      </c>
      <c r="AS37" s="311">
        <f t="shared" si="37"/>
        <v>0</v>
      </c>
      <c r="AT37" s="310">
        <f>'29'!I46</f>
        <v>38992.520000000019</v>
      </c>
      <c r="AU37" s="305">
        <f t="shared" si="38"/>
        <v>1138577.8599999999</v>
      </c>
      <c r="AV37" s="311">
        <f t="shared" si="13"/>
        <v>738.06415954329702</v>
      </c>
      <c r="AW37" s="311">
        <f t="shared" si="14"/>
        <v>829.69302145810343</v>
      </c>
      <c r="AX37" s="311">
        <f t="shared" si="15"/>
        <v>774.93729753363721</v>
      </c>
      <c r="AY37" s="311">
        <f t="shared" si="16"/>
        <v>848.38200733500332</v>
      </c>
      <c r="AZ37" s="310">
        <f>+Listrik!S36</f>
        <v>26625.161999999797</v>
      </c>
      <c r="BA37" s="305">
        <f t="shared" si="39"/>
        <v>683802.97500000021</v>
      </c>
      <c r="BB37" s="311">
        <f t="shared" si="17"/>
        <v>503.97044905622857</v>
      </c>
      <c r="BC37" s="311">
        <f t="shared" si="40"/>
        <v>498.29403534141289</v>
      </c>
      <c r="BD37" s="311">
        <f t="shared" si="18"/>
        <v>529.14843889738654</v>
      </c>
      <c r="BE37" s="311">
        <f t="shared" si="19"/>
        <v>509.51819891539731</v>
      </c>
      <c r="BF37" s="588"/>
      <c r="BG37" s="590">
        <f t="shared" si="41"/>
        <v>0</v>
      </c>
      <c r="BH37" s="589">
        <f t="shared" si="42"/>
        <v>0</v>
      </c>
      <c r="BI37" s="589">
        <f t="shared" si="43"/>
        <v>0</v>
      </c>
      <c r="BJ37" s="589">
        <f t="shared" si="44"/>
        <v>0</v>
      </c>
      <c r="BK37" s="589">
        <f t="shared" si="45"/>
        <v>0</v>
      </c>
      <c r="BL37" s="539">
        <f>+Efficiency2!K155</f>
        <v>53.956702800000002</v>
      </c>
      <c r="BM37" s="540">
        <f t="shared" si="46"/>
        <v>1496.2466589602238</v>
      </c>
      <c r="BN37" s="541">
        <f t="shared" si="20"/>
        <v>0.93254401008358123</v>
      </c>
      <c r="BO37" s="541">
        <f t="shared" si="21"/>
        <v>0.89694970542666197</v>
      </c>
    </row>
    <row r="38" spans="1:67">
      <c r="A38" s="18">
        <f t="shared" si="22"/>
        <v>46111</v>
      </c>
      <c r="B38" s="438" t="s">
        <v>423</v>
      </c>
      <c r="C38" s="438">
        <v>15.5</v>
      </c>
      <c r="D38" s="442">
        <f>+'30'!F42</f>
        <v>1065.0902777777778</v>
      </c>
      <c r="E38" s="442">
        <f>+'30'!G42</f>
        <v>832.12006944444443</v>
      </c>
      <c r="F38" s="49">
        <f t="shared" si="0"/>
        <v>0.2187328278119357</v>
      </c>
      <c r="G38" s="446">
        <f t="shared" si="23"/>
        <v>0.94364050466555671</v>
      </c>
      <c r="H38" s="445">
        <f t="shared" si="24"/>
        <v>0.87396724107530444</v>
      </c>
      <c r="I38" s="445">
        <f t="shared" si="25"/>
        <v>0.96447399064213568</v>
      </c>
      <c r="J38" s="448">
        <f t="shared" si="26"/>
        <v>0.84291867269039633</v>
      </c>
      <c r="K38" s="448">
        <f t="shared" si="27"/>
        <v>0.87997557162838336</v>
      </c>
      <c r="L38" s="308">
        <f>+Efficiency1!K160</f>
        <v>54.044359765574121</v>
      </c>
      <c r="M38" s="14">
        <f t="shared" si="28"/>
        <v>1576.876727875798</v>
      </c>
      <c r="N38" s="308">
        <f>+Efficiency1!C160</f>
        <v>50.054019265249998</v>
      </c>
      <c r="O38" s="14">
        <f t="shared" si="28"/>
        <v>1497.9075588541507</v>
      </c>
      <c r="P38" s="304">
        <f>'30'!I38</f>
        <v>47.233000000000004</v>
      </c>
      <c r="Q38" s="14">
        <f t="shared" si="29"/>
        <v>1419.5210999999997</v>
      </c>
      <c r="R38" s="16">
        <f>'30'!I40</f>
        <v>45.555</v>
      </c>
      <c r="S38" s="305">
        <f t="shared" si="30"/>
        <v>1387.6130000000001</v>
      </c>
      <c r="T38" s="8">
        <f t="shared" si="1"/>
        <v>0.96447399064213568</v>
      </c>
      <c r="U38" s="8">
        <f t="shared" si="2"/>
        <v>0.9775219262327276</v>
      </c>
      <c r="V38" s="306">
        <f t="shared" si="3"/>
        <v>0.84291867269039633</v>
      </c>
      <c r="W38" s="307">
        <f t="shared" si="4"/>
        <v>0.87997557162838336</v>
      </c>
      <c r="X38" s="305"/>
      <c r="Y38" s="305"/>
      <c r="Z38" s="7"/>
      <c r="AA38" s="305"/>
      <c r="AB38" s="98">
        <f>+[1]Report1!AY38</f>
        <v>4702.5984600563843</v>
      </c>
      <c r="AC38" s="14">
        <f t="shared" si="31"/>
        <v>138951.89290472865</v>
      </c>
      <c r="AD38" s="303">
        <f t="shared" si="5"/>
        <v>99.561714480477292</v>
      </c>
      <c r="AE38" s="303">
        <f t="shared" si="6"/>
        <v>97.88645826027431</v>
      </c>
      <c r="AF38" s="309">
        <f t="shared" si="7"/>
        <v>103.22902996501776</v>
      </c>
      <c r="AG38" s="303">
        <f t="shared" si="8"/>
        <v>100.13735306942833</v>
      </c>
      <c r="AH38" s="554">
        <v>69.3</v>
      </c>
      <c r="AI38" s="305">
        <f t="shared" si="32"/>
        <v>1979.2000000000003</v>
      </c>
      <c r="AJ38" s="311">
        <f t="shared" si="9"/>
        <v>1.467194546185929</v>
      </c>
      <c r="AK38" s="311">
        <f t="shared" si="10"/>
        <v>1.3942730403936938</v>
      </c>
      <c r="AL38" s="308">
        <f t="shared" si="11"/>
        <v>1.5212380638788277</v>
      </c>
      <c r="AM38" s="311">
        <f t="shared" si="12"/>
        <v>1.4263342877300804</v>
      </c>
      <c r="AN38" s="98">
        <v>0</v>
      </c>
      <c r="AO38" s="305">
        <f t="shared" si="33"/>
        <v>0</v>
      </c>
      <c r="AP38" s="311">
        <f t="shared" si="34"/>
        <v>0</v>
      </c>
      <c r="AQ38" s="311">
        <f t="shared" si="35"/>
        <v>0</v>
      </c>
      <c r="AR38" s="308">
        <f t="shared" si="36"/>
        <v>0</v>
      </c>
      <c r="AS38" s="311">
        <f t="shared" si="37"/>
        <v>0</v>
      </c>
      <c r="AT38" s="310">
        <f>'30'!I46</f>
        <v>41859.080000000067</v>
      </c>
      <c r="AU38" s="305">
        <f t="shared" si="38"/>
        <v>1180436.94</v>
      </c>
      <c r="AV38" s="311">
        <f t="shared" si="13"/>
        <v>886.22530857663207</v>
      </c>
      <c r="AW38" s="311">
        <f t="shared" si="14"/>
        <v>831.57407100183309</v>
      </c>
      <c r="AX38" s="311">
        <f t="shared" si="15"/>
        <v>918.86905937877441</v>
      </c>
      <c r="AY38" s="311">
        <f t="shared" si="16"/>
        <v>850.69608024715831</v>
      </c>
      <c r="AZ38" s="310">
        <f>+Listrik!S37</f>
        <v>21379.871999999665</v>
      </c>
      <c r="BA38" s="305">
        <f t="shared" si="39"/>
        <v>705182.84699999983</v>
      </c>
      <c r="BB38" s="311">
        <f t="shared" si="17"/>
        <v>452.64692058517693</v>
      </c>
      <c r="BC38" s="311">
        <f t="shared" si="40"/>
        <v>496.77517791035302</v>
      </c>
      <c r="BD38" s="311">
        <f t="shared" si="18"/>
        <v>469.31998682910029</v>
      </c>
      <c r="BE38" s="311">
        <f t="shared" si="19"/>
        <v>508.19850131124446</v>
      </c>
      <c r="BF38" s="588"/>
      <c r="BG38" s="590">
        <f t="shared" si="41"/>
        <v>0</v>
      </c>
      <c r="BH38" s="589">
        <f t="shared" si="42"/>
        <v>0</v>
      </c>
      <c r="BI38" s="589">
        <f t="shared" si="43"/>
        <v>0</v>
      </c>
      <c r="BJ38" s="589">
        <f t="shared" si="44"/>
        <v>0</v>
      </c>
      <c r="BK38" s="589">
        <f t="shared" si="45"/>
        <v>0</v>
      </c>
      <c r="BL38" s="539">
        <f>+Efficiency2!K160</f>
        <v>54.044359765574121</v>
      </c>
      <c r="BM38" s="540">
        <f t="shared" si="46"/>
        <v>1550.291018725798</v>
      </c>
      <c r="BN38" s="541">
        <f t="shared" si="20"/>
        <v>0.84291867269039633</v>
      </c>
      <c r="BO38" s="541">
        <f t="shared" si="21"/>
        <v>0.8950661412851989</v>
      </c>
    </row>
    <row r="39" spans="1:67">
      <c r="A39" s="18">
        <f>A38+1</f>
        <v>46112</v>
      </c>
      <c r="B39" s="438" t="s">
        <v>423</v>
      </c>
      <c r="C39" s="438" t="s">
        <v>768</v>
      </c>
      <c r="D39" s="442">
        <f>+'31'!F42</f>
        <v>1099.4202898550725</v>
      </c>
      <c r="E39" s="442">
        <f>+'31'!G42</f>
        <v>890.54057971014493</v>
      </c>
      <c r="F39" s="49">
        <f t="shared" si="0"/>
        <v>0.18999077247561302</v>
      </c>
      <c r="G39" s="446">
        <f t="shared" si="23"/>
        <v>0.59980245135346799</v>
      </c>
      <c r="H39" s="445">
        <f t="shared" si="24"/>
        <v>0.59129681331901651</v>
      </c>
      <c r="I39" s="445">
        <f t="shared" si="25"/>
        <v>1.0079621647509578</v>
      </c>
      <c r="J39" s="448">
        <f t="shared" si="26"/>
        <v>0.59600481596337884</v>
      </c>
      <c r="K39" s="448">
        <f t="shared" si="27"/>
        <v>0.87015283921102526</v>
      </c>
      <c r="L39" s="308">
        <f>+SUM(Efficiency1!K166:K167)</f>
        <v>56.499543456825151</v>
      </c>
      <c r="M39" s="14">
        <f>M38+L39</f>
        <v>1633.3762713326232</v>
      </c>
      <c r="N39" s="308">
        <f>+SUM(Efficiency1!C166:C167)</f>
        <v>55.698338552325154</v>
      </c>
      <c r="O39" s="14">
        <f>O38+N39</f>
        <v>1553.6058974064758</v>
      </c>
      <c r="P39" s="304">
        <f>'31'!I38</f>
        <v>33.408000000000001</v>
      </c>
      <c r="Q39" s="14">
        <f>Q38+P39</f>
        <v>1452.9290999999996</v>
      </c>
      <c r="R39" s="16">
        <f>'31'!I40</f>
        <v>33.673999999999999</v>
      </c>
      <c r="S39" s="305">
        <f>S38+R39</f>
        <v>1421.287</v>
      </c>
      <c r="T39" s="8">
        <f>R39/P39</f>
        <v>1.0079621647509578</v>
      </c>
      <c r="U39" s="8">
        <f>S39/Q39</f>
        <v>0.97822185542295248</v>
      </c>
      <c r="V39" s="306">
        <f>R39/L39</f>
        <v>0.59600481596337884</v>
      </c>
      <c r="W39" s="307">
        <f>S39/M39</f>
        <v>0.87015283921102526</v>
      </c>
      <c r="X39" s="305"/>
      <c r="Y39" s="305"/>
      <c r="Z39" s="7"/>
      <c r="AA39" s="305"/>
      <c r="AB39" s="98">
        <f>+[1]Report1!AY39</f>
        <v>3889.7240125547719</v>
      </c>
      <c r="AC39" s="14">
        <f>AB39+AC38</f>
        <v>142841.61691728342</v>
      </c>
      <c r="AD39" s="303">
        <f t="shared" si="5"/>
        <v>116.43091512675922</v>
      </c>
      <c r="AE39" s="303">
        <f t="shared" si="6"/>
        <v>98.312861183166788</v>
      </c>
      <c r="AF39" s="309">
        <f t="shared" si="7"/>
        <v>115.51119595399334</v>
      </c>
      <c r="AG39" s="303">
        <f t="shared" si="8"/>
        <v>100.50159954835541</v>
      </c>
      <c r="AH39" s="554">
        <v>61.9</v>
      </c>
      <c r="AI39" s="305">
        <f>AH39+AI38</f>
        <v>2041.1000000000004</v>
      </c>
      <c r="AJ39" s="311">
        <f t="shared" si="9"/>
        <v>1.8528496168582373</v>
      </c>
      <c r="AK39" s="311">
        <f t="shared" si="10"/>
        <v>1.4048173444939611</v>
      </c>
      <c r="AL39" s="308">
        <f t="shared" si="11"/>
        <v>1.8382134584545939</v>
      </c>
      <c r="AM39" s="311">
        <f t="shared" si="12"/>
        <v>1.4360927806980577</v>
      </c>
      <c r="AN39" s="98">
        <v>0</v>
      </c>
      <c r="AO39" s="305">
        <f>AN39+AO38</f>
        <v>0</v>
      </c>
      <c r="AP39" s="311">
        <f t="shared" si="34"/>
        <v>0</v>
      </c>
      <c r="AQ39" s="311">
        <f t="shared" si="35"/>
        <v>0</v>
      </c>
      <c r="AR39" s="308">
        <f t="shared" si="36"/>
        <v>0</v>
      </c>
      <c r="AS39" s="311">
        <f t="shared" si="37"/>
        <v>0</v>
      </c>
      <c r="AT39" s="310">
        <f>'31'!I46</f>
        <v>33247.799999999988</v>
      </c>
      <c r="AU39" s="305">
        <f>AT39+AU38</f>
        <v>1213684.74</v>
      </c>
      <c r="AV39" s="311">
        <f t="shared" si="13"/>
        <v>995.20474137931001</v>
      </c>
      <c r="AW39" s="311">
        <f t="shared" si="14"/>
        <v>835.33652123837305</v>
      </c>
      <c r="AX39" s="311">
        <f t="shared" si="15"/>
        <v>987.3433509532573</v>
      </c>
      <c r="AY39" s="311">
        <f t="shared" si="16"/>
        <v>853.93361087521384</v>
      </c>
      <c r="AZ39" s="310">
        <f>+Listrik!S38</f>
        <v>22302.439999999871</v>
      </c>
      <c r="BA39" s="305">
        <f>AZ39+BA38</f>
        <v>727485.28699999966</v>
      </c>
      <c r="BB39" s="311">
        <f t="shared" si="17"/>
        <v>667.57782567049424</v>
      </c>
      <c r="BC39" s="311">
        <f t="shared" si="40"/>
        <v>500.70253737777006</v>
      </c>
      <c r="BD39" s="311">
        <f t="shared" si="18"/>
        <v>662.30444853595861</v>
      </c>
      <c r="BE39" s="311">
        <f t="shared" si="19"/>
        <v>511.84967357050317</v>
      </c>
      <c r="BF39" s="588"/>
      <c r="BG39" s="590">
        <f>BF39+BG38</f>
        <v>0</v>
      </c>
      <c r="BH39" s="589">
        <f t="shared" si="42"/>
        <v>0</v>
      </c>
      <c r="BI39" s="589">
        <f t="shared" si="43"/>
        <v>0</v>
      </c>
      <c r="BJ39" s="589">
        <f t="shared" si="44"/>
        <v>0</v>
      </c>
      <c r="BK39" s="589">
        <f t="shared" si="45"/>
        <v>0</v>
      </c>
      <c r="BL39" s="539">
        <f>+SUM(Efficiency2!K166:K167)</f>
        <v>56.499543456825151</v>
      </c>
      <c r="BM39" s="540">
        <f>BM38+BL39</f>
        <v>1606.7905621826233</v>
      </c>
      <c r="BN39" s="541">
        <f t="shared" si="20"/>
        <v>0.59600481596337884</v>
      </c>
      <c r="BO39" s="541">
        <f t="shared" si="21"/>
        <v>0.88455025406009358</v>
      </c>
    </row>
    <row r="40" spans="1:67" ht="13.5" thickBot="1">
      <c r="A40" s="18"/>
      <c r="B40" s="312"/>
      <c r="C40" s="312"/>
      <c r="D40" s="443"/>
      <c r="E40" s="443"/>
      <c r="F40" s="312"/>
      <c r="G40" s="446"/>
      <c r="H40" s="445"/>
      <c r="I40" s="445"/>
      <c r="J40" s="448" t="e">
        <f t="shared" si="26"/>
        <v>#DIV/0!</v>
      </c>
      <c r="K40" s="448" t="e">
        <f t="shared" si="27"/>
        <v>#DIV/0!</v>
      </c>
      <c r="L40" s="320"/>
      <c r="M40" s="313"/>
      <c r="N40" s="604" t="s">
        <v>0</v>
      </c>
      <c r="O40" s="313"/>
      <c r="P40" s="314"/>
      <c r="Q40" s="313"/>
      <c r="R40" s="315"/>
      <c r="S40" s="316"/>
      <c r="T40" s="317"/>
      <c r="U40" s="317"/>
      <c r="V40" s="318"/>
      <c r="W40" s="319"/>
      <c r="X40" s="316"/>
      <c r="Y40" s="316"/>
      <c r="Z40" s="321"/>
      <c r="AA40" s="316"/>
      <c r="AB40" s="316"/>
      <c r="AC40" s="313"/>
      <c r="AD40" s="322"/>
      <c r="AE40" s="322"/>
      <c r="AF40" s="323"/>
      <c r="AG40" s="322"/>
      <c r="AH40" s="316"/>
      <c r="AI40" s="316"/>
      <c r="AJ40" s="311"/>
      <c r="AK40" s="324"/>
      <c r="AL40" s="320"/>
      <c r="AM40" s="324"/>
      <c r="AN40" s="316"/>
      <c r="AO40" s="316"/>
      <c r="AP40" s="324"/>
      <c r="AQ40" s="324"/>
      <c r="AR40" s="320"/>
      <c r="AS40" s="324"/>
      <c r="AT40" s="316"/>
      <c r="AU40" s="316"/>
      <c r="AV40" s="324"/>
      <c r="AW40" s="324"/>
      <c r="AX40" s="324"/>
      <c r="AY40" s="324"/>
      <c r="AZ40" s="316"/>
      <c r="BA40" s="316"/>
      <c r="BB40" s="324"/>
      <c r="BC40" s="324"/>
      <c r="BD40" s="324"/>
      <c r="BE40" s="324"/>
      <c r="BF40" s="591"/>
      <c r="BG40" s="591"/>
      <c r="BH40" s="592"/>
      <c r="BI40" s="592"/>
      <c r="BJ40" s="592"/>
      <c r="BK40" s="592"/>
      <c r="BL40" s="542"/>
      <c r="BM40" s="543"/>
      <c r="BN40" s="541"/>
      <c r="BO40" s="544"/>
    </row>
    <row r="41" spans="1:67" ht="14.25" thickTop="1" thickBot="1">
      <c r="A41" s="325"/>
      <c r="B41" s="326"/>
      <c r="C41" s="326"/>
      <c r="D41" s="444"/>
      <c r="E41" s="444"/>
      <c r="F41" s="326"/>
      <c r="G41" s="446">
        <f t="shared" si="23"/>
        <v>0.9351979819499</v>
      </c>
      <c r="H41" s="445">
        <f>+P41/L41</f>
        <v>0.88952504422915235</v>
      </c>
      <c r="I41" s="445">
        <f t="shared" si="25"/>
        <v>0.97822185542295248</v>
      </c>
      <c r="J41" s="448">
        <f t="shared" si="26"/>
        <v>0.87015283921102526</v>
      </c>
      <c r="K41" s="455"/>
      <c r="L41" s="333">
        <f>SUM(L9:L39)</f>
        <v>1633.3762713326232</v>
      </c>
      <c r="M41" s="327"/>
      <c r="N41" s="333">
        <f>SUM(N9:N39)</f>
        <v>1553.6058974064758</v>
      </c>
      <c r="O41" s="327"/>
      <c r="P41" s="327">
        <f>SUM(P9:P39)</f>
        <v>1452.9290999999996</v>
      </c>
      <c r="Q41" s="327"/>
      <c r="R41" s="327">
        <f>SUM(R9:R39)</f>
        <v>1421.287</v>
      </c>
      <c r="S41" s="327"/>
      <c r="T41" s="328">
        <f>R41/P41</f>
        <v>0.97822185542295248</v>
      </c>
      <c r="U41" s="329"/>
      <c r="V41" s="330">
        <f>(R41/L41)</f>
        <v>0.87015283921102526</v>
      </c>
      <c r="W41" s="331"/>
      <c r="X41" s="329"/>
      <c r="Y41" s="329">
        <f>Y38+X41</f>
        <v>0</v>
      </c>
      <c r="Z41" s="332">
        <f>IF(AND(R41&gt;0,X41&gt;0),X41/R41*1000,0)</f>
        <v>0</v>
      </c>
      <c r="AA41" s="329">
        <f>IF(AND(S41&gt;0,Y41&gt;0),Y41/S41*1000,0)</f>
        <v>0</v>
      </c>
      <c r="AB41" s="333">
        <f>SUM(AB9:AB39)</f>
        <v>142841.61691728342</v>
      </c>
      <c r="AC41" s="333"/>
      <c r="AD41" s="334">
        <f>AB41/P41</f>
        <v>98.312861183166788</v>
      </c>
      <c r="AE41" s="334"/>
      <c r="AF41" s="335">
        <f>AB41/R41</f>
        <v>100.50159954835541</v>
      </c>
      <c r="AG41" s="334"/>
      <c r="AH41" s="329">
        <f>SUM(AH9:AH40)</f>
        <v>2041.1000000000004</v>
      </c>
      <c r="AI41" s="329"/>
      <c r="AJ41" s="336">
        <f>AH41/P41</f>
        <v>1.4048173444939611</v>
      </c>
      <c r="AK41" s="336"/>
      <c r="AL41" s="337">
        <f>AH41/R41</f>
        <v>1.4360927806980577</v>
      </c>
      <c r="AM41" s="336"/>
      <c r="AN41" s="329">
        <f>SUM(AN9:AN40)</f>
        <v>0</v>
      </c>
      <c r="AO41" s="329"/>
      <c r="AP41" s="336">
        <f>AN41/P41</f>
        <v>0</v>
      </c>
      <c r="AQ41" s="336"/>
      <c r="AR41" s="337">
        <f>AN41/R41</f>
        <v>0</v>
      </c>
      <c r="AS41" s="336"/>
      <c r="AT41" s="329">
        <f>SUM(AT9:AT39)</f>
        <v>1213684.74</v>
      </c>
      <c r="AU41" s="329"/>
      <c r="AV41" s="336">
        <f>AT41/P41</f>
        <v>835.33652123837305</v>
      </c>
      <c r="AW41" s="336"/>
      <c r="AX41" s="336">
        <f>AT41/R41</f>
        <v>853.93361087521373</v>
      </c>
      <c r="AY41" s="336"/>
      <c r="AZ41" s="329">
        <f>SUM(AZ9:AZ39)</f>
        <v>727485.28699999966</v>
      </c>
      <c r="BA41" s="329"/>
      <c r="BB41" s="336">
        <f>AZ41/V41</f>
        <v>836043.11129940872</v>
      </c>
      <c r="BC41" s="336"/>
      <c r="BD41" s="336">
        <f>AZ41/R41</f>
        <v>511.84967357050311</v>
      </c>
      <c r="BE41" s="336"/>
      <c r="BF41" s="593">
        <f>SUM(BF9:BF39)</f>
        <v>0</v>
      </c>
      <c r="BG41" s="593"/>
      <c r="BH41" s="594" t="e">
        <f>BF41/X41</f>
        <v>#DIV/0!</v>
      </c>
      <c r="BI41" s="594"/>
      <c r="BJ41" s="594" t="e">
        <f>BF41/Z41</f>
        <v>#DIV/0!</v>
      </c>
      <c r="BK41" s="594"/>
      <c r="BL41" s="545">
        <f>SUM(BL9:BL39)</f>
        <v>1606.7905621826233</v>
      </c>
      <c r="BM41" s="546"/>
      <c r="BN41" s="541">
        <f>+R41/BL41</f>
        <v>0.88455025406009358</v>
      </c>
      <c r="BO41" s="544"/>
    </row>
    <row r="42" spans="1:67" ht="13.5" thickTop="1">
      <c r="S42" s="288"/>
      <c r="T42" s="288"/>
      <c r="U42" s="288"/>
      <c r="X42" s="288"/>
      <c r="Z42" s="288"/>
      <c r="AA42" s="288"/>
      <c r="AH42" s="288"/>
      <c r="AI42" s="288"/>
      <c r="AL42" s="288"/>
      <c r="AT42" s="288"/>
      <c r="AU42" s="288"/>
      <c r="BF42" s="288"/>
      <c r="BG42" s="288"/>
    </row>
    <row r="43" spans="1:67">
      <c r="S43" s="288"/>
      <c r="T43" s="288"/>
      <c r="U43" s="288"/>
      <c r="X43" s="288"/>
      <c r="Z43" s="288"/>
      <c r="AA43" s="288"/>
      <c r="AH43" s="288"/>
      <c r="AI43" s="288"/>
      <c r="AL43" s="288"/>
      <c r="AT43" s="288"/>
      <c r="AU43" s="288"/>
      <c r="BF43" s="288"/>
      <c r="BG43" s="288"/>
    </row>
    <row r="44" spans="1:67">
      <c r="S44" s="288"/>
      <c r="T44" s="288"/>
      <c r="U44" s="288"/>
      <c r="X44" s="288"/>
      <c r="Z44" s="288"/>
      <c r="AA44" s="288"/>
      <c r="AG44" s="338"/>
      <c r="AH44" s="288"/>
      <c r="AI44" s="288"/>
      <c r="AL44" s="288"/>
      <c r="AT44" s="288"/>
      <c r="AU44" s="288"/>
      <c r="BF44" s="288"/>
      <c r="BG44" s="288"/>
    </row>
    <row r="45" spans="1:67">
      <c r="R45" s="339"/>
      <c r="S45" s="340"/>
      <c r="T45" s="340"/>
      <c r="U45" s="340"/>
      <c r="V45" s="341"/>
      <c r="W45" s="342"/>
      <c r="AG45" s="338"/>
    </row>
    <row r="46" spans="1:67">
      <c r="R46" s="343"/>
      <c r="AG46" s="338"/>
    </row>
    <row r="47" spans="1:67">
      <c r="R47" s="343"/>
      <c r="AG47" s="338"/>
    </row>
    <row r="48" spans="1:67">
      <c r="R48" s="343"/>
      <c r="AG48" s="338"/>
    </row>
    <row r="49" spans="18:67">
      <c r="R49" s="343"/>
      <c r="AG49" s="338"/>
      <c r="BF49"/>
      <c r="BG49"/>
      <c r="BH49"/>
      <c r="BI49"/>
      <c r="BJ49"/>
      <c r="BK49"/>
      <c r="BN49"/>
      <c r="BO49"/>
    </row>
    <row r="50" spans="18:67">
      <c r="R50" s="343"/>
      <c r="AG50" s="338"/>
      <c r="BF50"/>
      <c r="BG50"/>
      <c r="BH50"/>
      <c r="BI50"/>
      <c r="BJ50"/>
      <c r="BK50"/>
      <c r="BN50"/>
      <c r="BO50"/>
    </row>
    <row r="51" spans="18:67">
      <c r="R51" s="343"/>
      <c r="AG51" s="338"/>
      <c r="BF51"/>
      <c r="BG51"/>
      <c r="BH51"/>
      <c r="BI51"/>
      <c r="BJ51"/>
      <c r="BK51"/>
      <c r="BN51"/>
      <c r="BO51"/>
    </row>
    <row r="52" spans="18:67">
      <c r="R52" s="343"/>
      <c r="AG52" s="338"/>
      <c r="BF52"/>
      <c r="BG52"/>
      <c r="BH52"/>
      <c r="BI52"/>
      <c r="BJ52"/>
      <c r="BK52"/>
      <c r="BN52"/>
      <c r="BO52"/>
    </row>
    <row r="53" spans="18:67">
      <c r="R53" s="343"/>
      <c r="AG53" s="338"/>
      <c r="BF53"/>
      <c r="BG53"/>
      <c r="BH53"/>
      <c r="BI53"/>
      <c r="BJ53"/>
      <c r="BK53"/>
      <c r="BN53"/>
      <c r="BO53"/>
    </row>
    <row r="54" spans="18:67">
      <c r="R54" s="343"/>
      <c r="BF54"/>
      <c r="BG54"/>
      <c r="BH54"/>
      <c r="BI54"/>
      <c r="BJ54"/>
      <c r="BK54"/>
      <c r="BN54"/>
      <c r="BO54"/>
    </row>
    <row r="55" spans="18:67">
      <c r="R55" s="343"/>
      <c r="BF55"/>
      <c r="BG55"/>
      <c r="BH55"/>
      <c r="BI55"/>
      <c r="BJ55"/>
      <c r="BK55"/>
      <c r="BN55"/>
      <c r="BO55"/>
    </row>
    <row r="56" spans="18:67">
      <c r="R56" s="343"/>
      <c r="BF56"/>
      <c r="BG56"/>
      <c r="BH56"/>
      <c r="BI56"/>
      <c r="BJ56"/>
      <c r="BK56"/>
      <c r="BN56"/>
      <c r="BO56"/>
    </row>
    <row r="57" spans="18:67">
      <c r="R57" s="343"/>
      <c r="BF57"/>
      <c r="BG57"/>
      <c r="BH57"/>
      <c r="BI57"/>
      <c r="BJ57"/>
      <c r="BK57"/>
      <c r="BN57"/>
      <c r="BO57"/>
    </row>
    <row r="58" spans="18:67">
      <c r="R58" s="343"/>
      <c r="BF58"/>
      <c r="BG58"/>
      <c r="BH58"/>
      <c r="BI58"/>
      <c r="BJ58"/>
      <c r="BK58"/>
      <c r="BN58"/>
      <c r="BO58"/>
    </row>
    <row r="59" spans="18:67">
      <c r="R59" s="343"/>
      <c r="BF59"/>
      <c r="BG59"/>
      <c r="BH59"/>
      <c r="BI59"/>
      <c r="BJ59"/>
      <c r="BK59"/>
      <c r="BN59"/>
      <c r="BO59"/>
    </row>
    <row r="60" spans="18:67">
      <c r="BF60"/>
      <c r="BG60"/>
      <c r="BH60"/>
      <c r="BI60"/>
      <c r="BJ60"/>
      <c r="BK60"/>
      <c r="BN60"/>
      <c r="BO60"/>
    </row>
    <row r="65536" spans="3:65">
      <c r="C65536" s="344"/>
      <c r="BF65536"/>
      <c r="BG65536"/>
      <c r="BH65536"/>
      <c r="BI65536"/>
      <c r="BJ65536"/>
      <c r="BK65536"/>
      <c r="BL65536"/>
      <c r="BM65536"/>
    </row>
  </sheetData>
  <mergeCells count="45">
    <mergeCell ref="AP7:AQ7"/>
    <mergeCell ref="AJ7:AK7"/>
    <mergeCell ref="L6:M7"/>
    <mergeCell ref="A6:A8"/>
    <mergeCell ref="B6:B8"/>
    <mergeCell ref="C6:C8"/>
    <mergeCell ref="D6:D8"/>
    <mergeCell ref="J6:K7"/>
    <mergeCell ref="E6:E8"/>
    <mergeCell ref="F6:F8"/>
    <mergeCell ref="G6:G8"/>
    <mergeCell ref="H6:H8"/>
    <mergeCell ref="I6:I8"/>
    <mergeCell ref="BN6:BO7"/>
    <mergeCell ref="N6:O7"/>
    <mergeCell ref="AH6:AM6"/>
    <mergeCell ref="BB7:BC7"/>
    <mergeCell ref="BD7:BE7"/>
    <mergeCell ref="AB6:AG6"/>
    <mergeCell ref="AR7:AS7"/>
    <mergeCell ref="AZ6:BE6"/>
    <mergeCell ref="AZ7:BA7"/>
    <mergeCell ref="AD7:AE7"/>
    <mergeCell ref="AT6:AY6"/>
    <mergeCell ref="AF7:AG7"/>
    <mergeCell ref="AX7:AY7"/>
    <mergeCell ref="AT7:AU7"/>
    <mergeCell ref="AL7:AM7"/>
    <mergeCell ref="AN7:AO7"/>
    <mergeCell ref="BL6:BM7"/>
    <mergeCell ref="P6:Q7"/>
    <mergeCell ref="R6:S7"/>
    <mergeCell ref="X7:Y7"/>
    <mergeCell ref="AB7:AC7"/>
    <mergeCell ref="T6:U7"/>
    <mergeCell ref="V6:W7"/>
    <mergeCell ref="X6:AA6"/>
    <mergeCell ref="Z7:AA7"/>
    <mergeCell ref="BF6:BK6"/>
    <mergeCell ref="BF7:BG7"/>
    <mergeCell ref="BH7:BI7"/>
    <mergeCell ref="BJ7:BK7"/>
    <mergeCell ref="AN6:AS6"/>
    <mergeCell ref="AV7:AW7"/>
    <mergeCell ref="AH7:AI7"/>
  </mergeCells>
  <phoneticPr fontId="31" type="noConversion"/>
  <pageMargins left="7.3611111111111113E-2" right="7.3611111111111113E-2" top="0.97847222222222219" bottom="0.70972222222222225" header="0" footer="0"/>
  <pageSetup paperSize="9" scale="78" firstPageNumber="4294963191" fitToWidth="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2.7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Z45"/>
  <sheetViews>
    <sheetView zoomScaleNormal="100" workbookViewId="0">
      <pane xSplit="3" ySplit="6" topLeftCell="D7" activePane="bottomRight" state="frozen"/>
      <selection pane="topRight" activeCell="D1" sqref="D1"/>
      <selection pane="bottomLeft" activeCell="A7" sqref="A7"/>
      <selection pane="bottomRight" activeCell="H22" sqref="H22"/>
    </sheetView>
  </sheetViews>
  <sheetFormatPr defaultColWidth="9.140625" defaultRowHeight="12.75"/>
  <cols>
    <col min="1" max="3" width="10.85546875" customWidth="1"/>
    <col min="4" max="4" width="12.85546875" bestFit="1" customWidth="1"/>
    <col min="5" max="5" width="13.28515625" bestFit="1" customWidth="1"/>
    <col min="6" max="6" width="14.5703125" bestFit="1" customWidth="1"/>
    <col min="7" max="7" width="15.5703125" bestFit="1" customWidth="1"/>
    <col min="8" max="9" width="12.85546875" customWidth="1"/>
    <col min="10" max="10" width="11.5703125" customWidth="1"/>
    <col min="11" max="11" width="12" customWidth="1"/>
    <col min="12" max="12" width="12.28515625" customWidth="1"/>
    <col min="13" max="13" width="13" customWidth="1"/>
    <col min="14" max="15" width="11" customWidth="1"/>
    <col min="16" max="16" width="13.85546875" bestFit="1" customWidth="1"/>
    <col min="17" max="18" width="10.85546875" bestFit="1" customWidth="1"/>
    <col min="19" max="21" width="10.85546875" customWidth="1"/>
    <col min="24" max="24" width="39" bestFit="1" customWidth="1"/>
  </cols>
  <sheetData>
    <row r="2" spans="1:26" ht="24.75" customHeight="1">
      <c r="A2" s="629" t="s">
        <v>22</v>
      </c>
      <c r="B2" s="629"/>
      <c r="C2" s="629"/>
      <c r="D2" s="629"/>
      <c r="E2" s="629"/>
      <c r="F2" s="629"/>
      <c r="G2" s="629"/>
      <c r="H2" s="629"/>
      <c r="I2" s="629"/>
      <c r="J2" s="629"/>
      <c r="K2" s="629"/>
      <c r="L2" s="629"/>
      <c r="M2" s="629"/>
      <c r="N2" s="629"/>
      <c r="O2" s="629"/>
      <c r="P2" s="629"/>
      <c r="Q2" s="345"/>
      <c r="R2" s="345"/>
      <c r="S2" s="345"/>
      <c r="T2" s="345"/>
      <c r="U2" s="345"/>
      <c r="V2" s="345"/>
      <c r="W2" s="345"/>
      <c r="X2" s="345"/>
    </row>
    <row r="3" spans="1:26" ht="12.75" customHeight="1">
      <c r="A3" s="567"/>
      <c r="B3" s="567"/>
      <c r="C3" s="567"/>
      <c r="D3" s="568"/>
      <c r="E3" s="568"/>
      <c r="F3" s="568"/>
      <c r="G3" s="569"/>
      <c r="H3" s="568"/>
      <c r="I3" s="570"/>
      <c r="J3" s="570"/>
      <c r="K3" s="570"/>
      <c r="L3" s="568"/>
      <c r="M3" s="570"/>
      <c r="N3" s="348"/>
      <c r="O3" s="348"/>
      <c r="P3" s="348"/>
      <c r="Q3" s="6"/>
      <c r="R3" s="6"/>
      <c r="V3" s="345"/>
      <c r="W3" s="345"/>
      <c r="X3" s="345"/>
    </row>
    <row r="4" spans="1:26">
      <c r="A4" s="650" t="s">
        <v>9</v>
      </c>
      <c r="B4" s="653" t="s">
        <v>23</v>
      </c>
      <c r="C4" s="653" t="s">
        <v>24</v>
      </c>
      <c r="D4" s="630"/>
      <c r="E4" s="631"/>
      <c r="F4" s="631"/>
      <c r="G4" s="631"/>
      <c r="H4" s="631"/>
      <c r="I4" s="631"/>
      <c r="J4" s="631"/>
      <c r="K4" s="631"/>
      <c r="L4" s="631"/>
      <c r="M4" s="631"/>
      <c r="N4" s="631"/>
      <c r="O4" s="631"/>
      <c r="P4" s="632" t="s">
        <v>383</v>
      </c>
      <c r="Q4" s="633"/>
      <c r="R4" s="634"/>
      <c r="S4" s="638" t="s">
        <v>394</v>
      </c>
      <c r="T4" s="639"/>
      <c r="U4" s="640"/>
    </row>
    <row r="5" spans="1:26" ht="14.25" customHeight="1">
      <c r="A5" s="651"/>
      <c r="B5" s="654"/>
      <c r="C5" s="654"/>
      <c r="D5" s="656" t="s">
        <v>395</v>
      </c>
      <c r="E5" s="657"/>
      <c r="F5" s="657"/>
      <c r="G5" s="658"/>
      <c r="H5" s="644" t="s">
        <v>396</v>
      </c>
      <c r="I5" s="645"/>
      <c r="J5" s="645"/>
      <c r="K5" s="646"/>
      <c r="L5" s="647" t="s">
        <v>397</v>
      </c>
      <c r="M5" s="648"/>
      <c r="N5" s="648"/>
      <c r="O5" s="649"/>
      <c r="P5" s="635"/>
      <c r="Q5" s="636"/>
      <c r="R5" s="637"/>
      <c r="S5" s="641"/>
      <c r="T5" s="642"/>
      <c r="U5" s="643"/>
    </row>
    <row r="6" spans="1:26" ht="14.25" customHeight="1">
      <c r="A6" s="652"/>
      <c r="B6" s="655"/>
      <c r="C6" s="655"/>
      <c r="D6" s="565" t="s">
        <v>25</v>
      </c>
      <c r="E6" s="416" t="s">
        <v>26</v>
      </c>
      <c r="F6" s="417" t="s">
        <v>27</v>
      </c>
      <c r="G6" s="417" t="s">
        <v>28</v>
      </c>
      <c r="H6" s="566" t="s">
        <v>25</v>
      </c>
      <c r="I6" s="418" t="s">
        <v>26</v>
      </c>
      <c r="J6" s="419" t="s">
        <v>27</v>
      </c>
      <c r="K6" s="419" t="s">
        <v>28</v>
      </c>
      <c r="L6" s="564" t="s">
        <v>25</v>
      </c>
      <c r="M6" s="420" t="s">
        <v>26</v>
      </c>
      <c r="N6" s="421" t="s">
        <v>27</v>
      </c>
      <c r="O6" s="421" t="s">
        <v>28</v>
      </c>
      <c r="P6" s="422" t="s">
        <v>26</v>
      </c>
      <c r="Q6" s="423" t="s">
        <v>27</v>
      </c>
      <c r="R6" s="423" t="s">
        <v>28</v>
      </c>
      <c r="S6" s="571" t="s">
        <v>26</v>
      </c>
      <c r="T6" s="571" t="s">
        <v>27</v>
      </c>
      <c r="U6" s="571" t="s">
        <v>28</v>
      </c>
      <c r="W6" s="408"/>
    </row>
    <row r="7" spans="1:26">
      <c r="A7" s="350">
        <v>46081</v>
      </c>
      <c r="B7" s="351">
        <v>0</v>
      </c>
      <c r="C7" s="351">
        <v>0</v>
      </c>
      <c r="D7" s="101"/>
      <c r="E7" s="101"/>
      <c r="F7" s="101"/>
      <c r="G7" s="101"/>
      <c r="H7" s="101"/>
      <c r="I7" s="101"/>
      <c r="J7" s="101"/>
      <c r="K7" s="101"/>
      <c r="L7" s="101"/>
      <c r="M7" s="101"/>
      <c r="N7" s="101"/>
      <c r="O7" s="101"/>
      <c r="P7" s="353"/>
      <c r="Q7" s="101"/>
      <c r="R7" s="101"/>
      <c r="S7" s="101"/>
      <c r="T7" s="101"/>
      <c r="U7" s="101"/>
    </row>
    <row r="8" spans="1:26" ht="15">
      <c r="A8" s="350">
        <v>46082</v>
      </c>
      <c r="B8" s="356">
        <f>+Report1!P9</f>
        <v>39.513000000000005</v>
      </c>
      <c r="C8" s="356">
        <f>+Report1!R9</f>
        <v>35.520000000000003</v>
      </c>
      <c r="D8" s="357">
        <f t="shared" ref="D8:D38" si="0">+D7+E8</f>
        <v>25595.45</v>
      </c>
      <c r="E8" s="357">
        <f>+[3]Dailymar!AL7</f>
        <v>25595.45</v>
      </c>
      <c r="F8" s="357">
        <f t="shared" ref="F8:F38" si="1">E8/B8</f>
        <v>647.77288487333271</v>
      </c>
      <c r="G8" s="357">
        <f t="shared" ref="G8:G38" si="2">E8/C8</f>
        <v>720.59262387387378</v>
      </c>
      <c r="H8" s="357">
        <f t="shared" ref="H8:H38" si="3">+H7+I8</f>
        <v>10435.450000000001</v>
      </c>
      <c r="I8" s="357">
        <f>+[3]Dailymar!AM7</f>
        <v>10435.450000000001</v>
      </c>
      <c r="J8" s="357">
        <f t="shared" ref="J8:J38" si="4">I8/B8</f>
        <v>264.10168805203347</v>
      </c>
      <c r="K8" s="357">
        <f t="shared" ref="K8:K38" si="5">I8/C8</f>
        <v>293.79082207207205</v>
      </c>
      <c r="L8" s="357">
        <f t="shared" ref="L8:L38" si="6">+L7+M8</f>
        <v>649.99999999997726</v>
      </c>
      <c r="M8" s="357">
        <f>+[3]Dailymar!AN7</f>
        <v>649.99999999997726</v>
      </c>
      <c r="N8" s="357">
        <f t="shared" ref="N8:N38" si="7">M8/B8</f>
        <v>16.450282185609222</v>
      </c>
      <c r="O8" s="357">
        <f t="shared" ref="O8:O38" si="8">M8/C8</f>
        <v>18.299549549548907</v>
      </c>
      <c r="P8" s="357">
        <f t="shared" ref="P8:P38" si="9">+E8+I8+M8</f>
        <v>36680.89999999998</v>
      </c>
      <c r="Q8" s="7">
        <f t="shared" ref="Q8:Q38" si="10">P8/B8</f>
        <v>928.32485511097548</v>
      </c>
      <c r="R8" s="355">
        <f t="shared" ref="R8:R38" si="11">P8/C8</f>
        <v>1032.6829954954949</v>
      </c>
      <c r="S8" s="357">
        <f>+[3]Dailymar!BM7</f>
        <v>15252.600000000004</v>
      </c>
      <c r="T8" s="7">
        <f t="shared" ref="T8:T40" si="12">S8/B8</f>
        <v>386.01472932958779</v>
      </c>
      <c r="U8" s="6">
        <f t="shared" ref="U8:U40" si="13">S8/C8</f>
        <v>429.40878378378386</v>
      </c>
      <c r="Y8" s="425" t="s">
        <v>183</v>
      </c>
      <c r="Z8" s="425" t="s">
        <v>184</v>
      </c>
    </row>
    <row r="9" spans="1:26" ht="15">
      <c r="A9" s="350">
        <v>46083</v>
      </c>
      <c r="B9" s="356">
        <f>+Report1!P10</f>
        <v>24.8813</v>
      </c>
      <c r="C9" s="356">
        <f>+Report1!R10</f>
        <v>28.408000000000001</v>
      </c>
      <c r="D9" s="357">
        <f t="shared" ref="D9" si="14">+D8+E9</f>
        <v>44261.3</v>
      </c>
      <c r="E9" s="357">
        <f>+[3]Dailymar!AL8</f>
        <v>18665.849999999999</v>
      </c>
      <c r="F9" s="357">
        <f t="shared" ref="F9" si="15">E9/B9</f>
        <v>750.19593027695498</v>
      </c>
      <c r="G9" s="357">
        <f t="shared" ref="G9" si="16">E9/C9</f>
        <v>657.063151225007</v>
      </c>
      <c r="H9" s="357">
        <f t="shared" ref="H9" si="17">+H8+I9</f>
        <v>19941.300000000003</v>
      </c>
      <c r="I9" s="357">
        <f>+[3]Dailymar!AM8</f>
        <v>9505.85</v>
      </c>
      <c r="J9" s="357">
        <f t="shared" ref="J9" si="18">I9/B9</f>
        <v>382.04796373179857</v>
      </c>
      <c r="K9" s="357">
        <f t="shared" ref="K9" si="19">I9/C9</f>
        <v>334.61876936074344</v>
      </c>
      <c r="L9" s="357">
        <f t="shared" ref="L9" si="20">+L8+M9</f>
        <v>1049.9999999999545</v>
      </c>
      <c r="M9" s="357">
        <f>+[3]Dailymar!AN8</f>
        <v>399.99999999997726</v>
      </c>
      <c r="N9" s="357">
        <f t="shared" ref="N9" si="21">M9/B9</f>
        <v>16.076330416818145</v>
      </c>
      <c r="O9" s="357">
        <f t="shared" ref="O9" si="22">M9/C9</f>
        <v>14.080540692761801</v>
      </c>
      <c r="P9" s="357">
        <f t="shared" ref="P9" si="23">+E9+I9+M9</f>
        <v>28571.699999999975</v>
      </c>
      <c r="Q9" s="7">
        <f t="shared" ref="Q9" si="24">P9/B9</f>
        <v>1148.3202244255717</v>
      </c>
      <c r="R9" s="355">
        <f t="shared" ref="R9" si="25">P9/C9</f>
        <v>1005.7624612785122</v>
      </c>
      <c r="S9" s="357">
        <f>+[3]Dailymar!BM8</f>
        <v>16604</v>
      </c>
      <c r="T9" s="7">
        <f t="shared" ref="T9" si="26">S9/B9</f>
        <v>667.32847560215907</v>
      </c>
      <c r="U9" s="6">
        <f t="shared" ref="U9" si="27">S9/C9</f>
        <v>584.48324415657555</v>
      </c>
      <c r="Y9" s="425" t="s">
        <v>183</v>
      </c>
      <c r="Z9" s="425" t="s">
        <v>184</v>
      </c>
    </row>
    <row r="10" spans="1:26" ht="15">
      <c r="A10" s="350">
        <v>46084</v>
      </c>
      <c r="B10" s="356">
        <f>+Report1!P11</f>
        <v>43.93</v>
      </c>
      <c r="C10" s="356">
        <f>+Report1!R11</f>
        <v>40.793999999999997</v>
      </c>
      <c r="D10" s="357">
        <f t="shared" ref="D10" si="28">+D9+E10</f>
        <v>72669.790000000008</v>
      </c>
      <c r="E10" s="357">
        <f>+[3]Dailymar!AL9</f>
        <v>28408.49</v>
      </c>
      <c r="F10" s="357">
        <f t="shared" ref="F10" si="29">E10/B10</f>
        <v>646.67630320965179</v>
      </c>
      <c r="G10" s="357">
        <f t="shared" ref="G10" si="30">E10/C10</f>
        <v>696.38892974457042</v>
      </c>
      <c r="H10" s="357">
        <f t="shared" ref="H10" si="31">+H9+I10</f>
        <v>30189.79</v>
      </c>
      <c r="I10" s="357">
        <f>+[3]Dailymar!AM9</f>
        <v>10248.49</v>
      </c>
      <c r="J10" s="357">
        <f t="shared" ref="J10" si="32">I10/B10</f>
        <v>233.29137263828818</v>
      </c>
      <c r="K10" s="357">
        <f t="shared" ref="K10" si="33">I10/C10</f>
        <v>251.22542530764329</v>
      </c>
      <c r="L10" s="357">
        <f t="shared" ref="L10" si="34">+L9+M10</f>
        <v>1529.9999999999727</v>
      </c>
      <c r="M10" s="357">
        <f>+[3]Dailymar!AN9</f>
        <v>480.00000000001819</v>
      </c>
      <c r="N10" s="357">
        <f t="shared" ref="N10" si="35">M10/B10</f>
        <v>10.92647393580738</v>
      </c>
      <c r="O10" s="357">
        <f t="shared" ref="O10" si="36">M10/C10</f>
        <v>11.766436240624069</v>
      </c>
      <c r="P10" s="357">
        <f t="shared" ref="P10" si="37">+E10+I10+M10</f>
        <v>39136.980000000025</v>
      </c>
      <c r="Q10" s="7">
        <f t="shared" ref="Q10" si="38">P10/B10</f>
        <v>890.89414978374748</v>
      </c>
      <c r="R10" s="355">
        <f t="shared" ref="R10" si="39">P10/C10</f>
        <v>959.3807912928379</v>
      </c>
      <c r="S10" s="357">
        <f>+[3]Dailymar!BM9</f>
        <v>18999.000000000004</v>
      </c>
      <c r="T10" s="7">
        <f t="shared" ref="T10" si="40">S10/B10</f>
        <v>432.48349647165952</v>
      </c>
      <c r="U10" s="6">
        <f t="shared" ref="U10" si="41">S10/C10</f>
        <v>465.7302544491838</v>
      </c>
      <c r="Y10" s="425" t="s">
        <v>183</v>
      </c>
      <c r="Z10" s="425" t="s">
        <v>184</v>
      </c>
    </row>
    <row r="11" spans="1:26" ht="15">
      <c r="A11" s="350">
        <v>46085</v>
      </c>
      <c r="B11" s="356">
        <f>+Report1!P12</f>
        <v>38.302</v>
      </c>
      <c r="C11" s="356">
        <f>+Report1!R12</f>
        <v>38.091999999999999</v>
      </c>
      <c r="D11" s="357">
        <f t="shared" ref="D11" si="42">+D10+E11</f>
        <v>96751.47</v>
      </c>
      <c r="E11" s="357">
        <f>+[3]Dailymar!AL10</f>
        <v>24081.68</v>
      </c>
      <c r="F11" s="357">
        <f t="shared" ref="F11" si="43">E11/B11</f>
        <v>628.73165892120517</v>
      </c>
      <c r="G11" s="357">
        <f t="shared" ref="G11" si="44">E11/C11</f>
        <v>632.19783681612944</v>
      </c>
      <c r="H11" s="357">
        <f t="shared" ref="H11" si="45">+H10+I11</f>
        <v>40111.47</v>
      </c>
      <c r="I11" s="357">
        <f>+[3]Dailymar!AM10</f>
        <v>9921.68</v>
      </c>
      <c r="J11" s="357">
        <f t="shared" ref="J11" si="46">I11/B11</f>
        <v>259.03817033053105</v>
      </c>
      <c r="K11" s="357">
        <f t="shared" ref="K11" si="47">I11/C11</f>
        <v>260.46623963036859</v>
      </c>
      <c r="L11" s="357">
        <f t="shared" ref="L11" si="48">+L10+M11</f>
        <v>2189.9999999999409</v>
      </c>
      <c r="M11" s="357">
        <f>+[3]Dailymar!AN10</f>
        <v>659.99999999996817</v>
      </c>
      <c r="N11" s="357">
        <f t="shared" ref="N11" si="49">M11/B11</f>
        <v>17.231476163123808</v>
      </c>
      <c r="O11" s="357">
        <f t="shared" ref="O11" si="50">M11/C11</f>
        <v>17.32647275018293</v>
      </c>
      <c r="P11" s="357">
        <f t="shared" ref="P11" si="51">+E11+I11+M11</f>
        <v>34663.359999999971</v>
      </c>
      <c r="Q11" s="7">
        <f t="shared" ref="Q11" si="52">P11/B11</f>
        <v>905.0013054148601</v>
      </c>
      <c r="R11" s="355">
        <f t="shared" ref="R11" si="53">P11/C11</f>
        <v>909.99054919668094</v>
      </c>
      <c r="S11" s="357">
        <f>+[3]Dailymar!BM10</f>
        <v>20677.899000000358</v>
      </c>
      <c r="T11" s="7">
        <f t="shared" ref="T11" si="54">S11/B11</f>
        <v>539.86473291212883</v>
      </c>
      <c r="U11" s="6">
        <f t="shared" ref="U11" si="55">S11/C11</f>
        <v>542.84099023417934</v>
      </c>
      <c r="Y11" s="425" t="s">
        <v>183</v>
      </c>
      <c r="Z11" s="425" t="s">
        <v>184</v>
      </c>
    </row>
    <row r="12" spans="1:26" ht="15">
      <c r="A12" s="350">
        <v>46086</v>
      </c>
      <c r="B12" s="356">
        <f>+Report1!P13</f>
        <v>42.480000000000004</v>
      </c>
      <c r="C12" s="356">
        <f>+Report1!R13</f>
        <v>43.31</v>
      </c>
      <c r="D12" s="357">
        <f t="shared" ref="D12" si="56">+D11+E12</f>
        <v>123480.18</v>
      </c>
      <c r="E12" s="357">
        <f>+[3]Dailymar!AL11</f>
        <v>26728.71</v>
      </c>
      <c r="F12" s="357">
        <f t="shared" ref="F12" si="57">E12/B12</f>
        <v>629.20692090395471</v>
      </c>
      <c r="G12" s="357">
        <f t="shared" ref="G12" si="58">E12/C12</f>
        <v>617.14869545139686</v>
      </c>
      <c r="H12" s="357">
        <f t="shared" ref="H12" si="59">+H11+I12</f>
        <v>51680.18</v>
      </c>
      <c r="I12" s="357">
        <f>+[3]Dailymar!AM11</f>
        <v>11568.71</v>
      </c>
      <c r="J12" s="357">
        <f t="shared" ref="J12" si="60">I12/B12</f>
        <v>272.33309792843687</v>
      </c>
      <c r="K12" s="357">
        <f t="shared" ref="K12" si="61">I12/C12</f>
        <v>267.1140614176864</v>
      </c>
      <c r="L12" s="357">
        <f t="shared" ref="L12" si="62">+L11+M12</f>
        <v>2949.9999999999318</v>
      </c>
      <c r="M12" s="357">
        <f>+[3]Dailymar!AN11</f>
        <v>759.99999999999091</v>
      </c>
      <c r="N12" s="357">
        <f t="shared" ref="N12" si="63">M12/B12</f>
        <v>17.890772128060046</v>
      </c>
      <c r="O12" s="357">
        <f t="shared" ref="O12" si="64">M12/C12</f>
        <v>17.54791041329926</v>
      </c>
      <c r="P12" s="357">
        <f t="shared" ref="P12" si="65">+E12+I12+M12</f>
        <v>39057.419999999991</v>
      </c>
      <c r="Q12" s="7">
        <f t="shared" ref="Q12" si="66">P12/B12</f>
        <v>919.43079096045165</v>
      </c>
      <c r="R12" s="355">
        <f t="shared" ref="R12" si="67">P12/C12</f>
        <v>901.81066728238261</v>
      </c>
      <c r="S12" s="357">
        <f>+[3]Dailymar!BM11</f>
        <v>20494.484999999764</v>
      </c>
      <c r="T12" s="7">
        <f t="shared" ref="T12" si="68">S12/B12</f>
        <v>482.45021186440118</v>
      </c>
      <c r="U12" s="6">
        <f t="shared" ref="U12" si="69">S12/C12</f>
        <v>473.20445624566526</v>
      </c>
      <c r="Y12" s="425" t="s">
        <v>183</v>
      </c>
      <c r="Z12" s="425" t="s">
        <v>184</v>
      </c>
    </row>
    <row r="13" spans="1:26" ht="15">
      <c r="A13" s="350">
        <v>46087</v>
      </c>
      <c r="B13" s="356">
        <f>+Report1!P14</f>
        <v>26.557000000000002</v>
      </c>
      <c r="C13" s="356">
        <f>+Report1!R14</f>
        <v>26.603000000000002</v>
      </c>
      <c r="D13" s="357">
        <f t="shared" ref="D13" si="70">+D12+E13</f>
        <v>141284.69</v>
      </c>
      <c r="E13" s="357">
        <f>+[3]Dailymar!AL12</f>
        <v>17804.510000000002</v>
      </c>
      <c r="F13" s="357">
        <f t="shared" ref="F13" si="71">E13/B13</f>
        <v>670.42625296531992</v>
      </c>
      <c r="G13" s="357">
        <f t="shared" ref="G13" si="72">E13/C13</f>
        <v>669.2669999624103</v>
      </c>
      <c r="H13" s="357">
        <f t="shared" ref="H13" si="73">+H12+I13</f>
        <v>60324.69</v>
      </c>
      <c r="I13" s="357">
        <f>+[3]Dailymar!AM12</f>
        <v>8644.51</v>
      </c>
      <c r="J13" s="357">
        <f t="shared" ref="J13" si="74">I13/B13</f>
        <v>325.50777572768004</v>
      </c>
      <c r="K13" s="357">
        <f t="shared" ref="K13" si="75">I13/C13</f>
        <v>324.94493102281695</v>
      </c>
      <c r="L13" s="357">
        <f t="shared" ref="L13" si="76">+L12+M13</f>
        <v>3409.9999999999682</v>
      </c>
      <c r="M13" s="357">
        <f>+[3]Dailymar!AN12</f>
        <v>460.00000000003638</v>
      </c>
      <c r="N13" s="357">
        <f t="shared" ref="N13" si="77">M13/B13</f>
        <v>17.321233573070614</v>
      </c>
      <c r="O13" s="357">
        <f t="shared" ref="O13" si="78">M13/C13</f>
        <v>17.291282938015875</v>
      </c>
      <c r="P13" s="357">
        <f t="shared" ref="P13" si="79">+E13+I13+M13</f>
        <v>26909.02000000004</v>
      </c>
      <c r="Q13" s="7">
        <f t="shared" ref="Q13" si="80">P13/B13</f>
        <v>1013.2552622660706</v>
      </c>
      <c r="R13" s="355">
        <f t="shared" ref="R13" si="81">P13/C13</f>
        <v>1011.5032139232432</v>
      </c>
      <c r="S13" s="357">
        <f>+[3]Dailymar!BM12</f>
        <v>17410.492000000319</v>
      </c>
      <c r="T13" s="7">
        <f t="shared" ref="T13" si="82">S13/B13</f>
        <v>655.5895620740414</v>
      </c>
      <c r="U13" s="6">
        <f t="shared" ref="U13" si="83">S13/C13</f>
        <v>654.45596361313824</v>
      </c>
      <c r="Y13" s="425" t="s">
        <v>183</v>
      </c>
      <c r="Z13" s="425" t="s">
        <v>184</v>
      </c>
    </row>
    <row r="14" spans="1:26" ht="15">
      <c r="A14" s="350">
        <v>46088</v>
      </c>
      <c r="B14" s="356">
        <f>+Report1!P15</f>
        <v>37.051000000000002</v>
      </c>
      <c r="C14" s="356">
        <f>+Report1!R15</f>
        <v>31.99</v>
      </c>
      <c r="D14" s="357">
        <f t="shared" si="0"/>
        <v>161024.20000000001</v>
      </c>
      <c r="E14" s="357">
        <f>+[3]Dailymar!AL13</f>
        <v>19739.509999999998</v>
      </c>
      <c r="F14" s="357">
        <f t="shared" si="1"/>
        <v>532.76591724919695</v>
      </c>
      <c r="G14" s="357">
        <f t="shared" si="2"/>
        <v>617.05251641137852</v>
      </c>
      <c r="H14" s="357">
        <f t="shared" si="3"/>
        <v>68904.2</v>
      </c>
      <c r="I14" s="357">
        <f>+[3]Dailymar!AM13</f>
        <v>8579.51</v>
      </c>
      <c r="J14" s="357">
        <f t="shared" si="4"/>
        <v>231.55947207902619</v>
      </c>
      <c r="K14" s="357">
        <f t="shared" si="5"/>
        <v>268.19349796811508</v>
      </c>
      <c r="L14" s="357">
        <f t="shared" si="6"/>
        <v>3939.9999999999409</v>
      </c>
      <c r="M14" s="357">
        <f>+[3]Dailymar!AN13</f>
        <v>529.99999999997272</v>
      </c>
      <c r="N14" s="357">
        <f t="shared" si="7"/>
        <v>14.304607163098774</v>
      </c>
      <c r="O14" s="357">
        <f t="shared" si="8"/>
        <v>16.567677399186394</v>
      </c>
      <c r="P14" s="357">
        <f t="shared" si="9"/>
        <v>28849.019999999968</v>
      </c>
      <c r="Q14" s="7">
        <f t="shared" si="10"/>
        <v>778.62999649132189</v>
      </c>
      <c r="R14" s="355">
        <f t="shared" si="11"/>
        <v>901.81369177867987</v>
      </c>
      <c r="S14" s="357">
        <f>+[3]Dailymar!BM13</f>
        <v>16581.399999999492</v>
      </c>
      <c r="T14" s="7">
        <f t="shared" si="12"/>
        <v>447.52908153624708</v>
      </c>
      <c r="U14" s="6">
        <f t="shared" si="13"/>
        <v>518.33072835259429</v>
      </c>
      <c r="Y14" s="425" t="s">
        <v>183</v>
      </c>
      <c r="Z14" s="425" t="s">
        <v>184</v>
      </c>
    </row>
    <row r="15" spans="1:26" ht="15">
      <c r="A15" s="350">
        <v>46089</v>
      </c>
      <c r="B15" s="356">
        <f>+Report1!P16</f>
        <v>43.849999999999994</v>
      </c>
      <c r="C15" s="356">
        <f>+Report1!R16</f>
        <v>45.228000000000002</v>
      </c>
      <c r="D15" s="357">
        <f t="shared" si="0"/>
        <v>185007.43000000002</v>
      </c>
      <c r="E15" s="357">
        <f>+[3]Dailymar!AL14</f>
        <v>23983.23</v>
      </c>
      <c r="F15" s="357">
        <f t="shared" si="1"/>
        <v>546.93797035347779</v>
      </c>
      <c r="G15" s="357">
        <f t="shared" si="2"/>
        <v>530.27394534359246</v>
      </c>
      <c r="H15" s="357">
        <f t="shared" si="3"/>
        <v>79727.429999999993</v>
      </c>
      <c r="I15" s="357">
        <f>+[3]Dailymar!AM14</f>
        <v>10823.23</v>
      </c>
      <c r="J15" s="357">
        <f t="shared" si="4"/>
        <v>246.82394526795898</v>
      </c>
      <c r="K15" s="357">
        <f t="shared" si="5"/>
        <v>239.30374988944899</v>
      </c>
      <c r="L15" s="357">
        <f t="shared" si="6"/>
        <v>4710.0000000000364</v>
      </c>
      <c r="M15" s="357">
        <f>+[3]Dailymar!AN14</f>
        <v>770.0000000000955</v>
      </c>
      <c r="N15" s="357">
        <f t="shared" si="7"/>
        <v>17.559863169899558</v>
      </c>
      <c r="O15" s="357">
        <f t="shared" si="8"/>
        <v>17.024851861680716</v>
      </c>
      <c r="P15" s="357">
        <f t="shared" si="9"/>
        <v>35576.460000000094</v>
      </c>
      <c r="Q15" s="7">
        <f t="shared" si="10"/>
        <v>811.32177879133633</v>
      </c>
      <c r="R15" s="355">
        <f t="shared" si="11"/>
        <v>786.60254709472213</v>
      </c>
      <c r="S15" s="357">
        <f>+[3]Dailymar!BM14</f>
        <v>23735.356000000094</v>
      </c>
      <c r="T15" s="7">
        <f t="shared" si="12"/>
        <v>541.28519954390185</v>
      </c>
      <c r="U15" s="6">
        <f t="shared" si="13"/>
        <v>524.79340231715071</v>
      </c>
      <c r="Y15" s="425" t="s">
        <v>183</v>
      </c>
      <c r="Z15" s="425" t="s">
        <v>184</v>
      </c>
    </row>
    <row r="16" spans="1:26" ht="14.25" customHeight="1">
      <c r="A16" s="350">
        <v>46090</v>
      </c>
      <c r="B16" s="356">
        <f>+Report1!P17</f>
        <v>47.119</v>
      </c>
      <c r="C16" s="356">
        <f>+Report1!R17</f>
        <v>47.545999999999999</v>
      </c>
      <c r="D16" s="357">
        <f t="shared" si="0"/>
        <v>213709.98</v>
      </c>
      <c r="E16" s="357">
        <f>+[3]Dailymar!AL15</f>
        <v>28702.55</v>
      </c>
      <c r="F16" s="357">
        <f t="shared" si="1"/>
        <v>609.15023663490308</v>
      </c>
      <c r="G16" s="357">
        <f t="shared" si="2"/>
        <v>603.6795944979599</v>
      </c>
      <c r="H16" s="357">
        <f t="shared" si="3"/>
        <v>91269.98</v>
      </c>
      <c r="I16" s="357">
        <f>+[3]Dailymar!AM15</f>
        <v>11542.55</v>
      </c>
      <c r="J16" s="357">
        <f t="shared" si="4"/>
        <v>244.96593730766782</v>
      </c>
      <c r="K16" s="357">
        <f t="shared" si="5"/>
        <v>242.76595297185881</v>
      </c>
      <c r="L16" s="357">
        <f t="shared" si="6"/>
        <v>5439.9999999999409</v>
      </c>
      <c r="M16" s="357">
        <f>+[3]Dailymar!AN15</f>
        <v>729.9999999999045</v>
      </c>
      <c r="N16" s="357">
        <f t="shared" si="7"/>
        <v>15.492688724291783</v>
      </c>
      <c r="O16" s="357">
        <f t="shared" si="8"/>
        <v>15.353552349301824</v>
      </c>
      <c r="P16" s="357">
        <f t="shared" si="9"/>
        <v>40975.099999999904</v>
      </c>
      <c r="Q16" s="7">
        <f t="shared" si="10"/>
        <v>869.60886266686271</v>
      </c>
      <c r="R16" s="355">
        <f t="shared" si="11"/>
        <v>861.79909981912056</v>
      </c>
      <c r="S16" s="357">
        <f>+[3]Dailymar!BM15</f>
        <v>21141.094000000048</v>
      </c>
      <c r="T16" s="7">
        <f t="shared" si="12"/>
        <v>448.67450497676197</v>
      </c>
      <c r="U16" s="6">
        <f t="shared" si="13"/>
        <v>444.64505952130668</v>
      </c>
      <c r="Y16" s="425" t="s">
        <v>183</v>
      </c>
      <c r="Z16" s="425" t="s">
        <v>184</v>
      </c>
    </row>
    <row r="17" spans="1:26" ht="14.25" customHeight="1">
      <c r="A17" s="350">
        <v>46091</v>
      </c>
      <c r="B17" s="356">
        <f>+Report1!P18</f>
        <v>54.356999999999999</v>
      </c>
      <c r="C17" s="356">
        <f>+Report1!R18</f>
        <v>51.712000000000003</v>
      </c>
      <c r="D17" s="357">
        <f t="shared" si="0"/>
        <v>240187.14</v>
      </c>
      <c r="E17" s="357">
        <f>+[3]Dailymar!AL16</f>
        <v>26477.16</v>
      </c>
      <c r="F17" s="357">
        <f t="shared" si="1"/>
        <v>487.09752193829684</v>
      </c>
      <c r="G17" s="357">
        <f t="shared" si="2"/>
        <v>512.01191212871288</v>
      </c>
      <c r="H17" s="357">
        <f t="shared" si="3"/>
        <v>102587.14</v>
      </c>
      <c r="I17" s="357">
        <f>+[3]Dailymar!AM16</f>
        <v>11317.16</v>
      </c>
      <c r="J17" s="357">
        <f t="shared" si="4"/>
        <v>208.20059973876408</v>
      </c>
      <c r="K17" s="357">
        <f t="shared" si="5"/>
        <v>218.84978341584156</v>
      </c>
      <c r="L17" s="357">
        <f t="shared" si="6"/>
        <v>6120.0000000000045</v>
      </c>
      <c r="M17" s="357">
        <f>+[3]Dailymar!AN16</f>
        <v>680.00000000006366</v>
      </c>
      <c r="N17" s="357">
        <f t="shared" si="7"/>
        <v>12.509888330850924</v>
      </c>
      <c r="O17" s="357">
        <f t="shared" si="8"/>
        <v>13.149752475248755</v>
      </c>
      <c r="P17" s="357">
        <f t="shared" si="9"/>
        <v>38474.320000000065</v>
      </c>
      <c r="Q17" s="7">
        <f t="shared" si="10"/>
        <v>707.80801000791189</v>
      </c>
      <c r="R17" s="355">
        <f t="shared" si="11"/>
        <v>744.0114480198032</v>
      </c>
      <c r="S17" s="357">
        <f>+[3]Dailymar!BM16</f>
        <v>28224.049000000006</v>
      </c>
      <c r="T17" s="7">
        <f t="shared" si="12"/>
        <v>519.23485475651728</v>
      </c>
      <c r="U17" s="6">
        <f t="shared" si="13"/>
        <v>545.79302676361397</v>
      </c>
      <c r="Y17" s="425" t="s">
        <v>183</v>
      </c>
      <c r="Z17" s="425" t="s">
        <v>184</v>
      </c>
    </row>
    <row r="18" spans="1:26" ht="14.25" customHeight="1">
      <c r="A18" s="350">
        <v>46092</v>
      </c>
      <c r="B18" s="356">
        <f>+Report1!P19</f>
        <v>54.594000000000001</v>
      </c>
      <c r="C18" s="356">
        <f>+Report1!R19</f>
        <v>52.383000000000003</v>
      </c>
      <c r="D18" s="357">
        <f t="shared" si="0"/>
        <v>265754.01</v>
      </c>
      <c r="E18" s="357">
        <f>+[3]Dailymar!AL17</f>
        <v>25566.87</v>
      </c>
      <c r="F18" s="357">
        <f t="shared" si="1"/>
        <v>468.30915485218151</v>
      </c>
      <c r="G18" s="357">
        <f t="shared" si="2"/>
        <v>488.07571158581976</v>
      </c>
      <c r="H18" s="357">
        <f t="shared" si="3"/>
        <v>113994.01</v>
      </c>
      <c r="I18" s="357">
        <f>+[3]Dailymar!AM17</f>
        <v>11406.87</v>
      </c>
      <c r="J18" s="357">
        <f t="shared" si="4"/>
        <v>208.93999340586879</v>
      </c>
      <c r="K18" s="357">
        <f t="shared" si="5"/>
        <v>217.75900578431936</v>
      </c>
      <c r="L18" s="357">
        <f t="shared" si="6"/>
        <v>6789.9999999999636</v>
      </c>
      <c r="M18" s="357">
        <f>+[3]Dailymar!AN17</f>
        <v>669.99999999995907</v>
      </c>
      <c r="N18" s="357">
        <f t="shared" si="7"/>
        <v>12.272410887642581</v>
      </c>
      <c r="O18" s="357">
        <f t="shared" si="8"/>
        <v>12.79040910218886</v>
      </c>
      <c r="P18" s="357">
        <f t="shared" si="9"/>
        <v>37643.739999999954</v>
      </c>
      <c r="Q18" s="7">
        <f t="shared" si="10"/>
        <v>689.52155914569278</v>
      </c>
      <c r="R18" s="355">
        <f t="shared" si="11"/>
        <v>718.62512647232791</v>
      </c>
      <c r="S18" s="357">
        <f>+[3]Dailymar!BM17</f>
        <v>27891.951000000008</v>
      </c>
      <c r="T18" s="7">
        <f t="shared" si="12"/>
        <v>510.89773601494682</v>
      </c>
      <c r="U18" s="6">
        <f t="shared" si="13"/>
        <v>532.46188648989187</v>
      </c>
      <c r="Y18" s="425" t="s">
        <v>183</v>
      </c>
      <c r="Z18" s="425" t="s">
        <v>184</v>
      </c>
    </row>
    <row r="19" spans="1:26" ht="14.25" customHeight="1">
      <c r="A19" s="350">
        <v>46093</v>
      </c>
      <c r="B19" s="356">
        <f>+Report1!P20</f>
        <v>52.637999999999998</v>
      </c>
      <c r="C19" s="356">
        <f>+Report1!R20</f>
        <v>52.134999999999998</v>
      </c>
      <c r="D19" s="357">
        <f t="shared" si="0"/>
        <v>290567.90000000002</v>
      </c>
      <c r="E19" s="357">
        <f>+[3]Dailymar!AL18</f>
        <v>24813.89</v>
      </c>
      <c r="F19" s="357">
        <f t="shared" si="1"/>
        <v>471.40639841939281</v>
      </c>
      <c r="G19" s="357">
        <f t="shared" si="2"/>
        <v>475.95454109523354</v>
      </c>
      <c r="H19" s="357">
        <f t="shared" si="3"/>
        <v>125647.9</v>
      </c>
      <c r="I19" s="357">
        <f>+[3]Dailymar!AM18</f>
        <v>11653.89</v>
      </c>
      <c r="J19" s="357">
        <f t="shared" si="4"/>
        <v>221.39689957825146</v>
      </c>
      <c r="K19" s="357">
        <f t="shared" si="5"/>
        <v>223.53294332022634</v>
      </c>
      <c r="L19" s="357">
        <f t="shared" si="6"/>
        <v>7470.0000000000273</v>
      </c>
      <c r="M19" s="357">
        <f>+[3]Dailymar!AN18</f>
        <v>680.00000000006366</v>
      </c>
      <c r="N19" s="357">
        <f t="shared" si="7"/>
        <v>12.918423952279031</v>
      </c>
      <c r="O19" s="357">
        <f t="shared" si="8"/>
        <v>13.04306128320828</v>
      </c>
      <c r="P19" s="357">
        <f t="shared" si="9"/>
        <v>37147.780000000064</v>
      </c>
      <c r="Q19" s="7">
        <f t="shared" si="10"/>
        <v>705.72172194992334</v>
      </c>
      <c r="R19" s="355">
        <f t="shared" si="11"/>
        <v>712.53054569866822</v>
      </c>
      <c r="S19" s="357">
        <f>+[3]Dailymar!BM18</f>
        <v>24819.899999999998</v>
      </c>
      <c r="T19" s="7">
        <f t="shared" si="12"/>
        <v>471.52057448991218</v>
      </c>
      <c r="U19" s="6">
        <f t="shared" si="13"/>
        <v>476.0698187398101</v>
      </c>
      <c r="Y19" s="425" t="s">
        <v>183</v>
      </c>
      <c r="Z19" s="425" t="s">
        <v>184</v>
      </c>
    </row>
    <row r="20" spans="1:26" ht="14.25" customHeight="1">
      <c r="A20" s="350">
        <v>46094</v>
      </c>
      <c r="B20" s="356">
        <f>+Report1!P21</f>
        <v>51.14</v>
      </c>
      <c r="C20" s="356">
        <f>+Report1!R21</f>
        <v>48.695</v>
      </c>
      <c r="D20" s="357">
        <f t="shared" si="0"/>
        <v>319090.79000000004</v>
      </c>
      <c r="E20" s="357">
        <f>+[3]Dailymar!AL19</f>
        <v>28522.89</v>
      </c>
      <c r="F20" s="357">
        <f t="shared" si="1"/>
        <v>557.74129839655848</v>
      </c>
      <c r="G20" s="357">
        <f t="shared" si="2"/>
        <v>585.74576445220248</v>
      </c>
      <c r="H20" s="357">
        <f t="shared" si="3"/>
        <v>138010.78999999998</v>
      </c>
      <c r="I20" s="357">
        <f>+[3]Dailymar!AM19</f>
        <v>12362.89</v>
      </c>
      <c r="J20" s="357">
        <f t="shared" si="4"/>
        <v>241.74599139616737</v>
      </c>
      <c r="K20" s="357">
        <f t="shared" si="5"/>
        <v>253.88417702022792</v>
      </c>
      <c r="L20" s="357">
        <f t="shared" si="6"/>
        <v>8360.0000000000146</v>
      </c>
      <c r="M20" s="357">
        <f>+[3]Dailymar!AN19</f>
        <v>889.99999999998636</v>
      </c>
      <c r="N20" s="357">
        <f t="shared" si="7"/>
        <v>17.403206883065828</v>
      </c>
      <c r="O20" s="357">
        <f t="shared" si="8"/>
        <v>18.277030495943862</v>
      </c>
      <c r="P20" s="357">
        <f t="shared" si="9"/>
        <v>41775.779999999984</v>
      </c>
      <c r="Q20" s="7">
        <f t="shared" si="10"/>
        <v>816.89049667579161</v>
      </c>
      <c r="R20" s="355">
        <f t="shared" si="11"/>
        <v>857.90697196837425</v>
      </c>
      <c r="S20" s="357">
        <f>+[3]Dailymar!BM19</f>
        <v>24769.549000000006</v>
      </c>
      <c r="T20" s="7">
        <f t="shared" si="12"/>
        <v>484.34784904184602</v>
      </c>
      <c r="U20" s="6">
        <f t="shared" si="13"/>
        <v>508.66719375705935</v>
      </c>
      <c r="Y20" s="425" t="s">
        <v>183</v>
      </c>
      <c r="Z20" s="425" t="s">
        <v>184</v>
      </c>
    </row>
    <row r="21" spans="1:26" ht="14.25" customHeight="1">
      <c r="A21" s="350">
        <v>46095</v>
      </c>
      <c r="B21" s="356">
        <f>+Report1!P22</f>
        <v>52.802999999999997</v>
      </c>
      <c r="C21" s="356">
        <f>+Report1!R22</f>
        <v>51.557000000000002</v>
      </c>
      <c r="D21" s="357">
        <f t="shared" si="0"/>
        <v>344383.09</v>
      </c>
      <c r="E21" s="357">
        <f>+[3]Dailymar!AL20</f>
        <v>25292.3</v>
      </c>
      <c r="F21" s="357">
        <f t="shared" si="1"/>
        <v>478.99361778686819</v>
      </c>
      <c r="G21" s="357">
        <f t="shared" si="2"/>
        <v>490.5696607638148</v>
      </c>
      <c r="H21" s="357">
        <f t="shared" si="3"/>
        <v>149143.08999999997</v>
      </c>
      <c r="I21" s="357">
        <f>+[3]Dailymar!AM20</f>
        <v>11132.3</v>
      </c>
      <c r="J21" s="357">
        <f t="shared" si="4"/>
        <v>210.82703634263206</v>
      </c>
      <c r="K21" s="357">
        <f t="shared" si="5"/>
        <v>215.9221832146944</v>
      </c>
      <c r="L21" s="357">
        <f t="shared" si="6"/>
        <v>9069.9999999999382</v>
      </c>
      <c r="M21" s="357">
        <f>+[3]Dailymar!AN20</f>
        <v>709.99999999992269</v>
      </c>
      <c r="N21" s="357">
        <f t="shared" si="7"/>
        <v>13.446205708007552</v>
      </c>
      <c r="O21" s="357">
        <f t="shared" si="8"/>
        <v>13.771165894057503</v>
      </c>
      <c r="P21" s="357">
        <f t="shared" si="9"/>
        <v>37134.599999999919</v>
      </c>
      <c r="Q21" s="7">
        <f t="shared" si="10"/>
        <v>703.2668598375077</v>
      </c>
      <c r="R21" s="355">
        <f t="shared" si="11"/>
        <v>720.26300987256661</v>
      </c>
      <c r="S21" s="357">
        <f>+[3]Dailymar!BM20</f>
        <v>27480.000000000004</v>
      </c>
      <c r="T21" s="7">
        <f t="shared" si="12"/>
        <v>520.42497585364481</v>
      </c>
      <c r="U21" s="6">
        <f t="shared" si="13"/>
        <v>533.00230812498796</v>
      </c>
      <c r="Y21" s="425" t="s">
        <v>183</v>
      </c>
      <c r="Z21" s="425" t="s">
        <v>184</v>
      </c>
    </row>
    <row r="22" spans="1:26" ht="14.25" customHeight="1">
      <c r="A22" s="350">
        <v>46096</v>
      </c>
      <c r="B22" s="356">
        <f>+Report1!P23</f>
        <v>52.868000000000002</v>
      </c>
      <c r="C22" s="356">
        <f>+Report1!R23</f>
        <v>52.259</v>
      </c>
      <c r="D22" s="357">
        <f t="shared" si="0"/>
        <v>369684.94</v>
      </c>
      <c r="E22" s="357">
        <f>+[3]Dailymar!AL21</f>
        <v>25301.85</v>
      </c>
      <c r="F22" s="357">
        <f t="shared" si="1"/>
        <v>478.58534463191342</v>
      </c>
      <c r="G22" s="357">
        <f t="shared" si="2"/>
        <v>484.16253659656707</v>
      </c>
      <c r="H22" s="357">
        <f t="shared" si="3"/>
        <v>161284.93999999997</v>
      </c>
      <c r="I22" s="357">
        <f>+[3]Dailymar!AM21</f>
        <v>12141.85</v>
      </c>
      <c r="J22" s="357">
        <f t="shared" si="4"/>
        <v>229.66350155103277</v>
      </c>
      <c r="K22" s="357">
        <f t="shared" si="5"/>
        <v>232.33988403911289</v>
      </c>
      <c r="L22" s="357">
        <f t="shared" si="6"/>
        <v>9799.9999999999563</v>
      </c>
      <c r="M22" s="357">
        <f>+[3]Dailymar!AN21</f>
        <v>730.00000000001819</v>
      </c>
      <c r="N22" s="357">
        <f t="shared" si="7"/>
        <v>13.807974578195093</v>
      </c>
      <c r="O22" s="357">
        <f t="shared" si="8"/>
        <v>13.96888574216916</v>
      </c>
      <c r="P22" s="357">
        <f t="shared" si="9"/>
        <v>38173.700000000012</v>
      </c>
      <c r="Q22" s="7">
        <f t="shared" si="10"/>
        <v>722.05682076114113</v>
      </c>
      <c r="R22" s="355">
        <f t="shared" si="11"/>
        <v>730.47130637784903</v>
      </c>
      <c r="S22" s="357">
        <f>+[3]Dailymar!BM21</f>
        <v>27466.400000000005</v>
      </c>
      <c r="T22" s="7">
        <f t="shared" si="12"/>
        <v>519.52788075962781</v>
      </c>
      <c r="U22" s="6">
        <f t="shared" si="13"/>
        <v>525.58219636808985</v>
      </c>
      <c r="Y22" s="425" t="s">
        <v>183</v>
      </c>
      <c r="Z22" s="425" t="s">
        <v>184</v>
      </c>
    </row>
    <row r="23" spans="1:26" ht="15" customHeight="1">
      <c r="A23" s="350">
        <v>46097</v>
      </c>
      <c r="B23" s="356">
        <f>+Report1!P24</f>
        <v>53.505000000000003</v>
      </c>
      <c r="C23" s="356">
        <f>+Report1!R24</f>
        <v>53.363</v>
      </c>
      <c r="D23" s="357">
        <f t="shared" si="0"/>
        <v>400068.34</v>
      </c>
      <c r="E23" s="357">
        <f>+[3]Dailymar!AL22</f>
        <v>30383.4</v>
      </c>
      <c r="F23" s="357">
        <f t="shared" si="1"/>
        <v>567.86094757499302</v>
      </c>
      <c r="G23" s="357">
        <f t="shared" si="2"/>
        <v>569.37203680452751</v>
      </c>
      <c r="H23" s="357">
        <f t="shared" si="3"/>
        <v>173508.33999999997</v>
      </c>
      <c r="I23" s="357">
        <f>+[3]Dailymar!AM22</f>
        <v>12223.4</v>
      </c>
      <c r="J23" s="357">
        <f t="shared" si="4"/>
        <v>228.45341556863843</v>
      </c>
      <c r="K23" s="357">
        <f t="shared" si="5"/>
        <v>229.0613346326106</v>
      </c>
      <c r="L23" s="357">
        <f t="shared" si="6"/>
        <v>10500.000000000002</v>
      </c>
      <c r="M23" s="357">
        <f>+[3]Dailymar!AN22</f>
        <v>700.00000000004547</v>
      </c>
      <c r="N23" s="357">
        <f t="shared" si="7"/>
        <v>13.082889449585</v>
      </c>
      <c r="O23" s="357">
        <f t="shared" si="8"/>
        <v>13.117703277552714</v>
      </c>
      <c r="P23" s="357">
        <f t="shared" si="9"/>
        <v>43306.800000000047</v>
      </c>
      <c r="Q23" s="7">
        <f t="shared" si="10"/>
        <v>809.39725259321642</v>
      </c>
      <c r="R23" s="355">
        <f t="shared" si="11"/>
        <v>811.5510747146908</v>
      </c>
      <c r="S23" s="357">
        <f>+[3]Dailymar!BM22</f>
        <v>22899.000000000004</v>
      </c>
      <c r="T23" s="7">
        <f t="shared" si="12"/>
        <v>427.97869358003931</v>
      </c>
      <c r="U23" s="6">
        <f t="shared" si="13"/>
        <v>429.11755336094302</v>
      </c>
      <c r="Y23" s="425" t="s">
        <v>183</v>
      </c>
      <c r="Z23" s="425" t="s">
        <v>184</v>
      </c>
    </row>
    <row r="24" spans="1:26" ht="15" customHeight="1">
      <c r="A24" s="350">
        <v>46098</v>
      </c>
      <c r="B24" s="356">
        <f>+Report1!P25</f>
        <v>54.037999999999997</v>
      </c>
      <c r="C24" s="356">
        <f>+Report1!R25</f>
        <v>53.381999999999998</v>
      </c>
      <c r="D24" s="357">
        <f t="shared" si="0"/>
        <v>429912.37</v>
      </c>
      <c r="E24" s="357">
        <f>+[3]Dailymar!AL23</f>
        <v>29844.03</v>
      </c>
      <c r="F24" s="357">
        <f t="shared" si="1"/>
        <v>552.27858173877644</v>
      </c>
      <c r="G24" s="357">
        <f t="shared" si="2"/>
        <v>559.06541530853099</v>
      </c>
      <c r="H24" s="357">
        <f t="shared" si="3"/>
        <v>185192.36999999997</v>
      </c>
      <c r="I24" s="357">
        <f>+[3]Dailymar!AM23</f>
        <v>11684.03</v>
      </c>
      <c r="J24" s="357">
        <f t="shared" si="4"/>
        <v>216.2187719752767</v>
      </c>
      <c r="K24" s="357">
        <f t="shared" si="5"/>
        <v>218.87583829755351</v>
      </c>
      <c r="L24" s="357">
        <f t="shared" si="6"/>
        <v>11199.999999999935</v>
      </c>
      <c r="M24" s="357">
        <f>+[3]Dailymar!AN23</f>
        <v>699.99999999993179</v>
      </c>
      <c r="N24" s="357">
        <f t="shared" si="7"/>
        <v>12.953847292644655</v>
      </c>
      <c r="O24" s="357">
        <f t="shared" si="8"/>
        <v>13.113034356148736</v>
      </c>
      <c r="P24" s="357">
        <f t="shared" si="9"/>
        <v>42228.059999999932</v>
      </c>
      <c r="Q24" s="7">
        <f t="shared" si="10"/>
        <v>781.45120100669783</v>
      </c>
      <c r="R24" s="355">
        <f t="shared" si="11"/>
        <v>791.05428796223327</v>
      </c>
      <c r="S24" s="357">
        <f>+[3]Dailymar!BM23</f>
        <v>23934.249000000014</v>
      </c>
      <c r="T24" s="7">
        <f t="shared" si="12"/>
        <v>442.91515230023344</v>
      </c>
      <c r="U24" s="6">
        <f t="shared" si="13"/>
        <v>448.35804203664185</v>
      </c>
      <c r="Y24" s="425" t="s">
        <v>183</v>
      </c>
      <c r="Z24" s="425" t="s">
        <v>184</v>
      </c>
    </row>
    <row r="25" spans="1:26" ht="15" customHeight="1">
      <c r="A25" s="350">
        <v>46099</v>
      </c>
      <c r="B25" s="356">
        <f>+Report1!P26</f>
        <v>47.552999999999997</v>
      </c>
      <c r="C25" s="356">
        <f>+Report1!R26</f>
        <v>46.094999999999999</v>
      </c>
      <c r="D25" s="357">
        <f t="shared" si="0"/>
        <v>461098.01</v>
      </c>
      <c r="E25" s="357">
        <f>+[3]Dailymar!AL24</f>
        <v>31185.64</v>
      </c>
      <c r="F25" s="357">
        <f t="shared" si="1"/>
        <v>655.80804575946843</v>
      </c>
      <c r="G25" s="357">
        <f t="shared" si="2"/>
        <v>676.55146979064978</v>
      </c>
      <c r="H25" s="357">
        <f t="shared" si="3"/>
        <v>197218.00999999995</v>
      </c>
      <c r="I25" s="357">
        <f>+[3]Dailymar!AM24</f>
        <v>12025.64</v>
      </c>
      <c r="J25" s="357">
        <f t="shared" si="4"/>
        <v>252.88919731667823</v>
      </c>
      <c r="K25" s="357">
        <f t="shared" si="5"/>
        <v>260.88816574465778</v>
      </c>
      <c r="L25" s="357">
        <f t="shared" si="6"/>
        <v>11759.999999999993</v>
      </c>
      <c r="M25" s="357">
        <f>+[3]Dailymar!AN24</f>
        <v>560.00000000005912</v>
      </c>
      <c r="N25" s="357">
        <f t="shared" si="7"/>
        <v>11.776333774947094</v>
      </c>
      <c r="O25" s="357">
        <f t="shared" si="8"/>
        <v>12.148823082765141</v>
      </c>
      <c r="P25" s="357">
        <f t="shared" si="9"/>
        <v>43771.280000000057</v>
      </c>
      <c r="Q25" s="7">
        <f t="shared" si="10"/>
        <v>920.47357685109375</v>
      </c>
      <c r="R25" s="355">
        <f t="shared" si="11"/>
        <v>949.58845861807265</v>
      </c>
      <c r="S25" s="357">
        <f>+[3]Dailymar!BM24</f>
        <v>20906.953999999987</v>
      </c>
      <c r="T25" s="7">
        <f t="shared" si="12"/>
        <v>439.65583664542697</v>
      </c>
      <c r="U25" s="6">
        <f t="shared" si="13"/>
        <v>453.56229525978927</v>
      </c>
      <c r="Y25" s="425" t="s">
        <v>183</v>
      </c>
      <c r="Z25" s="425" t="s">
        <v>184</v>
      </c>
    </row>
    <row r="26" spans="1:26" ht="15" customHeight="1">
      <c r="A26" s="350">
        <v>46100</v>
      </c>
      <c r="B26" s="356">
        <f>+Report1!P27</f>
        <v>47.244</v>
      </c>
      <c r="C26" s="356">
        <f>+Report1!R27</f>
        <v>47.469000000000001</v>
      </c>
      <c r="D26" s="357">
        <f t="shared" si="0"/>
        <v>490710.59</v>
      </c>
      <c r="E26" s="357">
        <f>+[3]Dailymar!AL25</f>
        <v>29612.58</v>
      </c>
      <c r="F26" s="357">
        <f t="shared" si="1"/>
        <v>626.8008636017272</v>
      </c>
      <c r="G26" s="357">
        <f t="shared" si="2"/>
        <v>623.82986791379642</v>
      </c>
      <c r="H26" s="357">
        <f t="shared" si="3"/>
        <v>209670.58999999994</v>
      </c>
      <c r="I26" s="357">
        <f>+[3]Dailymar!AM25</f>
        <v>12452.58</v>
      </c>
      <c r="J26" s="357">
        <f t="shared" si="4"/>
        <v>263.58013716027432</v>
      </c>
      <c r="K26" s="357">
        <f t="shared" si="5"/>
        <v>262.33078430133349</v>
      </c>
      <c r="L26" s="357">
        <f t="shared" si="6"/>
        <v>12230.00000000002</v>
      </c>
      <c r="M26" s="357">
        <f>+[3]Dailymar!AN25</f>
        <v>470.00000000002728</v>
      </c>
      <c r="N26" s="357">
        <f t="shared" si="7"/>
        <v>9.9483532300403716</v>
      </c>
      <c r="O26" s="357">
        <f t="shared" si="8"/>
        <v>9.9011986770318998</v>
      </c>
      <c r="P26" s="357">
        <f t="shared" si="9"/>
        <v>42535.160000000033</v>
      </c>
      <c r="Q26" s="7">
        <f t="shared" si="10"/>
        <v>900.329353992042</v>
      </c>
      <c r="R26" s="355">
        <f t="shared" si="11"/>
        <v>896.06185089216183</v>
      </c>
      <c r="S26" s="357">
        <f>+[3]Dailymar!BM25</f>
        <v>23509.288000000008</v>
      </c>
      <c r="T26" s="7">
        <f t="shared" si="12"/>
        <v>497.61425789518262</v>
      </c>
      <c r="U26" s="6">
        <f t="shared" si="13"/>
        <v>495.25559839052869</v>
      </c>
      <c r="Y26" s="425" t="s">
        <v>183</v>
      </c>
      <c r="Z26" s="425" t="s">
        <v>184</v>
      </c>
    </row>
    <row r="27" spans="1:26" ht="15" customHeight="1">
      <c r="A27" s="350">
        <v>46101</v>
      </c>
      <c r="B27" s="356">
        <f>+Report1!P28</f>
        <v>46.688000000000002</v>
      </c>
      <c r="C27" s="356">
        <f>+Report1!R28</f>
        <v>45.683999999999997</v>
      </c>
      <c r="D27" s="357">
        <f t="shared" si="0"/>
        <v>523398.08</v>
      </c>
      <c r="E27" s="357">
        <f>+[3]Dailymar!AL26</f>
        <v>32687.49</v>
      </c>
      <c r="F27" s="357">
        <f t="shared" si="1"/>
        <v>700.12615661411928</v>
      </c>
      <c r="G27" s="357">
        <f t="shared" si="2"/>
        <v>715.51287102705555</v>
      </c>
      <c r="H27" s="357">
        <f t="shared" si="3"/>
        <v>218198.07999999993</v>
      </c>
      <c r="I27" s="357">
        <f>+[3]Dailymar!AM26</f>
        <v>8527.49</v>
      </c>
      <c r="J27" s="357">
        <f t="shared" si="4"/>
        <v>182.64843214530498</v>
      </c>
      <c r="K27" s="357">
        <f t="shared" si="5"/>
        <v>186.66250766132563</v>
      </c>
      <c r="L27" s="357">
        <f t="shared" si="6"/>
        <v>12860.000000000015</v>
      </c>
      <c r="M27" s="357">
        <f>+[3]Dailymar!AN26</f>
        <v>629.99999999999545</v>
      </c>
      <c r="N27" s="357">
        <f t="shared" si="7"/>
        <v>13.49383139136385</v>
      </c>
      <c r="O27" s="357">
        <f t="shared" si="8"/>
        <v>13.790386130811564</v>
      </c>
      <c r="P27" s="357">
        <f t="shared" si="9"/>
        <v>41844.979999999996</v>
      </c>
      <c r="Q27" s="7">
        <f t="shared" si="10"/>
        <v>896.26842015078807</v>
      </c>
      <c r="R27" s="355">
        <f t="shared" si="11"/>
        <v>915.96576481919271</v>
      </c>
      <c r="S27" s="357">
        <f>+[3]Dailymar!BM26</f>
        <v>23386.455000000013</v>
      </c>
      <c r="T27" s="7">
        <f t="shared" si="12"/>
        <v>500.90933430431829</v>
      </c>
      <c r="U27" s="6">
        <f t="shared" si="13"/>
        <v>511.91784869976391</v>
      </c>
      <c r="Y27" s="425" t="s">
        <v>183</v>
      </c>
      <c r="Z27" s="425" t="s">
        <v>184</v>
      </c>
    </row>
    <row r="28" spans="1:26" ht="15" customHeight="1">
      <c r="A28" s="350">
        <v>46102</v>
      </c>
      <c r="B28" s="356">
        <f>+Report1!P29</f>
        <v>50.077999999999996</v>
      </c>
      <c r="C28" s="356">
        <f>+Report1!R29</f>
        <v>47.493000000000002</v>
      </c>
      <c r="D28" s="357">
        <f t="shared" si="0"/>
        <v>555691.35</v>
      </c>
      <c r="E28" s="357">
        <f>+[3]Dailymar!AL27</f>
        <v>32293.27</v>
      </c>
      <c r="F28" s="357">
        <f t="shared" si="1"/>
        <v>644.85941930588285</v>
      </c>
      <c r="G28" s="357">
        <f t="shared" si="2"/>
        <v>679.9585202029773</v>
      </c>
      <c r="H28" s="357">
        <f t="shared" si="3"/>
        <v>228331.34999999992</v>
      </c>
      <c r="I28" s="357">
        <f>+[3]Dailymar!AM27</f>
        <v>10133.27</v>
      </c>
      <c r="J28" s="357">
        <f t="shared" si="4"/>
        <v>202.3497344143137</v>
      </c>
      <c r="K28" s="357">
        <f t="shared" si="5"/>
        <v>213.36344303371024</v>
      </c>
      <c r="L28" s="357">
        <f t="shared" si="6"/>
        <v>13379.999999999996</v>
      </c>
      <c r="M28" s="357">
        <f>+[3]Dailymar!AN27</f>
        <v>519.99999999998181</v>
      </c>
      <c r="N28" s="357">
        <f t="shared" si="7"/>
        <v>10.383801270018408</v>
      </c>
      <c r="O28" s="357">
        <f t="shared" si="8"/>
        <v>10.948981955235125</v>
      </c>
      <c r="P28" s="357">
        <f t="shared" si="9"/>
        <v>42946.539999999979</v>
      </c>
      <c r="Q28" s="7">
        <f t="shared" si="10"/>
        <v>857.59295499021493</v>
      </c>
      <c r="R28" s="355">
        <f t="shared" si="11"/>
        <v>904.27094519192258</v>
      </c>
      <c r="S28" s="357">
        <f>+[3]Dailymar!BM27</f>
        <v>25186.544999999995</v>
      </c>
      <c r="T28" s="7">
        <f t="shared" si="12"/>
        <v>502.9463037661248</v>
      </c>
      <c r="U28" s="6">
        <f t="shared" si="13"/>
        <v>530.32120523024435</v>
      </c>
      <c r="Y28" s="425" t="s">
        <v>183</v>
      </c>
      <c r="Z28" s="425" t="s">
        <v>184</v>
      </c>
    </row>
    <row r="29" spans="1:26" ht="15" customHeight="1">
      <c r="A29" s="350">
        <v>46103</v>
      </c>
      <c r="B29" s="356">
        <f>+Report1!P30</f>
        <v>49.143000000000001</v>
      </c>
      <c r="C29" s="356">
        <f>+Report1!R30</f>
        <v>47.826999999999998</v>
      </c>
      <c r="D29" s="357">
        <f t="shared" si="0"/>
        <v>588261.5</v>
      </c>
      <c r="E29" s="357">
        <f>+[3]Dailymar!AL28</f>
        <v>32570.15</v>
      </c>
      <c r="F29" s="357">
        <f t="shared" si="1"/>
        <v>662.76275359664658</v>
      </c>
      <c r="G29" s="357">
        <f t="shared" si="2"/>
        <v>680.99922637840552</v>
      </c>
      <c r="H29" s="357">
        <f t="shared" si="3"/>
        <v>237741.49999999991</v>
      </c>
      <c r="I29" s="357">
        <f>+[3]Dailymar!AM28</f>
        <v>9410.15</v>
      </c>
      <c r="J29" s="357">
        <f t="shared" si="4"/>
        <v>191.48505382251795</v>
      </c>
      <c r="K29" s="357">
        <f t="shared" si="5"/>
        <v>196.75392560687479</v>
      </c>
      <c r="L29" s="357">
        <f t="shared" si="6"/>
        <v>13919.99999999996</v>
      </c>
      <c r="M29" s="357">
        <f>+[3]Dailymar!AN28</f>
        <v>539.99999999996362</v>
      </c>
      <c r="N29" s="357">
        <f t="shared" si="7"/>
        <v>10.988340150173242</v>
      </c>
      <c r="O29" s="357">
        <f t="shared" si="8"/>
        <v>11.290693541304361</v>
      </c>
      <c r="P29" s="357">
        <f t="shared" si="9"/>
        <v>42520.299999999967</v>
      </c>
      <c r="Q29" s="7">
        <f t="shared" si="10"/>
        <v>865.23614756933773</v>
      </c>
      <c r="R29" s="355">
        <f t="shared" si="11"/>
        <v>889.04384552658473</v>
      </c>
      <c r="S29" s="357">
        <f>+[3]Dailymar!BM28</f>
        <v>24632.652999999671</v>
      </c>
      <c r="T29" s="7">
        <f t="shared" si="12"/>
        <v>501.2443888244444</v>
      </c>
      <c r="U29" s="6">
        <f t="shared" si="13"/>
        <v>515.03654839316016</v>
      </c>
      <c r="Y29" s="425" t="s">
        <v>183</v>
      </c>
      <c r="Z29" s="425" t="s">
        <v>184</v>
      </c>
    </row>
    <row r="30" spans="1:26" ht="15" customHeight="1">
      <c r="A30" s="350">
        <v>46104</v>
      </c>
      <c r="B30" s="356">
        <f>+Report1!P31</f>
        <v>47.481999999999999</v>
      </c>
      <c r="C30" s="356">
        <f>+Report1!R31</f>
        <v>45.936</v>
      </c>
      <c r="D30" s="357">
        <f t="shared" si="0"/>
        <v>619818.51</v>
      </c>
      <c r="E30" s="357">
        <f>+[3]Dailymar!AL29</f>
        <v>31557.01</v>
      </c>
      <c r="F30" s="357">
        <f t="shared" si="1"/>
        <v>664.60995745756281</v>
      </c>
      <c r="G30" s="357">
        <f t="shared" si="2"/>
        <v>686.97775165447581</v>
      </c>
      <c r="H30" s="357">
        <f t="shared" si="3"/>
        <v>249138.50999999992</v>
      </c>
      <c r="I30" s="357">
        <f>+[3]Dailymar!AM29</f>
        <v>11397.01</v>
      </c>
      <c r="J30" s="357">
        <f t="shared" si="4"/>
        <v>240.02801061454869</v>
      </c>
      <c r="K30" s="357">
        <f t="shared" si="5"/>
        <v>248.10627830024382</v>
      </c>
      <c r="L30" s="357">
        <f t="shared" si="6"/>
        <v>14529.999999999975</v>
      </c>
      <c r="M30" s="357">
        <f>+[3]Dailymar!AN29</f>
        <v>610.00000000001364</v>
      </c>
      <c r="N30" s="357">
        <f t="shared" si="7"/>
        <v>12.846973589992285</v>
      </c>
      <c r="O30" s="357">
        <f t="shared" si="8"/>
        <v>13.279345175897197</v>
      </c>
      <c r="P30" s="357">
        <f t="shared" si="9"/>
        <v>43564.020000000011</v>
      </c>
      <c r="Q30" s="7">
        <f t="shared" si="10"/>
        <v>917.48494166210378</v>
      </c>
      <c r="R30" s="355">
        <f t="shared" si="11"/>
        <v>948.36337513061676</v>
      </c>
      <c r="S30" s="357">
        <f>+[3]Dailymar!BM29</f>
        <v>27352.742000000275</v>
      </c>
      <c r="T30" s="7">
        <f t="shared" si="12"/>
        <v>576.0654985047023</v>
      </c>
      <c r="U30" s="6">
        <f t="shared" si="13"/>
        <v>595.45328282828882</v>
      </c>
      <c r="Y30" s="425" t="s">
        <v>183</v>
      </c>
      <c r="Z30" s="425" t="s">
        <v>184</v>
      </c>
    </row>
    <row r="31" spans="1:26" ht="15" customHeight="1">
      <c r="A31" s="350">
        <v>46105</v>
      </c>
      <c r="B31" s="356">
        <f>+Report1!P32</f>
        <v>52.5</v>
      </c>
      <c r="C31" s="356">
        <f>+Report1!R32</f>
        <v>51.058999999999997</v>
      </c>
      <c r="D31" s="357">
        <f t="shared" si="0"/>
        <v>652662.34</v>
      </c>
      <c r="E31" s="357">
        <f>+[3]Dailymar!AL30</f>
        <v>32843.83</v>
      </c>
      <c r="F31" s="357">
        <f t="shared" si="1"/>
        <v>625.59676190476193</v>
      </c>
      <c r="G31" s="357">
        <f t="shared" si="2"/>
        <v>643.25251180007444</v>
      </c>
      <c r="H31" s="357">
        <f t="shared" si="3"/>
        <v>260822.33999999991</v>
      </c>
      <c r="I31" s="357">
        <f>+[3]Dailymar!AM30</f>
        <v>11683.83</v>
      </c>
      <c r="J31" s="357">
        <f t="shared" si="4"/>
        <v>222.54914285714287</v>
      </c>
      <c r="K31" s="357">
        <f t="shared" si="5"/>
        <v>228.82998100236981</v>
      </c>
      <c r="L31" s="357">
        <f t="shared" si="6"/>
        <v>15069.999999999938</v>
      </c>
      <c r="M31" s="357">
        <f>+[3]Dailymar!AN30</f>
        <v>539.99999999996362</v>
      </c>
      <c r="N31" s="357">
        <f t="shared" si="7"/>
        <v>10.285714285713592</v>
      </c>
      <c r="O31" s="357">
        <f t="shared" si="8"/>
        <v>10.576000313362261</v>
      </c>
      <c r="P31" s="357">
        <f t="shared" si="9"/>
        <v>45067.659999999967</v>
      </c>
      <c r="Q31" s="7">
        <f t="shared" si="10"/>
        <v>858.43161904761837</v>
      </c>
      <c r="R31" s="355">
        <f t="shared" si="11"/>
        <v>882.65849311580655</v>
      </c>
      <c r="S31" s="357">
        <f>+[3]Dailymar!BM30</f>
        <v>23016.402000000009</v>
      </c>
      <c r="T31" s="7">
        <f t="shared" si="12"/>
        <v>438.40765714285732</v>
      </c>
      <c r="U31" s="6">
        <f t="shared" si="13"/>
        <v>450.78050882312641</v>
      </c>
      <c r="Y31" s="425" t="s">
        <v>183</v>
      </c>
      <c r="Z31" s="425" t="s">
        <v>184</v>
      </c>
    </row>
    <row r="32" spans="1:26" ht="15.75" customHeight="1">
      <c r="A32" s="350">
        <v>46106</v>
      </c>
      <c r="B32" s="356">
        <f>+Report1!P33</f>
        <v>53.8</v>
      </c>
      <c r="C32" s="356">
        <f>+Report1!R33</f>
        <v>53.16</v>
      </c>
      <c r="D32" s="357">
        <f t="shared" si="0"/>
        <v>684244.35</v>
      </c>
      <c r="E32" s="357">
        <f>+[3]Dailymar!AL31</f>
        <v>31582.01</v>
      </c>
      <c r="F32" s="357">
        <f t="shared" si="1"/>
        <v>587.02620817843865</v>
      </c>
      <c r="G32" s="357">
        <f t="shared" si="2"/>
        <v>594.09349134687739</v>
      </c>
      <c r="H32" s="357">
        <f t="shared" si="3"/>
        <v>271244.34999999992</v>
      </c>
      <c r="I32" s="357">
        <f>+[3]Dailymar!AM31</f>
        <v>10422.01</v>
      </c>
      <c r="J32" s="357">
        <f t="shared" si="4"/>
        <v>193.71765799256508</v>
      </c>
      <c r="K32" s="357">
        <f t="shared" si="5"/>
        <v>196.04984951091046</v>
      </c>
      <c r="L32" s="357">
        <f t="shared" si="6"/>
        <v>15600.000000000025</v>
      </c>
      <c r="M32" s="357">
        <f>+[3]Dailymar!AN31</f>
        <v>530.0000000000864</v>
      </c>
      <c r="N32" s="357">
        <f t="shared" si="7"/>
        <v>9.8513011152432419</v>
      </c>
      <c r="O32" s="357">
        <f t="shared" si="8"/>
        <v>9.9699021820934242</v>
      </c>
      <c r="P32" s="357">
        <f t="shared" si="9"/>
        <v>42534.020000000084</v>
      </c>
      <c r="Q32" s="7">
        <f t="shared" si="10"/>
        <v>790.59516728624692</v>
      </c>
      <c r="R32" s="355">
        <f t="shared" si="11"/>
        <v>800.11324303988124</v>
      </c>
      <c r="S32" s="357">
        <f>+[3]Dailymar!BM31</f>
        <v>30706.000000000004</v>
      </c>
      <c r="T32" s="7">
        <f t="shared" si="12"/>
        <v>570.74349442379196</v>
      </c>
      <c r="U32" s="6">
        <f t="shared" si="13"/>
        <v>577.61474793077514</v>
      </c>
      <c r="Y32" s="425" t="s">
        <v>183</v>
      </c>
      <c r="Z32" s="425" t="s">
        <v>184</v>
      </c>
    </row>
    <row r="33" spans="1:26" ht="15">
      <c r="A33" s="350">
        <v>46107</v>
      </c>
      <c r="B33" s="356">
        <f>+Report1!P34</f>
        <v>52.444000000000003</v>
      </c>
      <c r="C33" s="356">
        <f>+Report1!R34</f>
        <v>52.279000000000003</v>
      </c>
      <c r="D33" s="357">
        <f t="shared" si="0"/>
        <v>715688.65</v>
      </c>
      <c r="E33" s="357">
        <f>+[3]Dailymar!AL32</f>
        <v>31444.3</v>
      </c>
      <c r="F33" s="357">
        <f t="shared" si="1"/>
        <v>599.57859812371282</v>
      </c>
      <c r="G33" s="357">
        <f t="shared" si="2"/>
        <v>601.47095392031213</v>
      </c>
      <c r="H33" s="357">
        <f t="shared" si="3"/>
        <v>281528.64999999991</v>
      </c>
      <c r="I33" s="357">
        <f>+[3]Dailymar!AM32</f>
        <v>10284.299999999999</v>
      </c>
      <c r="J33" s="357">
        <f t="shared" si="4"/>
        <v>196.10060254747918</v>
      </c>
      <c r="K33" s="357">
        <f t="shared" si="5"/>
        <v>196.71952409189154</v>
      </c>
      <c r="L33" s="357">
        <f t="shared" si="6"/>
        <v>16110.000000000016</v>
      </c>
      <c r="M33" s="357">
        <f>+[3]Dailymar!AN32</f>
        <v>509.99999999999091</v>
      </c>
      <c r="N33" s="357">
        <f t="shared" si="7"/>
        <v>9.7246586835479913</v>
      </c>
      <c r="O33" s="357">
        <f t="shared" si="8"/>
        <v>9.7553510969986199</v>
      </c>
      <c r="P33" s="357">
        <f t="shared" si="9"/>
        <v>42238.599999999991</v>
      </c>
      <c r="Q33" s="7">
        <f t="shared" si="10"/>
        <v>805.40385935474012</v>
      </c>
      <c r="R33" s="355">
        <f t="shared" si="11"/>
        <v>807.94582910920235</v>
      </c>
      <c r="S33" s="357">
        <f>+[3]Dailymar!BM32</f>
        <v>30496.400000000001</v>
      </c>
      <c r="T33" s="7">
        <f t="shared" si="12"/>
        <v>581.50408054305547</v>
      </c>
      <c r="U33" s="6">
        <f t="shared" si="13"/>
        <v>583.33939057747853</v>
      </c>
      <c r="Y33" s="425" t="s">
        <v>183</v>
      </c>
      <c r="Z33" s="425" t="s">
        <v>184</v>
      </c>
    </row>
    <row r="34" spans="1:26">
      <c r="A34" s="350">
        <v>46108</v>
      </c>
      <c r="B34" s="356">
        <f>+Report1!P35</f>
        <v>51.503</v>
      </c>
      <c r="C34" s="356">
        <f>+Report1!R35</f>
        <v>49.753999999999998</v>
      </c>
      <c r="D34" s="357">
        <f t="shared" si="0"/>
        <v>748778.13</v>
      </c>
      <c r="E34" s="357">
        <f>+[3]Dailymar!AL33</f>
        <v>33089.479999999996</v>
      </c>
      <c r="F34" s="352">
        <f t="shared" si="1"/>
        <v>642.47674892724683</v>
      </c>
      <c r="G34" s="352">
        <f t="shared" si="2"/>
        <v>665.06170358162149</v>
      </c>
      <c r="H34" s="357">
        <f t="shared" si="3"/>
        <v>292458.12999999989</v>
      </c>
      <c r="I34" s="357">
        <f>+[3]Dailymar!AM33</f>
        <v>10929.48</v>
      </c>
      <c r="J34" s="352">
        <f t="shared" si="4"/>
        <v>212.21055084169853</v>
      </c>
      <c r="K34" s="352">
        <f t="shared" si="5"/>
        <v>219.67037826104433</v>
      </c>
      <c r="L34" s="357">
        <f t="shared" si="6"/>
        <v>16710.00000000004</v>
      </c>
      <c r="M34" s="357">
        <f>+[3]Dailymar!AN33</f>
        <v>600.00000000002274</v>
      </c>
      <c r="N34" s="352">
        <f t="shared" si="7"/>
        <v>11.649806807370886</v>
      </c>
      <c r="O34" s="352">
        <f t="shared" si="8"/>
        <v>12.059331913012477</v>
      </c>
      <c r="P34" s="357">
        <f t="shared" si="9"/>
        <v>44618.960000000014</v>
      </c>
      <c r="Q34" s="354">
        <f t="shared" si="10"/>
        <v>866.33710657631616</v>
      </c>
      <c r="R34" s="355">
        <f t="shared" si="11"/>
        <v>896.79141375567826</v>
      </c>
      <c r="S34" s="357">
        <f>+[3]Dailymar!BM33</f>
        <v>24834.000000000418</v>
      </c>
      <c r="T34" s="7">
        <f t="shared" si="12"/>
        <v>482.18550375707082</v>
      </c>
      <c r="U34" s="6">
        <f t="shared" si="13"/>
        <v>499.13574787957589</v>
      </c>
    </row>
    <row r="35" spans="1:26">
      <c r="A35" s="350">
        <v>46109</v>
      </c>
      <c r="B35" s="356">
        <f>+Report1!P36</f>
        <v>51.396000000000001</v>
      </c>
      <c r="C35" s="356">
        <f>+Report1!R36</f>
        <v>52.008000000000003</v>
      </c>
      <c r="D35" s="357">
        <f t="shared" si="0"/>
        <v>779867.67</v>
      </c>
      <c r="E35" s="357">
        <f>+[3]Dailymar!AL34</f>
        <v>31089.54</v>
      </c>
      <c r="F35" s="352">
        <f t="shared" si="1"/>
        <v>604.9019378939995</v>
      </c>
      <c r="G35" s="352">
        <f t="shared" si="2"/>
        <v>597.78380249192435</v>
      </c>
      <c r="H35" s="357">
        <f t="shared" si="3"/>
        <v>302387.66999999987</v>
      </c>
      <c r="I35" s="357">
        <f>+[3]Dailymar!AM34</f>
        <v>9929.5400000000009</v>
      </c>
      <c r="J35" s="352">
        <f t="shared" si="4"/>
        <v>193.19674682854699</v>
      </c>
      <c r="K35" s="352">
        <f t="shared" si="5"/>
        <v>190.92331948930934</v>
      </c>
      <c r="L35" s="357">
        <f t="shared" si="6"/>
        <v>17329.999999999931</v>
      </c>
      <c r="M35" s="357">
        <f>+[3]Dailymar!AN34</f>
        <v>619.99999999989086</v>
      </c>
      <c r="N35" s="352">
        <f t="shared" si="7"/>
        <v>12.0631955794204</v>
      </c>
      <c r="O35" s="352">
        <f t="shared" si="8"/>
        <v>11.921242885707791</v>
      </c>
      <c r="P35" s="357">
        <f t="shared" si="9"/>
        <v>41639.079999999893</v>
      </c>
      <c r="Q35" s="354">
        <f t="shared" si="10"/>
        <v>810.1618803019669</v>
      </c>
      <c r="R35" s="355">
        <f t="shared" si="11"/>
        <v>800.62836486694141</v>
      </c>
      <c r="S35" s="357">
        <f>+[3]Dailymar!BM34</f>
        <v>24768.949999999892</v>
      </c>
      <c r="T35" s="7">
        <f t="shared" si="12"/>
        <v>481.92369055957448</v>
      </c>
      <c r="U35" s="6">
        <f t="shared" si="13"/>
        <v>476.25269189355271</v>
      </c>
    </row>
    <row r="36" spans="1:26">
      <c r="A36" s="350">
        <v>46110</v>
      </c>
      <c r="B36" s="356">
        <f>+Report1!P37</f>
        <v>52.830799999999996</v>
      </c>
      <c r="C36" s="356">
        <f>+Report1!R37</f>
        <v>50.317</v>
      </c>
      <c r="D36" s="357">
        <f t="shared" si="0"/>
        <v>806643.93</v>
      </c>
      <c r="E36" s="357">
        <f>+[3]Dailymar!AL35</f>
        <v>26776.26</v>
      </c>
      <c r="F36" s="352">
        <f t="shared" si="1"/>
        <v>506.83048524724217</v>
      </c>
      <c r="G36" s="352">
        <f t="shared" si="2"/>
        <v>532.15136037522109</v>
      </c>
      <c r="H36" s="357">
        <f t="shared" si="3"/>
        <v>314003.92999999988</v>
      </c>
      <c r="I36" s="357">
        <f>+[3]Dailymar!AM35</f>
        <v>11616.26</v>
      </c>
      <c r="J36" s="352">
        <f t="shared" si="4"/>
        <v>219.87666285575841</v>
      </c>
      <c r="K36" s="352">
        <f t="shared" si="5"/>
        <v>230.8615378500308</v>
      </c>
      <c r="L36" s="357">
        <f t="shared" si="6"/>
        <v>17929.999999999953</v>
      </c>
      <c r="M36" s="357">
        <f>+[3]Dailymar!AN35</f>
        <v>600.00000000002274</v>
      </c>
      <c r="N36" s="352">
        <f t="shared" si="7"/>
        <v>11.357011440296622</v>
      </c>
      <c r="O36" s="352">
        <f t="shared" si="8"/>
        <v>11.924399308385292</v>
      </c>
      <c r="P36" s="357">
        <f t="shared" si="9"/>
        <v>38992.520000000019</v>
      </c>
      <c r="Q36" s="354">
        <f t="shared" si="10"/>
        <v>738.06415954329714</v>
      </c>
      <c r="R36" s="355">
        <f t="shared" si="11"/>
        <v>774.93729753363709</v>
      </c>
      <c r="S36" s="357">
        <f>+[3]Dailymar!BM35</f>
        <v>26625.161999999797</v>
      </c>
      <c r="T36" s="7">
        <f t="shared" si="12"/>
        <v>503.97044905622852</v>
      </c>
      <c r="U36" s="6">
        <f t="shared" si="13"/>
        <v>529.14843889738654</v>
      </c>
    </row>
    <row r="37" spans="1:26">
      <c r="A37" s="350">
        <v>46111</v>
      </c>
      <c r="B37" s="356">
        <f>+Report1!P38</f>
        <v>47.233000000000004</v>
      </c>
      <c r="C37" s="356">
        <f>+Report1!R38</f>
        <v>45.555</v>
      </c>
      <c r="D37" s="357">
        <f t="shared" si="0"/>
        <v>836813.47000000009</v>
      </c>
      <c r="E37" s="357">
        <f>+[3]Dailymar!AL36</f>
        <v>30169.54</v>
      </c>
      <c r="F37" s="352">
        <f t="shared" si="1"/>
        <v>638.7385937797726</v>
      </c>
      <c r="G37" s="352">
        <f t="shared" si="2"/>
        <v>662.26627153989682</v>
      </c>
      <c r="H37" s="357">
        <f t="shared" si="3"/>
        <v>325013.46999999986</v>
      </c>
      <c r="I37" s="357">
        <f>+[3]Dailymar!AM36</f>
        <v>11009.54</v>
      </c>
      <c r="J37" s="352">
        <f t="shared" si="4"/>
        <v>233.09000063514915</v>
      </c>
      <c r="K37" s="352">
        <f t="shared" si="5"/>
        <v>241.67577653386019</v>
      </c>
      <c r="L37" s="357">
        <f t="shared" si="6"/>
        <v>18610.000000000015</v>
      </c>
      <c r="M37" s="357">
        <f>+[3]Dailymar!AN36</f>
        <v>680.00000000006366</v>
      </c>
      <c r="N37" s="352">
        <f t="shared" si="7"/>
        <v>14.396714161710321</v>
      </c>
      <c r="O37" s="352">
        <f t="shared" si="8"/>
        <v>14.927011305017313</v>
      </c>
      <c r="P37" s="357">
        <f t="shared" si="9"/>
        <v>41859.080000000067</v>
      </c>
      <c r="Q37" s="354">
        <f t="shared" si="10"/>
        <v>886.22530857663207</v>
      </c>
      <c r="R37" s="355">
        <f t="shared" si="11"/>
        <v>918.86905937877441</v>
      </c>
      <c r="S37" s="357">
        <f>+[3]Dailymar!BM36</f>
        <v>21379.871999999665</v>
      </c>
      <c r="T37" s="7">
        <f t="shared" si="12"/>
        <v>452.64692058517693</v>
      </c>
      <c r="U37" s="6">
        <f t="shared" si="13"/>
        <v>469.31998682910029</v>
      </c>
    </row>
    <row r="38" spans="1:26">
      <c r="A38" s="350">
        <v>46112</v>
      </c>
      <c r="B38" s="356">
        <f>+Report1!P39</f>
        <v>33.408000000000001</v>
      </c>
      <c r="C38" s="356">
        <f>+Report1!R39</f>
        <v>33.673999999999999</v>
      </c>
      <c r="D38" s="357">
        <f t="shared" si="0"/>
        <v>860257.37000000011</v>
      </c>
      <c r="E38" s="357">
        <f>+[3]Dailymar!AL37</f>
        <v>23443.9</v>
      </c>
      <c r="F38" s="352">
        <f t="shared" si="1"/>
        <v>701.74509099616864</v>
      </c>
      <c r="G38" s="352">
        <f t="shared" si="2"/>
        <v>696.20181742590728</v>
      </c>
      <c r="H38" s="357">
        <f t="shared" si="3"/>
        <v>334297.36999999988</v>
      </c>
      <c r="I38" s="357">
        <f>+[3]Dailymar!AM37</f>
        <v>9283.9</v>
      </c>
      <c r="J38" s="352">
        <f t="shared" si="4"/>
        <v>277.89451628352487</v>
      </c>
      <c r="K38" s="352">
        <f t="shared" si="5"/>
        <v>275.69935261626182</v>
      </c>
      <c r="L38" s="357">
        <f t="shared" si="6"/>
        <v>19129.999999999996</v>
      </c>
      <c r="M38" s="357">
        <f>+[3]Dailymar!AN37</f>
        <v>519.99999999998181</v>
      </c>
      <c r="N38" s="352">
        <f t="shared" si="7"/>
        <v>15.565134099616314</v>
      </c>
      <c r="O38" s="352">
        <f t="shared" si="8"/>
        <v>15.442180911088133</v>
      </c>
      <c r="P38" s="357">
        <f t="shared" si="9"/>
        <v>33247.799999999988</v>
      </c>
      <c r="Q38" s="354">
        <f t="shared" si="10"/>
        <v>995.20474137931001</v>
      </c>
      <c r="R38" s="355">
        <f t="shared" si="11"/>
        <v>987.34335095325741</v>
      </c>
      <c r="S38" s="357">
        <f>+[3]Dailymar!BM37</f>
        <v>22302.439999999871</v>
      </c>
      <c r="T38" s="7">
        <f t="shared" si="12"/>
        <v>667.57782567049424</v>
      </c>
      <c r="U38" s="6">
        <f t="shared" si="13"/>
        <v>662.30444853595861</v>
      </c>
    </row>
    <row r="39" spans="1:26">
      <c r="A39" s="350"/>
      <c r="B39" s="356"/>
      <c r="C39" s="356"/>
      <c r="D39" s="346"/>
      <c r="E39" s="357"/>
      <c r="F39" s="352"/>
      <c r="G39" s="352"/>
      <c r="H39" s="347"/>
      <c r="I39" s="357"/>
      <c r="J39" s="352"/>
      <c r="K39" s="352"/>
      <c r="L39" s="349"/>
      <c r="M39" s="357"/>
      <c r="N39" s="352"/>
      <c r="O39" s="352"/>
      <c r="P39" s="353"/>
      <c r="Q39" s="354"/>
      <c r="R39" s="355"/>
      <c r="S39" s="355"/>
      <c r="T39" s="7"/>
      <c r="U39" s="6"/>
    </row>
    <row r="40" spans="1:26">
      <c r="A40" s="358" t="s">
        <v>29</v>
      </c>
      <c r="B40" s="359">
        <f>SUM(B8:B38)</f>
        <v>1452.9290999999996</v>
      </c>
      <c r="C40" s="359">
        <f>SUM(C8:C38)</f>
        <v>1421.287</v>
      </c>
      <c r="D40" s="353"/>
      <c r="E40" s="357">
        <f>SUM(E8:E39)</f>
        <v>860257.37000000011</v>
      </c>
      <c r="F40" s="360">
        <f>E40/B40</f>
        <v>592.08489251127276</v>
      </c>
      <c r="G40" s="360">
        <f>E40/C40</f>
        <v>605.26647327387082</v>
      </c>
      <c r="H40" s="361"/>
      <c r="I40" s="357">
        <f>SUM(I8:I39)</f>
        <v>334297.36999999988</v>
      </c>
      <c r="J40" s="360">
        <f>I40/B40</f>
        <v>230.08512252937874</v>
      </c>
      <c r="K40" s="360">
        <f>I40/C40</f>
        <v>235.20750559176287</v>
      </c>
      <c r="L40" s="362"/>
      <c r="M40" s="357">
        <f>SUM(M8:M39)</f>
        <v>19129.999999999996</v>
      </c>
      <c r="N40" s="360">
        <f>M40/B40</f>
        <v>13.166506197721555</v>
      </c>
      <c r="O40" s="360">
        <f>M40/C40</f>
        <v>13.459632009580046</v>
      </c>
      <c r="P40" s="357">
        <f t="shared" ref="P40" si="84">+E40+I40+M40</f>
        <v>1213684.74</v>
      </c>
      <c r="Q40" s="572">
        <f>P40/B40</f>
        <v>835.33652123837305</v>
      </c>
      <c r="R40" s="362">
        <f>P40/C40</f>
        <v>853.93361087521373</v>
      </c>
      <c r="S40" s="353">
        <f>+SUM(S8:S38)</f>
        <v>727485.28699999966</v>
      </c>
      <c r="T40" s="7">
        <f t="shared" si="12"/>
        <v>500.70253737777011</v>
      </c>
      <c r="U40" s="6">
        <f t="shared" si="13"/>
        <v>511.84967357050311</v>
      </c>
    </row>
    <row r="42" spans="1:26">
      <c r="P42" s="5">
        <v>-1413750.8400000005</v>
      </c>
      <c r="S42" s="5">
        <v>-457460.9152000001</v>
      </c>
    </row>
    <row r="43" spans="1:26">
      <c r="G43" s="363"/>
      <c r="H43" s="364"/>
    </row>
    <row r="44" spans="1:26">
      <c r="G44" s="363"/>
      <c r="I44" s="363"/>
      <c r="L44" s="363"/>
    </row>
    <row r="45" spans="1:26">
      <c r="E45" t="s">
        <v>0</v>
      </c>
      <c r="G45" s="363"/>
    </row>
  </sheetData>
  <mergeCells count="10">
    <mergeCell ref="A2:P2"/>
    <mergeCell ref="D4:O4"/>
    <mergeCell ref="P4:R5"/>
    <mergeCell ref="S4:U5"/>
    <mergeCell ref="H5:K5"/>
    <mergeCell ref="L5:O5"/>
    <mergeCell ref="A4:A6"/>
    <mergeCell ref="B4:B6"/>
    <mergeCell ref="C4:C6"/>
    <mergeCell ref="D5:G5"/>
  </mergeCells>
  <phoneticPr fontId="31"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95"/>
  <sheetViews>
    <sheetView topLeftCell="A64" zoomScaleNormal="100" workbookViewId="0">
      <selection activeCell="L89" sqref="L89"/>
    </sheetView>
  </sheetViews>
  <sheetFormatPr defaultRowHeight="12.75"/>
  <cols>
    <col min="1" max="1" width="10.140625" bestFit="1" customWidth="1"/>
    <col min="2" max="2" width="15.42578125" bestFit="1" customWidth="1"/>
    <col min="4" max="4" width="22.28515625" customWidth="1"/>
    <col min="8" max="8" width="9.5703125" bestFit="1" customWidth="1"/>
  </cols>
  <sheetData>
    <row r="1" spans="1:9">
      <c r="A1" s="94" t="s">
        <v>385</v>
      </c>
      <c r="B1" s="369">
        <f>+Report1!A9</f>
        <v>46082</v>
      </c>
      <c r="C1" s="95"/>
      <c r="G1" s="96"/>
      <c r="H1" s="97"/>
    </row>
    <row r="2" spans="1:9" ht="13.5" thickBot="1">
      <c r="A2" s="94"/>
      <c r="B2" s="95"/>
      <c r="C2" s="95"/>
      <c r="G2" s="96"/>
      <c r="H2" s="97"/>
    </row>
    <row r="3" spans="1:9" ht="26.25" thickBot="1">
      <c r="A3" s="424" t="s">
        <v>134</v>
      </c>
      <c r="B3" s="410" t="s">
        <v>10</v>
      </c>
      <c r="C3" s="410" t="s">
        <v>107</v>
      </c>
      <c r="D3" s="410" t="s">
        <v>135</v>
      </c>
      <c r="E3" s="410" t="s">
        <v>136</v>
      </c>
      <c r="F3" s="410" t="s">
        <v>137</v>
      </c>
      <c r="G3" s="411" t="s">
        <v>138</v>
      </c>
      <c r="H3" s="453" t="s">
        <v>139</v>
      </c>
      <c r="I3" s="585" t="s">
        <v>404</v>
      </c>
    </row>
    <row r="4" spans="1:9">
      <c r="A4" s="373">
        <f>+B1</f>
        <v>46082</v>
      </c>
      <c r="B4" s="439" t="s">
        <v>413</v>
      </c>
      <c r="C4" s="374">
        <v>2</v>
      </c>
      <c r="D4" s="409" t="s">
        <v>435</v>
      </c>
      <c r="E4" s="409">
        <f>275*1</f>
        <v>275</v>
      </c>
      <c r="F4" s="375">
        <v>4</v>
      </c>
      <c r="G4" s="374">
        <f>+E4*F4</f>
        <v>1100</v>
      </c>
      <c r="H4" s="441">
        <f>+(F4*E4+F5*E5)/SUM(F4:F5)</f>
        <v>268.76923076923077</v>
      </c>
      <c r="I4" s="586">
        <f>+'1'!I38</f>
        <v>39.513000000000005</v>
      </c>
    </row>
    <row r="5" spans="1:9">
      <c r="A5" s="549"/>
      <c r="B5" s="550" t="s">
        <v>413</v>
      </c>
      <c r="C5" s="551">
        <v>2</v>
      </c>
      <c r="D5" s="552" t="s">
        <v>400</v>
      </c>
      <c r="E5" s="552">
        <f>133*2</f>
        <v>266</v>
      </c>
      <c r="F5" s="553">
        <f>18/2</f>
        <v>9</v>
      </c>
      <c r="G5" s="551">
        <f>+E5*F5</f>
        <v>2394</v>
      </c>
      <c r="H5" s="441"/>
      <c r="I5" s="586"/>
    </row>
    <row r="6" spans="1:9">
      <c r="A6" s="549"/>
      <c r="B6" s="550" t="s">
        <v>414</v>
      </c>
      <c r="C6" s="551">
        <v>2</v>
      </c>
      <c r="D6" s="552" t="s">
        <v>436</v>
      </c>
      <c r="E6" s="552">
        <f>269.5*1</f>
        <v>269.5</v>
      </c>
      <c r="F6" s="553">
        <f>19+20</f>
        <v>39</v>
      </c>
      <c r="G6" s="551">
        <f>+E6*F6</f>
        <v>10510.5</v>
      </c>
      <c r="H6" s="441">
        <f>+G6/F6</f>
        <v>269.5</v>
      </c>
      <c r="I6" s="586"/>
    </row>
    <row r="7" spans="1:9" ht="13.5" thickBot="1">
      <c r="A7" s="412"/>
      <c r="B7" s="413"/>
      <c r="C7" s="414"/>
      <c r="D7" s="415"/>
      <c r="E7" s="414"/>
      <c r="F7" s="414"/>
      <c r="G7" s="414"/>
      <c r="H7" s="440"/>
      <c r="I7" s="440"/>
    </row>
    <row r="8" spans="1:9">
      <c r="A8" s="373">
        <f>+A4+1</f>
        <v>46083</v>
      </c>
      <c r="B8" s="550" t="s">
        <v>414</v>
      </c>
      <c r="C8" s="551">
        <v>2</v>
      </c>
      <c r="D8" s="552" t="s">
        <v>436</v>
      </c>
      <c r="E8" s="552">
        <f>269.5*1</f>
        <v>269.5</v>
      </c>
      <c r="F8" s="553">
        <v>43</v>
      </c>
      <c r="G8" s="551">
        <f>+E8*F8</f>
        <v>11588.5</v>
      </c>
      <c r="H8" s="441">
        <f>+G8/F8</f>
        <v>269.5</v>
      </c>
      <c r="I8" s="586">
        <f>+'2'!I38</f>
        <v>24.8813</v>
      </c>
    </row>
    <row r="9" spans="1:9" ht="13.5" thickBot="1">
      <c r="A9" s="412"/>
      <c r="B9" s="413"/>
      <c r="C9" s="414"/>
      <c r="D9" s="415"/>
      <c r="E9" s="414"/>
      <c r="F9" s="414"/>
      <c r="G9" s="414"/>
      <c r="H9" s="440"/>
      <c r="I9" s="440"/>
    </row>
    <row r="10" spans="1:9">
      <c r="A10" s="373">
        <f>+A8+1</f>
        <v>46084</v>
      </c>
      <c r="B10" s="550" t="s">
        <v>414</v>
      </c>
      <c r="C10" s="551">
        <v>2</v>
      </c>
      <c r="D10" s="552" t="s">
        <v>436</v>
      </c>
      <c r="E10" s="552">
        <f>269.5*1</f>
        <v>269.5</v>
      </c>
      <c r="F10" s="553">
        <f>22+8</f>
        <v>30</v>
      </c>
      <c r="G10" s="551">
        <f>+E10*F10</f>
        <v>8085</v>
      </c>
      <c r="H10" s="441">
        <f>+G10/F10</f>
        <v>269.5</v>
      </c>
      <c r="I10" s="586">
        <f>+'3'!I38</f>
        <v>43.93</v>
      </c>
    </row>
    <row r="11" spans="1:9">
      <c r="A11" s="549"/>
      <c r="B11" s="550" t="s">
        <v>413</v>
      </c>
      <c r="C11" s="595">
        <v>2</v>
      </c>
      <c r="D11" s="596" t="s">
        <v>435</v>
      </c>
      <c r="E11" s="552">
        <f>275*1</f>
        <v>275</v>
      </c>
      <c r="F11" s="553">
        <f>12+17</f>
        <v>29</v>
      </c>
      <c r="G11" s="551">
        <f>+E11*F11</f>
        <v>7975</v>
      </c>
      <c r="H11" s="441">
        <f>+G11/F11</f>
        <v>275</v>
      </c>
      <c r="I11" s="586"/>
    </row>
    <row r="12" spans="1:9" ht="13.5" thickBot="1">
      <c r="A12" s="412"/>
      <c r="B12" s="413"/>
      <c r="C12" s="414"/>
      <c r="D12" s="415"/>
      <c r="E12" s="414"/>
      <c r="F12" s="414"/>
      <c r="G12" s="414"/>
      <c r="H12" s="440"/>
      <c r="I12" s="440"/>
    </row>
    <row r="13" spans="1:9">
      <c r="A13" s="373">
        <v>46085</v>
      </c>
      <c r="B13" s="550" t="s">
        <v>413</v>
      </c>
      <c r="C13" s="551">
        <v>2</v>
      </c>
      <c r="D13" s="552" t="s">
        <v>435</v>
      </c>
      <c r="E13" s="552">
        <f>275*1</f>
        <v>275</v>
      </c>
      <c r="F13" s="552">
        <f>6+9</f>
        <v>15</v>
      </c>
      <c r="G13" s="551">
        <f>+E13*F13</f>
        <v>4125</v>
      </c>
      <c r="H13" s="441">
        <f>+G13/F13</f>
        <v>275</v>
      </c>
      <c r="I13" s="586">
        <f>+'4'!I38</f>
        <v>38.302</v>
      </c>
    </row>
    <row r="14" spans="1:9">
      <c r="A14" s="549"/>
      <c r="B14" s="550" t="s">
        <v>414</v>
      </c>
      <c r="C14" s="595">
        <v>2</v>
      </c>
      <c r="D14" s="552" t="s">
        <v>436</v>
      </c>
      <c r="E14" s="552">
        <f>269.5*1</f>
        <v>269.5</v>
      </c>
      <c r="F14" s="552">
        <f>6+14+11+10</f>
        <v>41</v>
      </c>
      <c r="G14" s="551">
        <f>+E14*F14</f>
        <v>11049.5</v>
      </c>
      <c r="H14" s="441">
        <f>+G14/F14</f>
        <v>269.5</v>
      </c>
      <c r="I14" s="586"/>
    </row>
    <row r="15" spans="1:9" ht="13.5" thickBot="1">
      <c r="A15" s="412"/>
      <c r="B15" s="413"/>
      <c r="C15" s="414"/>
      <c r="D15" s="415"/>
      <c r="E15" s="414"/>
      <c r="F15" s="414"/>
      <c r="G15" s="414"/>
      <c r="H15" s="440"/>
      <c r="I15" s="440"/>
    </row>
    <row r="16" spans="1:9">
      <c r="A16" s="373">
        <f>+A13+1</f>
        <v>46086</v>
      </c>
      <c r="B16" s="550" t="s">
        <v>414</v>
      </c>
      <c r="C16" s="595">
        <v>2</v>
      </c>
      <c r="D16" s="552" t="s">
        <v>436</v>
      </c>
      <c r="E16" s="552">
        <f>269.5*1</f>
        <v>269.5</v>
      </c>
      <c r="F16" s="552">
        <f>21+22+12</f>
        <v>55</v>
      </c>
      <c r="G16" s="551">
        <f>+E16*F16</f>
        <v>14822.5</v>
      </c>
      <c r="H16" s="441">
        <f>+G16/F16</f>
        <v>269.5</v>
      </c>
      <c r="I16" s="586">
        <f>+'5'!I38</f>
        <v>42.480000000000004</v>
      </c>
    </row>
    <row r="17" spans="1:9">
      <c r="A17" s="549"/>
      <c r="B17" s="550" t="s">
        <v>497</v>
      </c>
      <c r="C17" s="595">
        <v>2</v>
      </c>
      <c r="D17" s="552" t="s">
        <v>436</v>
      </c>
      <c r="E17" s="552">
        <f>269.5*1</f>
        <v>269.5</v>
      </c>
      <c r="F17" s="552">
        <v>6</v>
      </c>
      <c r="G17" s="551">
        <f>+E17*F17</f>
        <v>1617</v>
      </c>
      <c r="H17" s="441">
        <f>+G17/F17</f>
        <v>269.5</v>
      </c>
      <c r="I17" s="586"/>
    </row>
    <row r="18" spans="1:9" ht="13.5" thickBot="1">
      <c r="A18" s="412"/>
      <c r="B18" s="413"/>
      <c r="C18" s="414"/>
      <c r="D18" s="415"/>
      <c r="E18" s="414"/>
      <c r="F18" s="414"/>
      <c r="G18" s="414"/>
      <c r="H18" s="440"/>
      <c r="I18" s="440"/>
    </row>
    <row r="19" spans="1:9">
      <c r="A19" s="373">
        <v>46087</v>
      </c>
      <c r="B19" s="550" t="s">
        <v>497</v>
      </c>
      <c r="C19" s="595">
        <v>2</v>
      </c>
      <c r="D19" s="552" t="s">
        <v>514</v>
      </c>
      <c r="E19" s="552">
        <f>254+15</f>
        <v>269</v>
      </c>
      <c r="F19" s="552">
        <v>20</v>
      </c>
      <c r="G19" s="374">
        <f>+E19*F19</f>
        <v>5380</v>
      </c>
      <c r="H19" s="441">
        <f>+(F19*E19+F20*E20)/SUM(F19:F20)</f>
        <v>264.3125</v>
      </c>
      <c r="I19" s="586">
        <f>+'6'!I38</f>
        <v>26.557000000000002</v>
      </c>
    </row>
    <row r="20" spans="1:9">
      <c r="A20" s="549"/>
      <c r="B20" s="550" t="s">
        <v>497</v>
      </c>
      <c r="C20" s="551">
        <v>2</v>
      </c>
      <c r="D20" s="552" t="s">
        <v>513</v>
      </c>
      <c r="E20" s="552">
        <f>256.5*1</f>
        <v>256.5</v>
      </c>
      <c r="F20" s="553">
        <v>12</v>
      </c>
      <c r="G20" s="551">
        <f>+E20*F20</f>
        <v>3078</v>
      </c>
      <c r="H20" s="441"/>
      <c r="I20" s="586"/>
    </row>
    <row r="21" spans="1:9">
      <c r="A21" s="549"/>
      <c r="B21" s="550" t="s">
        <v>509</v>
      </c>
      <c r="C21" s="595">
        <v>2</v>
      </c>
      <c r="D21" s="596" t="s">
        <v>436</v>
      </c>
      <c r="E21" s="596">
        <f>269.5*1</f>
        <v>269.5</v>
      </c>
      <c r="F21" s="596">
        <v>0</v>
      </c>
      <c r="G21" s="595">
        <f>+E21*F21</f>
        <v>0</v>
      </c>
      <c r="H21" s="441">
        <f>+E21</f>
        <v>269.5</v>
      </c>
      <c r="I21" s="586"/>
    </row>
    <row r="22" spans="1:9">
      <c r="A22" s="549"/>
      <c r="B22" s="550" t="s">
        <v>413</v>
      </c>
      <c r="C22" s="595">
        <v>2</v>
      </c>
      <c r="D22" s="596" t="s">
        <v>435</v>
      </c>
      <c r="E22" s="596">
        <f>275*1</f>
        <v>275</v>
      </c>
      <c r="F22" s="596">
        <v>0</v>
      </c>
      <c r="G22" s="595">
        <f>+E22*F22</f>
        <v>0</v>
      </c>
      <c r="H22" s="441">
        <f>+E22</f>
        <v>275</v>
      </c>
      <c r="I22" s="586"/>
    </row>
    <row r="23" spans="1:9" ht="13.5" thickBot="1">
      <c r="A23" s="412"/>
      <c r="B23" s="413"/>
      <c r="C23" s="414"/>
      <c r="D23" s="415"/>
      <c r="E23" s="414"/>
      <c r="F23" s="414"/>
      <c r="G23" s="414"/>
      <c r="H23" s="440"/>
      <c r="I23" s="440"/>
    </row>
    <row r="24" spans="1:9">
      <c r="A24" s="597">
        <v>46088</v>
      </c>
      <c r="B24" s="550" t="s">
        <v>509</v>
      </c>
      <c r="C24" s="595">
        <v>2</v>
      </c>
      <c r="D24" s="596" t="s">
        <v>436</v>
      </c>
      <c r="E24" s="596">
        <f>269.5*1</f>
        <v>269.5</v>
      </c>
      <c r="F24" s="596">
        <f>13+8+17+6</f>
        <v>44</v>
      </c>
      <c r="G24" s="595">
        <f>+E24*F24</f>
        <v>11858</v>
      </c>
      <c r="H24" s="441">
        <f>+G24/F24</f>
        <v>269.5</v>
      </c>
      <c r="I24" s="586">
        <f>+'7'!I38</f>
        <v>37.051000000000002</v>
      </c>
    </row>
    <row r="25" spans="1:9">
      <c r="A25" s="549"/>
      <c r="B25" s="550" t="s">
        <v>544</v>
      </c>
      <c r="C25" s="595">
        <v>2</v>
      </c>
      <c r="D25" s="596" t="s">
        <v>557</v>
      </c>
      <c r="E25" s="596">
        <f>258*1</f>
        <v>258</v>
      </c>
      <c r="F25" s="596">
        <v>0</v>
      </c>
      <c r="G25" s="595">
        <f>+E25*F25</f>
        <v>0</v>
      </c>
      <c r="H25" s="441">
        <f>+E25</f>
        <v>258</v>
      </c>
      <c r="I25" s="586"/>
    </row>
    <row r="26" spans="1:9" ht="13.5" thickBot="1">
      <c r="A26" s="412"/>
      <c r="B26" s="413"/>
      <c r="C26" s="414"/>
      <c r="D26" s="415"/>
      <c r="E26" s="414"/>
      <c r="F26" s="414"/>
      <c r="G26" s="414"/>
      <c r="H26" s="440"/>
      <c r="I26" s="440"/>
    </row>
    <row r="27" spans="1:9">
      <c r="A27" s="597">
        <v>46089</v>
      </c>
      <c r="B27" s="550" t="s">
        <v>509</v>
      </c>
      <c r="C27" s="595">
        <v>2</v>
      </c>
      <c r="D27" s="596" t="s">
        <v>436</v>
      </c>
      <c r="E27" s="596">
        <f>269.5*1</f>
        <v>269.5</v>
      </c>
      <c r="F27" s="596">
        <f>3+2</f>
        <v>5</v>
      </c>
      <c r="G27" s="595">
        <f>+E27*F27</f>
        <v>1347.5</v>
      </c>
      <c r="H27" s="441">
        <f>+G27/F27</f>
        <v>269.5</v>
      </c>
      <c r="I27" s="586">
        <f>+'8'!I38</f>
        <v>43.849999999999994</v>
      </c>
    </row>
    <row r="28" spans="1:9">
      <c r="A28" s="549"/>
      <c r="B28" s="550" t="s">
        <v>544</v>
      </c>
      <c r="C28" s="595">
        <v>2</v>
      </c>
      <c r="D28" s="596" t="s">
        <v>557</v>
      </c>
      <c r="E28" s="596">
        <f>258*1</f>
        <v>258</v>
      </c>
      <c r="F28" s="596">
        <f>4+11+7+5</f>
        <v>27</v>
      </c>
      <c r="G28" s="595">
        <f>+E28*F28</f>
        <v>6966</v>
      </c>
      <c r="H28" s="441">
        <f>+G28/F28</f>
        <v>258</v>
      </c>
      <c r="I28" s="586"/>
    </row>
    <row r="29" spans="1:9">
      <c r="A29" s="549"/>
      <c r="B29" s="550" t="s">
        <v>545</v>
      </c>
      <c r="C29" s="595">
        <v>2</v>
      </c>
      <c r="D29" s="596" t="s">
        <v>558</v>
      </c>
      <c r="E29" s="596">
        <f>264*1</f>
        <v>264</v>
      </c>
      <c r="F29" s="596">
        <f>4+2+10+9</f>
        <v>25</v>
      </c>
      <c r="G29" s="595">
        <f t="shared" ref="G29:G30" si="0">+E29*F29</f>
        <v>6600</v>
      </c>
      <c r="H29" s="441">
        <f>+(F29*E29+F30*E30)/SUM(F29:F30)</f>
        <v>264.55172413793105</v>
      </c>
      <c r="I29" s="586"/>
    </row>
    <row r="30" spans="1:9">
      <c r="A30" s="549"/>
      <c r="B30" s="550" t="s">
        <v>545</v>
      </c>
      <c r="C30" s="595">
        <v>2</v>
      </c>
      <c r="D30" s="596" t="s">
        <v>559</v>
      </c>
      <c r="E30" s="596">
        <f>268*1</f>
        <v>268</v>
      </c>
      <c r="F30" s="596">
        <v>4</v>
      </c>
      <c r="G30" s="595">
        <f t="shared" si="0"/>
        <v>1072</v>
      </c>
      <c r="H30" s="441"/>
      <c r="I30" s="586"/>
    </row>
    <row r="31" spans="1:9" ht="13.5" thickBot="1">
      <c r="A31" s="412"/>
      <c r="B31" s="413"/>
      <c r="C31" s="414"/>
      <c r="D31" s="415"/>
      <c r="E31" s="414"/>
      <c r="F31" s="414"/>
      <c r="G31" s="414"/>
      <c r="H31" s="440"/>
      <c r="I31" s="440"/>
    </row>
    <row r="32" spans="1:9">
      <c r="A32" s="597">
        <v>46090</v>
      </c>
      <c r="B32" s="550" t="s">
        <v>545</v>
      </c>
      <c r="C32" s="595">
        <v>2</v>
      </c>
      <c r="D32" s="596" t="s">
        <v>558</v>
      </c>
      <c r="E32" s="596">
        <f>264*1</f>
        <v>264</v>
      </c>
      <c r="F32" s="596">
        <f>10+9</f>
        <v>19</v>
      </c>
      <c r="G32" s="595">
        <f t="shared" ref="G32:G33" si="1">+E32*F32</f>
        <v>5016</v>
      </c>
      <c r="H32" s="441">
        <f>+G32/F32</f>
        <v>264</v>
      </c>
      <c r="I32" s="586">
        <f>+'8'!I43</f>
        <v>62.4</v>
      </c>
    </row>
    <row r="33" spans="1:9">
      <c r="A33" s="549"/>
      <c r="B33" s="550" t="s">
        <v>568</v>
      </c>
      <c r="C33" s="595">
        <v>2</v>
      </c>
      <c r="D33" s="596" t="s">
        <v>577</v>
      </c>
      <c r="E33" s="596">
        <f>86*3</f>
        <v>258</v>
      </c>
      <c r="F33" s="596">
        <f>10+9+9+10+1</f>
        <v>39</v>
      </c>
      <c r="G33" s="595">
        <f t="shared" si="1"/>
        <v>10062</v>
      </c>
      <c r="H33" s="441">
        <f>+G33/F33</f>
        <v>258</v>
      </c>
      <c r="I33" s="586"/>
    </row>
    <row r="34" spans="1:9" ht="13.5" thickBot="1">
      <c r="A34" s="412"/>
      <c r="B34" s="413"/>
      <c r="C34" s="414"/>
      <c r="D34" s="415"/>
      <c r="E34" s="414"/>
      <c r="F34" s="414"/>
      <c r="G34" s="414"/>
      <c r="H34" s="440"/>
      <c r="I34" s="440"/>
    </row>
    <row r="35" spans="1:9">
      <c r="A35" s="597">
        <v>46091</v>
      </c>
      <c r="B35" s="550" t="s">
        <v>568</v>
      </c>
      <c r="C35" s="595">
        <v>2</v>
      </c>
      <c r="D35" s="596" t="s">
        <v>577</v>
      </c>
      <c r="E35" s="596">
        <f>264*1</f>
        <v>264</v>
      </c>
      <c r="F35" s="596">
        <v>7</v>
      </c>
      <c r="G35" s="595">
        <f t="shared" ref="G35:G36" si="2">+E35*F35</f>
        <v>1848</v>
      </c>
      <c r="H35" s="441">
        <f>+G35/F35</f>
        <v>264</v>
      </c>
      <c r="I35" s="586">
        <f>+'10'!I38</f>
        <v>54.356999999999999</v>
      </c>
    </row>
    <row r="36" spans="1:9">
      <c r="A36" s="549"/>
      <c r="B36" s="550" t="s">
        <v>581</v>
      </c>
      <c r="C36" s="595">
        <v>2</v>
      </c>
      <c r="D36" s="596" t="s">
        <v>588</v>
      </c>
      <c r="E36" s="596">
        <f>257*1</f>
        <v>257</v>
      </c>
      <c r="F36" s="596">
        <f>16+9+16</f>
        <v>41</v>
      </c>
      <c r="G36" s="595">
        <f t="shared" si="2"/>
        <v>10537</v>
      </c>
      <c r="H36" s="441">
        <f>+G36/F36</f>
        <v>257</v>
      </c>
      <c r="I36" s="586"/>
    </row>
    <row r="37" spans="1:9" ht="13.5" thickBot="1">
      <c r="A37" s="412"/>
      <c r="B37" s="413"/>
      <c r="C37" s="414"/>
      <c r="D37" s="415"/>
      <c r="E37" s="414"/>
      <c r="F37" s="414"/>
      <c r="G37" s="414"/>
      <c r="H37" s="440"/>
      <c r="I37" s="440"/>
    </row>
    <row r="38" spans="1:9">
      <c r="A38" s="549">
        <v>46092</v>
      </c>
      <c r="B38" s="550" t="s">
        <v>581</v>
      </c>
      <c r="C38" s="595">
        <v>2</v>
      </c>
      <c r="D38" s="596" t="s">
        <v>588</v>
      </c>
      <c r="E38" s="596">
        <f>257*1</f>
        <v>257</v>
      </c>
      <c r="F38" s="596">
        <v>48</v>
      </c>
      <c r="G38" s="595">
        <f t="shared" ref="G38" si="3">+E38*F38</f>
        <v>12336</v>
      </c>
      <c r="H38" s="441">
        <f>+G38/F38</f>
        <v>257</v>
      </c>
      <c r="I38" s="586">
        <f>+'11'!I38</f>
        <v>54.594000000000001</v>
      </c>
    </row>
    <row r="39" spans="1:9" ht="13.5" thickBot="1">
      <c r="A39" s="412"/>
      <c r="B39" s="413"/>
      <c r="C39" s="414"/>
      <c r="D39" s="415"/>
      <c r="E39" s="414"/>
      <c r="F39" s="414"/>
      <c r="G39" s="414"/>
      <c r="H39" s="440"/>
      <c r="I39" s="440"/>
    </row>
    <row r="40" spans="1:9">
      <c r="A40" s="549">
        <v>46093</v>
      </c>
      <c r="B40" s="550" t="s">
        <v>581</v>
      </c>
      <c r="C40" s="595">
        <v>2</v>
      </c>
      <c r="D40" s="596" t="s">
        <v>588</v>
      </c>
      <c r="E40" s="596">
        <f>257*1</f>
        <v>257</v>
      </c>
      <c r="F40" s="596">
        <f>8+8+8+8+9+7</f>
        <v>48</v>
      </c>
      <c r="G40" s="595">
        <f t="shared" ref="G40" si="4">+E40*F40</f>
        <v>12336</v>
      </c>
      <c r="H40" s="441">
        <f>+G40/F40</f>
        <v>257</v>
      </c>
      <c r="I40" s="586">
        <f>+'11'!I40</f>
        <v>52.383000000000003</v>
      </c>
    </row>
    <row r="41" spans="1:9">
      <c r="A41" s="549"/>
      <c r="B41" s="550" t="s">
        <v>568</v>
      </c>
      <c r="C41" s="595">
        <v>2</v>
      </c>
      <c r="D41" s="596" t="s">
        <v>577</v>
      </c>
      <c r="E41" s="596">
        <f>86*3</f>
        <v>258</v>
      </c>
      <c r="F41" s="596">
        <v>0</v>
      </c>
      <c r="G41" s="595">
        <v>0</v>
      </c>
      <c r="H41" s="441">
        <f>+E41</f>
        <v>258</v>
      </c>
      <c r="I41" s="586"/>
    </row>
    <row r="42" spans="1:9" ht="13.5" thickBot="1">
      <c r="A42" s="412"/>
      <c r="B42" s="413"/>
      <c r="C42" s="414"/>
      <c r="D42" s="415"/>
      <c r="E42" s="414"/>
      <c r="F42" s="414"/>
      <c r="G42" s="414"/>
      <c r="H42" s="440"/>
      <c r="I42" s="440"/>
    </row>
    <row r="43" spans="1:9">
      <c r="A43" s="549">
        <v>46094</v>
      </c>
      <c r="B43" s="550" t="s">
        <v>581</v>
      </c>
      <c r="C43" s="595">
        <v>2</v>
      </c>
      <c r="D43" s="596" t="s">
        <v>588</v>
      </c>
      <c r="E43" s="596">
        <f>257*1</f>
        <v>257</v>
      </c>
      <c r="F43" s="596">
        <f>1+4+8</f>
        <v>13</v>
      </c>
      <c r="G43" s="595">
        <f t="shared" ref="G43" si="5">+E43*F43</f>
        <v>3341</v>
      </c>
      <c r="H43" s="441">
        <f>+G43/F43</f>
        <v>257</v>
      </c>
      <c r="I43" s="586">
        <f>+'13'!I38</f>
        <v>51.14</v>
      </c>
    </row>
    <row r="44" spans="1:9">
      <c r="A44" s="549"/>
      <c r="B44" s="550" t="s">
        <v>568</v>
      </c>
      <c r="C44" s="595">
        <v>2</v>
      </c>
      <c r="D44" s="596" t="s">
        <v>577</v>
      </c>
      <c r="E44" s="596">
        <f>86*3</f>
        <v>258</v>
      </c>
      <c r="F44" s="596">
        <f>6+9+10+1+1+1</f>
        <v>28</v>
      </c>
      <c r="G44" s="595">
        <f t="shared" ref="G44:G45" si="6">+E44*F44</f>
        <v>7224</v>
      </c>
      <c r="H44" s="441">
        <f>+(F44*E44+F45*E45)/SUM(F44:F45)</f>
        <v>259.33333333333331</v>
      </c>
      <c r="I44" s="586"/>
    </row>
    <row r="45" spans="1:9">
      <c r="A45" s="549"/>
      <c r="B45" s="550" t="s">
        <v>568</v>
      </c>
      <c r="C45" s="595">
        <v>2</v>
      </c>
      <c r="D45" s="596" t="s">
        <v>603</v>
      </c>
      <c r="E45" s="596">
        <f>72*3+46</f>
        <v>262</v>
      </c>
      <c r="F45" s="596">
        <f>8+6</f>
        <v>14</v>
      </c>
      <c r="G45" s="595">
        <f t="shared" si="6"/>
        <v>3668</v>
      </c>
      <c r="H45" s="441"/>
      <c r="I45" s="586"/>
    </row>
    <row r="46" spans="1:9" ht="13.5" thickBot="1">
      <c r="A46" s="412"/>
      <c r="B46" s="413"/>
      <c r="C46" s="414"/>
      <c r="D46" s="415"/>
      <c r="E46" s="414"/>
      <c r="F46" s="414"/>
      <c r="G46" s="414"/>
      <c r="H46" s="440"/>
      <c r="I46" s="440"/>
    </row>
    <row r="47" spans="1:9">
      <c r="A47" s="549">
        <v>46095</v>
      </c>
      <c r="B47" s="550" t="s">
        <v>581</v>
      </c>
      <c r="C47" s="595">
        <v>2</v>
      </c>
      <c r="D47" s="596" t="s">
        <v>588</v>
      </c>
      <c r="E47" s="596">
        <f>257*1</f>
        <v>257</v>
      </c>
      <c r="F47" s="596">
        <v>48</v>
      </c>
      <c r="G47" s="595">
        <f t="shared" ref="G47" si="7">+E47*F47</f>
        <v>12336</v>
      </c>
      <c r="H47" s="441">
        <f>+G47/F47</f>
        <v>257</v>
      </c>
      <c r="I47" s="586">
        <f>+'14'!I38</f>
        <v>52.802999999999997</v>
      </c>
    </row>
    <row r="48" spans="1:9" ht="13.5" thickBot="1">
      <c r="A48" s="412"/>
      <c r="B48" s="413"/>
      <c r="C48" s="414"/>
      <c r="D48" s="415"/>
      <c r="E48" s="414"/>
      <c r="F48" s="414"/>
      <c r="G48" s="414"/>
      <c r="H48" s="440"/>
      <c r="I48" s="440"/>
    </row>
    <row r="49" spans="1:9">
      <c r="A49" s="549">
        <v>46096</v>
      </c>
      <c r="B49" s="550" t="s">
        <v>581</v>
      </c>
      <c r="C49" s="595">
        <v>2</v>
      </c>
      <c r="D49" s="596" t="s">
        <v>588</v>
      </c>
      <c r="E49" s="596">
        <f>257*1</f>
        <v>257</v>
      </c>
      <c r="F49" s="596">
        <f>16+14</f>
        <v>30</v>
      </c>
      <c r="G49" s="595">
        <f t="shared" ref="G49" si="8">+E49*F49</f>
        <v>7710</v>
      </c>
      <c r="H49" s="441">
        <f>+(F49*E49+F50*E50)/SUM(F49:F50)</f>
        <v>256.5263157894737</v>
      </c>
      <c r="I49" s="586">
        <f>+'15'!I38</f>
        <v>52.868000000000002</v>
      </c>
    </row>
    <row r="50" spans="1:9">
      <c r="A50" s="549"/>
      <c r="B50" s="550" t="s">
        <v>581</v>
      </c>
      <c r="C50" s="595">
        <v>2</v>
      </c>
      <c r="D50" s="596" t="s">
        <v>619</v>
      </c>
      <c r="E50" s="596">
        <f>256*1</f>
        <v>256</v>
      </c>
      <c r="F50" s="596">
        <f>23+4</f>
        <v>27</v>
      </c>
      <c r="G50" s="595">
        <f t="shared" ref="G50" si="9">+E50*F50</f>
        <v>6912</v>
      </c>
      <c r="H50" s="441"/>
      <c r="I50" s="586"/>
    </row>
    <row r="51" spans="1:9" ht="13.5" thickBot="1">
      <c r="A51" s="412"/>
      <c r="B51" s="413"/>
      <c r="C51" s="414"/>
      <c r="D51" s="415"/>
      <c r="E51" s="414"/>
      <c r="F51" s="414"/>
      <c r="G51" s="414"/>
      <c r="H51" s="440"/>
      <c r="I51" s="440"/>
    </row>
    <row r="52" spans="1:9">
      <c r="A52" s="549">
        <v>46097</v>
      </c>
      <c r="B52" s="550" t="s">
        <v>581</v>
      </c>
      <c r="C52" s="595">
        <v>2</v>
      </c>
      <c r="D52" s="596" t="s">
        <v>619</v>
      </c>
      <c r="E52" s="596">
        <f>256*1</f>
        <v>256</v>
      </c>
      <c r="F52" s="596">
        <v>70</v>
      </c>
      <c r="G52" s="595">
        <f t="shared" ref="G52" si="10">+E52*F52</f>
        <v>17920</v>
      </c>
      <c r="H52" s="441">
        <f>+G52/F52</f>
        <v>256</v>
      </c>
      <c r="I52" s="586">
        <f>+'16'!I38</f>
        <v>53.505000000000003</v>
      </c>
    </row>
    <row r="53" spans="1:9" ht="13.5" thickBot="1">
      <c r="A53" s="412"/>
      <c r="B53" s="413"/>
      <c r="C53" s="414"/>
      <c r="D53" s="415"/>
      <c r="E53" s="414"/>
      <c r="F53" s="414"/>
      <c r="G53" s="414"/>
      <c r="H53" s="440"/>
      <c r="I53" s="440"/>
    </row>
    <row r="54" spans="1:9">
      <c r="A54" s="549">
        <v>46098</v>
      </c>
      <c r="B54" s="550" t="s">
        <v>581</v>
      </c>
      <c r="C54" s="595">
        <v>2</v>
      </c>
      <c r="D54" s="596" t="s">
        <v>619</v>
      </c>
      <c r="E54" s="596">
        <f>256*1</f>
        <v>256</v>
      </c>
      <c r="F54" s="596">
        <v>71</v>
      </c>
      <c r="G54" s="595">
        <f t="shared" ref="G54" si="11">+E54*F54</f>
        <v>18176</v>
      </c>
      <c r="H54" s="441">
        <f>+G54/F54</f>
        <v>256</v>
      </c>
      <c r="I54" s="586">
        <f>+'17'!I38</f>
        <v>54.037999999999997</v>
      </c>
    </row>
    <row r="55" spans="1:9" ht="13.5" thickBot="1">
      <c r="A55" s="412"/>
      <c r="B55" s="413"/>
      <c r="C55" s="414"/>
      <c r="D55" s="415"/>
      <c r="E55" s="414"/>
      <c r="F55" s="414"/>
      <c r="G55" s="414"/>
      <c r="H55" s="440"/>
      <c r="I55" s="440"/>
    </row>
    <row r="56" spans="1:9">
      <c r="A56" s="549">
        <v>46099</v>
      </c>
      <c r="B56" s="550" t="s">
        <v>581</v>
      </c>
      <c r="C56" s="595">
        <v>2</v>
      </c>
      <c r="D56" s="596" t="s">
        <v>619</v>
      </c>
      <c r="E56" s="596">
        <f>256*1</f>
        <v>256</v>
      </c>
      <c r="F56" s="596">
        <v>17</v>
      </c>
      <c r="G56" s="595">
        <f t="shared" ref="G56" si="12">+E56*F56</f>
        <v>4352</v>
      </c>
      <c r="H56" s="441">
        <f>+G56/F56</f>
        <v>256</v>
      </c>
      <c r="I56" s="586">
        <f>+'18'!N37</f>
        <v>10.210999999999999</v>
      </c>
    </row>
    <row r="57" spans="1:9">
      <c r="A57" s="549"/>
      <c r="B57" s="550" t="s">
        <v>413</v>
      </c>
      <c r="C57" s="595">
        <v>2</v>
      </c>
      <c r="D57" s="596" t="s">
        <v>400</v>
      </c>
      <c r="E57" s="596">
        <f>133*2</f>
        <v>266</v>
      </c>
      <c r="F57" s="596">
        <f>72/2</f>
        <v>36</v>
      </c>
      <c r="G57" s="595">
        <f t="shared" ref="G57:G58" si="13">+E57*F57</f>
        <v>9576</v>
      </c>
      <c r="H57" s="441">
        <f>+G57/F57</f>
        <v>266</v>
      </c>
      <c r="I57" s="586">
        <f>+'18'!N38</f>
        <v>37.341999999999999</v>
      </c>
    </row>
    <row r="58" spans="1:9">
      <c r="B58" s="550" t="s">
        <v>413</v>
      </c>
      <c r="C58" s="595">
        <v>2</v>
      </c>
      <c r="D58" s="596" t="s">
        <v>435</v>
      </c>
      <c r="E58">
        <v>275</v>
      </c>
      <c r="F58">
        <v>13</v>
      </c>
      <c r="G58" s="595">
        <f t="shared" si="13"/>
        <v>3575</v>
      </c>
      <c r="H58" s="441">
        <f>+G58/F58</f>
        <v>275</v>
      </c>
      <c r="I58" s="586"/>
    </row>
    <row r="59" spans="1:9" ht="13.5" thickBot="1">
      <c r="A59" s="412"/>
      <c r="B59" s="413"/>
      <c r="C59" s="414"/>
      <c r="D59" s="415"/>
      <c r="E59" s="414"/>
      <c r="F59" s="414"/>
      <c r="G59" s="414"/>
      <c r="H59" s="440"/>
      <c r="I59" s="440"/>
    </row>
    <row r="60" spans="1:9">
      <c r="A60" s="549">
        <v>46100</v>
      </c>
      <c r="B60" s="550" t="s">
        <v>413</v>
      </c>
      <c r="C60" s="595">
        <v>2</v>
      </c>
      <c r="D60" s="596" t="s">
        <v>435</v>
      </c>
      <c r="E60">
        <v>275</v>
      </c>
      <c r="F60">
        <v>67</v>
      </c>
      <c r="G60" s="595">
        <f t="shared" ref="G60" si="14">+E60*F60</f>
        <v>18425</v>
      </c>
      <c r="H60" s="441">
        <f>+G60/F60</f>
        <v>275</v>
      </c>
      <c r="I60" s="586">
        <f>+'19'!I38</f>
        <v>47.244</v>
      </c>
    </row>
    <row r="61" spans="1:9" ht="13.5" thickBot="1">
      <c r="A61" s="412"/>
      <c r="B61" s="413"/>
      <c r="C61" s="414"/>
      <c r="D61" s="415"/>
      <c r="E61" s="414"/>
      <c r="F61" s="414"/>
      <c r="G61" s="414"/>
      <c r="H61" s="440"/>
      <c r="I61" s="440"/>
    </row>
    <row r="62" spans="1:9">
      <c r="A62" s="549">
        <v>46101</v>
      </c>
      <c r="B62" s="550" t="s">
        <v>413</v>
      </c>
      <c r="C62" s="595">
        <v>2</v>
      </c>
      <c r="D62" s="596" t="s">
        <v>656</v>
      </c>
      <c r="E62" s="596">
        <f>271*1</f>
        <v>271</v>
      </c>
      <c r="F62">
        <v>67</v>
      </c>
      <c r="G62" s="595">
        <f t="shared" ref="G62" si="15">+E62*F62</f>
        <v>18157</v>
      </c>
      <c r="H62" s="441">
        <f>+G62/F62</f>
        <v>271</v>
      </c>
      <c r="I62" s="586">
        <f>+'20'!I38</f>
        <v>46.688000000000002</v>
      </c>
    </row>
    <row r="63" spans="1:9" ht="13.5" thickBot="1">
      <c r="A63" s="412"/>
      <c r="B63" s="413"/>
      <c r="C63" s="414"/>
      <c r="D63" s="415"/>
      <c r="E63" s="414"/>
      <c r="F63" s="414"/>
      <c r="G63" s="414"/>
      <c r="H63" s="440"/>
      <c r="I63" s="440"/>
    </row>
    <row r="64" spans="1:9">
      <c r="A64" s="549">
        <v>46102</v>
      </c>
      <c r="B64" s="550" t="s">
        <v>413</v>
      </c>
      <c r="C64" s="595">
        <v>2</v>
      </c>
      <c r="D64" s="596" t="s">
        <v>657</v>
      </c>
      <c r="E64" s="596">
        <f>137*2</f>
        <v>274</v>
      </c>
      <c r="F64" s="596">
        <f>108/2</f>
        <v>54</v>
      </c>
      <c r="G64" s="595">
        <f t="shared" ref="G64:G65" si="16">+E64*F64</f>
        <v>14796</v>
      </c>
      <c r="H64" s="441">
        <f>+(F64*E64+F65*E65)/SUM(F64:F65)</f>
        <v>273.41791044776119</v>
      </c>
      <c r="I64" s="586">
        <f>+'21'!I38</f>
        <v>50.077999999999996</v>
      </c>
    </row>
    <row r="65" spans="1:9">
      <c r="B65" s="550" t="s">
        <v>413</v>
      </c>
      <c r="C65" s="595">
        <v>2</v>
      </c>
      <c r="D65" s="596" t="s">
        <v>656</v>
      </c>
      <c r="E65">
        <f>271*1</f>
        <v>271</v>
      </c>
      <c r="F65">
        <v>13</v>
      </c>
      <c r="G65" s="595">
        <f t="shared" si="16"/>
        <v>3523</v>
      </c>
      <c r="H65" s="441"/>
      <c r="I65" s="586"/>
    </row>
    <row r="66" spans="1:9" ht="13.5" thickBot="1">
      <c r="A66" s="412"/>
      <c r="B66" s="413"/>
      <c r="C66" s="414"/>
      <c r="D66" s="415"/>
      <c r="E66" s="414"/>
      <c r="F66" s="414"/>
      <c r="G66" s="414"/>
      <c r="H66" s="440"/>
      <c r="I66" s="440"/>
    </row>
    <row r="67" spans="1:9">
      <c r="A67" s="549">
        <v>46103</v>
      </c>
      <c r="B67" s="550" t="s">
        <v>413</v>
      </c>
      <c r="C67" s="595">
        <v>2</v>
      </c>
      <c r="D67" s="596" t="s">
        <v>657</v>
      </c>
      <c r="E67" s="596">
        <f>137*2</f>
        <v>274</v>
      </c>
      <c r="F67" s="596">
        <f>72/2</f>
        <v>36</v>
      </c>
      <c r="G67" s="595">
        <f t="shared" ref="G67" si="17">+E67*F67</f>
        <v>9864</v>
      </c>
      <c r="H67" s="441">
        <f>+G67/F67</f>
        <v>274</v>
      </c>
      <c r="I67" s="586">
        <f>+'22'!I38</f>
        <v>49.143000000000001</v>
      </c>
    </row>
    <row r="68" spans="1:9">
      <c r="B68" s="550" t="s">
        <v>652</v>
      </c>
      <c r="C68" s="595">
        <v>2</v>
      </c>
      <c r="D68" s="596" t="s">
        <v>659</v>
      </c>
      <c r="E68">
        <f>128*2</f>
        <v>256</v>
      </c>
      <c r="F68">
        <f>66/2</f>
        <v>33</v>
      </c>
      <c r="G68" s="595">
        <f t="shared" ref="G68" si="18">+E68*F68</f>
        <v>8448</v>
      </c>
      <c r="H68" s="441">
        <f>+G68/F68</f>
        <v>256</v>
      </c>
      <c r="I68" s="586"/>
    </row>
    <row r="69" spans="1:9" ht="13.5" thickBot="1">
      <c r="A69" s="412"/>
      <c r="B69" s="413"/>
      <c r="C69" s="414"/>
      <c r="D69" s="415"/>
      <c r="E69" s="414"/>
      <c r="F69" s="414"/>
      <c r="G69" s="414"/>
      <c r="H69" s="440"/>
      <c r="I69" s="440"/>
    </row>
    <row r="70" spans="1:9">
      <c r="A70" s="549">
        <v>46104</v>
      </c>
      <c r="B70" s="550" t="s">
        <v>652</v>
      </c>
      <c r="C70" s="595">
        <v>2</v>
      </c>
      <c r="D70" s="596" t="s">
        <v>659</v>
      </c>
      <c r="E70">
        <f>128*2</f>
        <v>256</v>
      </c>
      <c r="F70">
        <v>7</v>
      </c>
      <c r="G70" s="595">
        <f t="shared" ref="G70" si="19">+E70*F70</f>
        <v>1792</v>
      </c>
      <c r="H70" s="441">
        <f>+G70/F70</f>
        <v>256</v>
      </c>
      <c r="I70" s="586">
        <f>+'23'!I38</f>
        <v>47.481999999999999</v>
      </c>
    </row>
    <row r="71" spans="1:9">
      <c r="B71" s="550" t="s">
        <v>666</v>
      </c>
      <c r="C71" s="595">
        <v>2</v>
      </c>
      <c r="D71" s="596" t="s">
        <v>672</v>
      </c>
      <c r="E71" s="596">
        <f>259*1</f>
        <v>259</v>
      </c>
      <c r="F71">
        <f>19+20+12</f>
        <v>51</v>
      </c>
      <c r="G71" s="595">
        <f t="shared" ref="G71" si="20">+E71*F71</f>
        <v>13209</v>
      </c>
      <c r="H71" s="441">
        <f>+G71/F71</f>
        <v>259</v>
      </c>
      <c r="I71" s="586"/>
    </row>
    <row r="72" spans="1:9" ht="13.5" thickBot="1">
      <c r="A72" s="412"/>
      <c r="B72" s="413"/>
      <c r="C72" s="414"/>
      <c r="D72" s="415"/>
      <c r="E72" s="414"/>
      <c r="F72" s="414"/>
      <c r="G72" s="414"/>
      <c r="H72" s="440"/>
      <c r="I72" s="440"/>
    </row>
    <row r="73" spans="1:9">
      <c r="A73" s="549">
        <v>46105</v>
      </c>
      <c r="B73" s="550" t="s">
        <v>666</v>
      </c>
      <c r="C73" s="595">
        <v>2</v>
      </c>
      <c r="D73" s="596" t="s">
        <v>706</v>
      </c>
      <c r="E73" s="596">
        <f>267*1</f>
        <v>267</v>
      </c>
      <c r="F73" s="596">
        <f>14+1</f>
        <v>15</v>
      </c>
      <c r="G73" s="595">
        <f t="shared" ref="G73:G74" si="21">+E73*F73</f>
        <v>4005</v>
      </c>
      <c r="H73" s="441">
        <f>+(F73*E73+F74*E74)/SUM(F73:F74)</f>
        <v>266.5</v>
      </c>
      <c r="I73" s="586">
        <f>+'24'!I38</f>
        <v>52.5</v>
      </c>
    </row>
    <row r="74" spans="1:9">
      <c r="A74" s="599"/>
      <c r="B74" s="550" t="s">
        <v>666</v>
      </c>
      <c r="C74" s="595">
        <v>2</v>
      </c>
      <c r="D74" s="596" t="s">
        <v>672</v>
      </c>
      <c r="E74" s="596">
        <f>259*1</f>
        <v>259</v>
      </c>
      <c r="F74">
        <v>1</v>
      </c>
      <c r="G74" s="595">
        <f t="shared" si="21"/>
        <v>259</v>
      </c>
      <c r="H74" s="441"/>
      <c r="I74" s="586"/>
    </row>
    <row r="75" spans="1:9">
      <c r="B75" s="550" t="s">
        <v>699</v>
      </c>
      <c r="C75" s="595">
        <v>2</v>
      </c>
      <c r="D75" s="596" t="s">
        <v>657</v>
      </c>
      <c r="E75" s="596">
        <f>137*2</f>
        <v>274</v>
      </c>
      <c r="F75">
        <f>102/2</f>
        <v>51</v>
      </c>
      <c r="G75" s="595">
        <f t="shared" ref="G75" si="22">+E75*F75</f>
        <v>13974</v>
      </c>
      <c r="H75" s="441">
        <f>+G75/F75</f>
        <v>274</v>
      </c>
      <c r="I75" s="586"/>
    </row>
    <row r="76" spans="1:9" ht="13.5" thickBot="1">
      <c r="A76" s="412"/>
      <c r="B76" s="413"/>
      <c r="C76" s="414"/>
      <c r="D76" s="415"/>
      <c r="E76" s="414"/>
      <c r="F76" s="414"/>
      <c r="G76" s="414"/>
      <c r="H76" s="440"/>
      <c r="I76" s="440"/>
    </row>
    <row r="77" spans="1:9">
      <c r="A77" s="549">
        <v>46106</v>
      </c>
      <c r="B77" s="550" t="s">
        <v>699</v>
      </c>
      <c r="C77" s="595">
        <v>2</v>
      </c>
      <c r="D77" s="596" t="s">
        <v>657</v>
      </c>
      <c r="E77" s="596">
        <f>137*2</f>
        <v>274</v>
      </c>
      <c r="F77">
        <f>142/2</f>
        <v>71</v>
      </c>
      <c r="G77" s="595">
        <f t="shared" ref="G77" si="23">+E77*F77</f>
        <v>19454</v>
      </c>
      <c r="H77" s="441">
        <f>+G77/F77</f>
        <v>274</v>
      </c>
      <c r="I77" s="586">
        <f>+'25'!I38</f>
        <v>53.8</v>
      </c>
    </row>
    <row r="78" spans="1:9" ht="13.5" thickBot="1">
      <c r="A78" s="412"/>
      <c r="B78" s="413"/>
      <c r="C78" s="414"/>
      <c r="D78" s="415"/>
      <c r="E78" s="414"/>
      <c r="F78" s="414"/>
      <c r="G78" s="414"/>
      <c r="H78" s="440"/>
      <c r="I78" s="440"/>
    </row>
    <row r="79" spans="1:9">
      <c r="A79" s="549">
        <v>46107</v>
      </c>
      <c r="B79" s="550" t="s">
        <v>699</v>
      </c>
      <c r="C79" s="595">
        <v>2</v>
      </c>
      <c r="D79" s="596" t="s">
        <v>657</v>
      </c>
      <c r="E79" s="596">
        <f>137*2</f>
        <v>274</v>
      </c>
      <c r="F79">
        <f>116/2</f>
        <v>58</v>
      </c>
      <c r="G79" s="595">
        <f t="shared" ref="G79" si="24">+E79*F79</f>
        <v>15892</v>
      </c>
      <c r="H79" s="441">
        <f>+(F79*E79+F80*E80)/SUM(F79:F80)</f>
        <v>271.21014492753625</v>
      </c>
      <c r="I79" s="586">
        <f>+'26'!I38</f>
        <v>52.444000000000003</v>
      </c>
    </row>
    <row r="80" spans="1:9">
      <c r="B80" s="550" t="s">
        <v>699</v>
      </c>
      <c r="C80" s="595">
        <v>2</v>
      </c>
      <c r="D80" s="596" t="s">
        <v>513</v>
      </c>
      <c r="E80" s="596">
        <f>256.5*1</f>
        <v>256.5</v>
      </c>
      <c r="F80">
        <v>11</v>
      </c>
      <c r="G80" s="595">
        <f t="shared" ref="G80" si="25">+E80*F80</f>
        <v>2821.5</v>
      </c>
      <c r="H80" s="441"/>
      <c r="I80" s="586"/>
    </row>
    <row r="81" spans="1:9" ht="13.5" thickBot="1">
      <c r="A81" s="412"/>
      <c r="B81" s="413"/>
      <c r="C81" s="414"/>
      <c r="D81" s="415"/>
      <c r="E81" s="414"/>
      <c r="F81" s="414"/>
      <c r="G81" s="414"/>
      <c r="H81" s="440"/>
      <c r="I81" s="440"/>
    </row>
    <row r="82" spans="1:9">
      <c r="A82" s="549">
        <v>46108</v>
      </c>
      <c r="B82" s="550" t="s">
        <v>699</v>
      </c>
      <c r="C82" s="595">
        <v>2</v>
      </c>
      <c r="D82" s="596" t="s">
        <v>513</v>
      </c>
      <c r="E82" s="596">
        <f>256.5*1</f>
        <v>256.5</v>
      </c>
      <c r="F82">
        <v>7</v>
      </c>
      <c r="G82" s="595">
        <f t="shared" ref="G82" si="26">+E82*F82</f>
        <v>1795.5</v>
      </c>
      <c r="H82" s="441">
        <f>+G82/F82</f>
        <v>256.5</v>
      </c>
      <c r="I82" s="586">
        <f>+'27'!I38</f>
        <v>51.503</v>
      </c>
    </row>
    <row r="83" spans="1:9">
      <c r="B83" s="550" t="s">
        <v>497</v>
      </c>
      <c r="C83" s="595">
        <v>2</v>
      </c>
      <c r="D83" s="596" t="s">
        <v>672</v>
      </c>
      <c r="E83" s="596">
        <f>259*1</f>
        <v>259</v>
      </c>
      <c r="F83">
        <f>13+26+25</f>
        <v>64</v>
      </c>
      <c r="G83" s="595">
        <f t="shared" ref="G83" si="27">+E83*F83</f>
        <v>16576</v>
      </c>
      <c r="H83" s="441">
        <f>+G83/F83</f>
        <v>259</v>
      </c>
      <c r="I83" s="586"/>
    </row>
    <row r="84" spans="1:9" ht="13.5" thickBot="1">
      <c r="A84" s="412"/>
      <c r="B84" s="413"/>
      <c r="C84" s="414"/>
      <c r="D84" s="415"/>
      <c r="E84" s="414"/>
      <c r="F84" s="414"/>
      <c r="G84" s="414"/>
      <c r="H84" s="440"/>
      <c r="I84" s="440"/>
    </row>
    <row r="85" spans="1:9">
      <c r="A85" s="549">
        <v>46109</v>
      </c>
      <c r="B85" s="550" t="s">
        <v>497</v>
      </c>
      <c r="C85" s="595">
        <v>2</v>
      </c>
      <c r="D85" s="596" t="s">
        <v>726</v>
      </c>
      <c r="E85" s="596">
        <f>137.5*2</f>
        <v>275</v>
      </c>
      <c r="F85" s="596">
        <f>72/2</f>
        <v>36</v>
      </c>
      <c r="G85" s="595">
        <f t="shared" ref="G85:G87" si="28">+E85*F85</f>
        <v>9900</v>
      </c>
      <c r="H85" s="441">
        <f>+(F85*E85+F86*E86)/SUM(F85:F86)</f>
        <v>275</v>
      </c>
      <c r="I85" s="586">
        <f>+'28'!I38</f>
        <v>51.396000000000001</v>
      </c>
    </row>
    <row r="86" spans="1:9">
      <c r="A86" s="599"/>
      <c r="B86" s="550" t="s">
        <v>497</v>
      </c>
      <c r="C86" s="595">
        <v>2</v>
      </c>
      <c r="D86" s="596" t="s">
        <v>435</v>
      </c>
      <c r="E86" s="596">
        <f>275*1</f>
        <v>275</v>
      </c>
      <c r="F86">
        <v>12</v>
      </c>
      <c r="G86" s="595">
        <f t="shared" si="28"/>
        <v>3300</v>
      </c>
      <c r="H86" s="441"/>
      <c r="I86" s="586"/>
    </row>
    <row r="87" spans="1:9">
      <c r="B87" s="550" t="s">
        <v>414</v>
      </c>
      <c r="C87" s="595">
        <v>2</v>
      </c>
      <c r="D87" s="596" t="s">
        <v>436</v>
      </c>
      <c r="E87" s="596">
        <f>269.5*1</f>
        <v>269.5</v>
      </c>
      <c r="F87">
        <f>1+26</f>
        <v>27</v>
      </c>
      <c r="G87" s="595">
        <f t="shared" si="28"/>
        <v>7276.5</v>
      </c>
      <c r="H87" s="441">
        <f>+G87/F87</f>
        <v>269.5</v>
      </c>
      <c r="I87" s="586"/>
    </row>
    <row r="88" spans="1:9" ht="13.5" thickBot="1">
      <c r="A88" s="412"/>
      <c r="B88" s="413"/>
      <c r="C88" s="414"/>
      <c r="D88" s="415"/>
      <c r="E88" s="414"/>
      <c r="F88" s="414"/>
      <c r="G88" s="414"/>
      <c r="H88" s="440"/>
      <c r="I88" s="440"/>
    </row>
    <row r="89" spans="1:9">
      <c r="A89" s="549">
        <v>46110</v>
      </c>
      <c r="B89" s="550" t="s">
        <v>414</v>
      </c>
      <c r="C89" s="595">
        <v>2</v>
      </c>
      <c r="D89" s="596" t="s">
        <v>436</v>
      </c>
      <c r="E89" s="596">
        <f>269.5*1</f>
        <v>269.5</v>
      </c>
      <c r="F89">
        <v>75</v>
      </c>
      <c r="G89" s="595">
        <f t="shared" ref="G89" si="29">+E89*F89</f>
        <v>20212.5</v>
      </c>
      <c r="H89" s="441">
        <f>+G89/F89</f>
        <v>269.5</v>
      </c>
      <c r="I89" s="586">
        <f>+'29'!I38</f>
        <v>52.830799999999996</v>
      </c>
    </row>
    <row r="90" spans="1:9" ht="13.5" thickBot="1">
      <c r="A90" s="412"/>
      <c r="B90" s="413"/>
      <c r="C90" s="414"/>
      <c r="D90" s="415"/>
      <c r="E90" s="414"/>
      <c r="F90" s="414"/>
      <c r="G90" s="414"/>
      <c r="H90" s="440"/>
      <c r="I90" s="440"/>
    </row>
    <row r="91" spans="1:9">
      <c r="A91" s="549">
        <v>46111</v>
      </c>
      <c r="B91" s="550" t="s">
        <v>414</v>
      </c>
      <c r="C91" s="595">
        <v>2</v>
      </c>
      <c r="D91" s="596" t="s">
        <v>436</v>
      </c>
      <c r="E91" s="596">
        <f>269.5*1</f>
        <v>269.5</v>
      </c>
      <c r="F91">
        <v>69</v>
      </c>
      <c r="G91" s="595">
        <f t="shared" ref="G91" si="30">+E91*F91</f>
        <v>18595.5</v>
      </c>
      <c r="H91" s="441">
        <f>+G91/F91</f>
        <v>269.5</v>
      </c>
      <c r="I91" s="586">
        <f>+'30'!I38</f>
        <v>47.233000000000004</v>
      </c>
    </row>
    <row r="92" spans="1:9" ht="13.5" thickBot="1">
      <c r="A92" s="412"/>
      <c r="B92" s="413"/>
      <c r="C92" s="414"/>
      <c r="D92" s="415"/>
      <c r="E92" s="414"/>
      <c r="F92" s="414"/>
      <c r="G92" s="414"/>
      <c r="H92" s="440"/>
      <c r="I92" s="440"/>
    </row>
    <row r="93" spans="1:9">
      <c r="A93" s="549">
        <v>46112</v>
      </c>
      <c r="B93" s="550" t="s">
        <v>414</v>
      </c>
      <c r="C93" s="595">
        <v>2</v>
      </c>
      <c r="D93" s="596" t="s">
        <v>436</v>
      </c>
      <c r="E93" s="596">
        <f>269.5*1</f>
        <v>269.5</v>
      </c>
      <c r="F93">
        <f>25+12</f>
        <v>37</v>
      </c>
      <c r="G93" s="595">
        <f t="shared" ref="G93:G94" si="31">+E93*F93</f>
        <v>9971.5</v>
      </c>
      <c r="H93" s="441">
        <f>+G93/F93</f>
        <v>269.5</v>
      </c>
      <c r="I93" s="586">
        <f>+'31'!I38</f>
        <v>33.408000000000001</v>
      </c>
    </row>
    <row r="94" spans="1:9">
      <c r="A94" s="549"/>
      <c r="B94" s="550" t="s">
        <v>545</v>
      </c>
      <c r="C94" s="595">
        <v>2</v>
      </c>
      <c r="D94" s="596" t="s">
        <v>435</v>
      </c>
      <c r="E94" s="596">
        <f>275*1</f>
        <v>275</v>
      </c>
      <c r="F94">
        <f>7+3</f>
        <v>10</v>
      </c>
      <c r="G94" s="595">
        <f t="shared" si="31"/>
        <v>2750</v>
      </c>
      <c r="H94" s="441">
        <f>+G94/F94</f>
        <v>275</v>
      </c>
      <c r="I94" s="586"/>
    </row>
    <row r="95" spans="1:9" ht="13.5" thickBot="1">
      <c r="A95" s="412"/>
      <c r="B95" s="413"/>
      <c r="C95" s="414"/>
      <c r="D95" s="415"/>
      <c r="E95" s="414"/>
      <c r="F95" s="414"/>
      <c r="G95" s="414"/>
      <c r="H95" s="440"/>
      <c r="I95" s="440"/>
    </row>
  </sheetData>
  <phoneticPr fontId="31" type="noConversion"/>
  <pageMargins left="0.75" right="0.75" top="1" bottom="1" header="0.5" footer="0.5"/>
  <pageSetup orientation="portrait" horizontalDpi="0" verticalDpi="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S206"/>
  <sheetViews>
    <sheetView zoomScale="90" zoomScaleNormal="90" workbookViewId="0">
      <pane xSplit="6" ySplit="6" topLeftCell="AD43" activePane="bottomRight" state="frozen"/>
      <selection activeCell="P136" sqref="P136"/>
      <selection pane="topRight" activeCell="P136" sqref="P136"/>
      <selection pane="bottomLeft" activeCell="P136" sqref="P136"/>
      <selection pane="bottomRight" activeCell="BD6" sqref="BD6:BF57"/>
    </sheetView>
  </sheetViews>
  <sheetFormatPr defaultColWidth="10.28515625" defaultRowHeight="12"/>
  <cols>
    <col min="1" max="1" width="12.28515625" style="32" customWidth="1"/>
    <col min="2" max="2" width="14.140625" style="32" customWidth="1"/>
    <col min="3" max="3" width="10.140625" style="32" customWidth="1"/>
    <col min="4" max="4" width="10.28515625" style="32" customWidth="1"/>
    <col min="5" max="5" width="7.5703125" style="32" bestFit="1" customWidth="1"/>
    <col min="6" max="6" width="7" style="57" customWidth="1"/>
    <col min="7" max="9" width="10.28515625" style="32" customWidth="1"/>
    <col min="10" max="11" width="10.28515625" style="86" customWidth="1"/>
    <col min="12" max="13" width="12.7109375" style="58" customWidth="1"/>
    <col min="14" max="15" width="10.28515625" style="32" customWidth="1"/>
    <col min="16" max="16" width="16.85546875" style="32" bestFit="1" customWidth="1"/>
    <col min="17" max="17" width="12.7109375" style="377" customWidth="1"/>
    <col min="18" max="19" width="10.28515625" style="32" customWidth="1"/>
    <col min="20" max="20" width="10.7109375" style="32" customWidth="1"/>
    <col min="21" max="21" width="10.28515625" style="32" customWidth="1"/>
    <col min="22" max="22" width="12.28515625" style="32" customWidth="1"/>
    <col min="23" max="23" width="13" style="32" customWidth="1"/>
    <col min="24" max="24" width="10.28515625" style="32" customWidth="1"/>
    <col min="25" max="25" width="10.140625" style="32" customWidth="1"/>
    <col min="26" max="28" width="10.28515625" style="32" customWidth="1"/>
    <col min="29" max="29" width="12" style="32" customWidth="1"/>
    <col min="30" max="30" width="11.42578125" style="32" bestFit="1" customWidth="1"/>
    <col min="31" max="31" width="41.42578125" style="32" customWidth="1"/>
    <col min="32" max="38" width="10.28515625" style="32" hidden="1" customWidth="1"/>
    <col min="39" max="39" width="11.7109375" style="32" hidden="1" customWidth="1"/>
    <col min="40" max="41" width="10.28515625" style="32" hidden="1" customWidth="1"/>
    <col min="42" max="43" width="12.42578125" style="32" hidden="1" customWidth="1"/>
    <col min="44" max="44" width="29.7109375" style="32" hidden="1" customWidth="1"/>
    <col min="45" max="53" width="10.28515625" style="32" hidden="1" customWidth="1"/>
    <col min="54" max="16384" width="10.28515625" style="32"/>
  </cols>
  <sheetData>
    <row r="1" spans="1:58" s="25" customFormat="1" ht="15.75" customHeight="1">
      <c r="A1" s="24" t="s">
        <v>384</v>
      </c>
      <c r="G1" s="26"/>
      <c r="H1" s="26"/>
      <c r="I1" s="26"/>
      <c r="J1" s="83"/>
      <c r="K1" s="83"/>
      <c r="L1" s="27"/>
      <c r="M1" s="27"/>
      <c r="O1" s="26"/>
      <c r="P1" s="28"/>
      <c r="Q1" s="26"/>
      <c r="R1" s="28"/>
      <c r="S1" s="28"/>
      <c r="W1" s="28"/>
      <c r="X1" s="29"/>
      <c r="Y1" s="29"/>
      <c r="Z1" s="28"/>
      <c r="AF1" s="28"/>
      <c r="AG1" s="28"/>
      <c r="AH1" s="28"/>
      <c r="AI1" s="28"/>
      <c r="AJ1" s="28"/>
      <c r="AK1" s="28"/>
      <c r="AL1" s="28"/>
      <c r="AM1" s="28"/>
      <c r="AN1" s="28"/>
      <c r="AO1" s="28"/>
      <c r="AP1" s="28"/>
      <c r="AQ1" s="28"/>
      <c r="AR1" s="28"/>
      <c r="AS1" s="28"/>
      <c r="AT1" s="28"/>
      <c r="AU1" s="28"/>
      <c r="AV1" s="28"/>
      <c r="AW1" s="28"/>
      <c r="AX1" s="28"/>
      <c r="AY1" s="28"/>
      <c r="AZ1" s="28"/>
      <c r="BA1" s="28"/>
    </row>
    <row r="2" spans="1:58" s="25" customFormat="1">
      <c r="A2" s="93"/>
      <c r="G2" s="26"/>
      <c r="H2" s="26"/>
      <c r="I2" s="26"/>
      <c r="J2" s="83"/>
      <c r="K2" s="83"/>
      <c r="L2" s="27"/>
      <c r="M2" s="27"/>
      <c r="O2" s="26"/>
      <c r="P2" s="28"/>
      <c r="Q2" s="26"/>
      <c r="R2" s="28"/>
      <c r="S2" s="28"/>
      <c r="W2" s="28"/>
      <c r="X2" s="29"/>
      <c r="Y2" s="29"/>
      <c r="Z2" s="28"/>
      <c r="AF2" s="28"/>
      <c r="AG2" s="28"/>
      <c r="AH2" s="28"/>
      <c r="AI2" s="28"/>
      <c r="AJ2" s="28"/>
      <c r="AK2" s="28"/>
      <c r="AL2" s="28"/>
      <c r="AM2" s="28"/>
      <c r="AN2" s="28"/>
      <c r="AO2" s="28"/>
      <c r="AP2" s="28"/>
      <c r="AQ2" s="28"/>
      <c r="AR2" s="28"/>
      <c r="AS2" s="28"/>
      <c r="AT2" s="28"/>
      <c r="AU2" s="28"/>
      <c r="AV2" s="28"/>
      <c r="AW2" s="28"/>
      <c r="AX2" s="28"/>
      <c r="AY2" s="28"/>
      <c r="AZ2" s="28"/>
      <c r="BA2" s="28"/>
    </row>
    <row r="3" spans="1:58" ht="24" customHeight="1">
      <c r="A3" s="678" t="s">
        <v>9</v>
      </c>
      <c r="B3" s="678" t="s">
        <v>10</v>
      </c>
      <c r="C3" s="678" t="s">
        <v>200</v>
      </c>
      <c r="D3" s="678" t="s">
        <v>105</v>
      </c>
      <c r="E3" s="678" t="s">
        <v>106</v>
      </c>
      <c r="F3" s="678" t="s">
        <v>107</v>
      </c>
      <c r="G3" s="703" t="s">
        <v>108</v>
      </c>
      <c r="H3" s="704"/>
      <c r="I3" s="704"/>
      <c r="J3" s="704"/>
      <c r="K3" s="705"/>
      <c r="L3" s="709" t="s">
        <v>109</v>
      </c>
      <c r="M3" s="710"/>
      <c r="N3" s="711"/>
      <c r="O3" s="715" t="s">
        <v>110</v>
      </c>
      <c r="P3" s="673" t="s">
        <v>122</v>
      </c>
      <c r="Q3" s="715" t="s">
        <v>111</v>
      </c>
      <c r="R3" s="671" t="s">
        <v>112</v>
      </c>
      <c r="S3" s="671" t="s">
        <v>113</v>
      </c>
      <c r="T3" s="678" t="s">
        <v>166</v>
      </c>
      <c r="U3" s="678" t="s">
        <v>165</v>
      </c>
      <c r="V3" s="678" t="s">
        <v>167</v>
      </c>
      <c r="W3" s="671" t="s">
        <v>157</v>
      </c>
      <c r="X3" s="693" t="s">
        <v>115</v>
      </c>
      <c r="Y3" s="693" t="s">
        <v>291</v>
      </c>
      <c r="Z3" s="671" t="s">
        <v>116</v>
      </c>
      <c r="AA3" s="678" t="s">
        <v>168</v>
      </c>
      <c r="AB3" s="678" t="s">
        <v>179</v>
      </c>
      <c r="AC3" s="678" t="s">
        <v>177</v>
      </c>
      <c r="AD3" s="678" t="s">
        <v>140</v>
      </c>
      <c r="AE3" s="678" t="s">
        <v>141</v>
      </c>
      <c r="AF3" s="700" t="s">
        <v>142</v>
      </c>
      <c r="AG3" s="700"/>
      <c r="AH3" s="700"/>
      <c r="AI3" s="700"/>
      <c r="AJ3" s="700"/>
      <c r="AK3" s="700"/>
      <c r="AL3" s="700"/>
      <c r="AM3" s="667" t="s">
        <v>143</v>
      </c>
      <c r="AN3" s="679" t="s">
        <v>117</v>
      </c>
      <c r="AO3" s="679"/>
      <c r="AP3" s="679"/>
      <c r="AQ3" s="679"/>
      <c r="AR3" s="679"/>
      <c r="AS3" s="680" t="s">
        <v>118</v>
      </c>
      <c r="AT3" s="674" t="s">
        <v>201</v>
      </c>
      <c r="AU3" s="675"/>
      <c r="AV3" s="682" t="s">
        <v>144</v>
      </c>
      <c r="AW3" s="683"/>
      <c r="AX3" s="684" t="s">
        <v>144</v>
      </c>
      <c r="AY3" s="685"/>
      <c r="AZ3" s="686" t="s">
        <v>300</v>
      </c>
      <c r="BA3" s="670" t="s">
        <v>119</v>
      </c>
      <c r="BB3" s="665" t="s">
        <v>120</v>
      </c>
      <c r="BC3" s="665" t="s">
        <v>121</v>
      </c>
      <c r="BD3" s="659" t="s">
        <v>372</v>
      </c>
      <c r="BE3" s="662" t="s">
        <v>373</v>
      </c>
      <c r="BF3" s="665" t="s">
        <v>374</v>
      </c>
    </row>
    <row r="4" spans="1:58" ht="12" customHeight="1">
      <c r="A4" s="691"/>
      <c r="B4" s="691"/>
      <c r="C4" s="691"/>
      <c r="D4" s="691"/>
      <c r="E4" s="691"/>
      <c r="F4" s="691"/>
      <c r="G4" s="706"/>
      <c r="H4" s="707"/>
      <c r="I4" s="707"/>
      <c r="J4" s="707"/>
      <c r="K4" s="708"/>
      <c r="L4" s="712"/>
      <c r="M4" s="713"/>
      <c r="N4" s="714"/>
      <c r="O4" s="716"/>
      <c r="P4" s="689"/>
      <c r="Q4" s="716"/>
      <c r="R4" s="692"/>
      <c r="S4" s="692"/>
      <c r="T4" s="691"/>
      <c r="U4" s="691"/>
      <c r="V4" s="691"/>
      <c r="W4" s="692"/>
      <c r="X4" s="694"/>
      <c r="Y4" s="694"/>
      <c r="Z4" s="692"/>
      <c r="AA4" s="691"/>
      <c r="AB4" s="691"/>
      <c r="AC4" s="691"/>
      <c r="AD4" s="691"/>
      <c r="AE4" s="691"/>
      <c r="AF4" s="697" t="s">
        <v>145</v>
      </c>
      <c r="AG4" s="698"/>
      <c r="AH4" s="699"/>
      <c r="AI4" s="689" t="s">
        <v>402</v>
      </c>
      <c r="AJ4" s="689" t="s">
        <v>16</v>
      </c>
      <c r="AK4" s="689" t="s">
        <v>146</v>
      </c>
      <c r="AL4" s="689" t="s">
        <v>19</v>
      </c>
      <c r="AM4" s="668"/>
      <c r="AN4" s="672" t="s">
        <v>123</v>
      </c>
      <c r="AO4" s="672" t="s">
        <v>16</v>
      </c>
      <c r="AP4" s="672" t="s">
        <v>124</v>
      </c>
      <c r="AQ4" s="672" t="s">
        <v>19</v>
      </c>
      <c r="AR4" s="670" t="s">
        <v>125</v>
      </c>
      <c r="AS4" s="680"/>
      <c r="AT4" s="676"/>
      <c r="AU4" s="677"/>
      <c r="AV4" s="515" t="s">
        <v>8</v>
      </c>
      <c r="AW4" s="515" t="s">
        <v>147</v>
      </c>
      <c r="AX4" s="516" t="s">
        <v>8</v>
      </c>
      <c r="AY4" s="517" t="s">
        <v>147</v>
      </c>
      <c r="AZ4" s="687"/>
      <c r="BA4" s="670"/>
      <c r="BB4" s="665"/>
      <c r="BC4" s="665"/>
      <c r="BD4" s="660"/>
      <c r="BE4" s="663"/>
      <c r="BF4" s="665"/>
    </row>
    <row r="5" spans="1:58" s="35" customFormat="1" ht="48">
      <c r="A5" s="691"/>
      <c r="B5" s="691"/>
      <c r="C5" s="696"/>
      <c r="D5" s="691"/>
      <c r="E5" s="691"/>
      <c r="F5" s="691"/>
      <c r="G5" s="501" t="s">
        <v>126</v>
      </c>
      <c r="H5" s="500" t="s">
        <v>127</v>
      </c>
      <c r="I5" s="33" t="s">
        <v>128</v>
      </c>
      <c r="J5" s="84" t="s">
        <v>129</v>
      </c>
      <c r="K5" s="84" t="s">
        <v>114</v>
      </c>
      <c r="L5" s="34" t="s">
        <v>130</v>
      </c>
      <c r="M5" s="34" t="s">
        <v>131</v>
      </c>
      <c r="N5" s="500" t="s">
        <v>132</v>
      </c>
      <c r="O5" s="716"/>
      <c r="P5" s="690"/>
      <c r="Q5" s="716"/>
      <c r="R5" s="692"/>
      <c r="S5" s="692"/>
      <c r="T5" s="691"/>
      <c r="U5" s="691"/>
      <c r="V5" s="691"/>
      <c r="W5" s="692"/>
      <c r="X5" s="694"/>
      <c r="Y5" s="695"/>
      <c r="Z5" s="692"/>
      <c r="AA5" s="691"/>
      <c r="AB5" s="696"/>
      <c r="AC5" s="691"/>
      <c r="AD5" s="696"/>
      <c r="AE5" s="691"/>
      <c r="AF5" s="457" t="s">
        <v>292</v>
      </c>
      <c r="AG5" s="519" t="s">
        <v>293</v>
      </c>
      <c r="AH5" s="519" t="s">
        <v>294</v>
      </c>
      <c r="AI5" s="690"/>
      <c r="AJ5" s="690"/>
      <c r="AK5" s="690"/>
      <c r="AL5" s="690"/>
      <c r="AM5" s="669"/>
      <c r="AN5" s="673"/>
      <c r="AO5" s="673"/>
      <c r="AP5" s="673"/>
      <c r="AQ5" s="673"/>
      <c r="AR5" s="671"/>
      <c r="AS5" s="681"/>
      <c r="AT5" s="520" t="s">
        <v>288</v>
      </c>
      <c r="AU5" s="520" t="s">
        <v>289</v>
      </c>
      <c r="AV5" s="518" t="s">
        <v>290</v>
      </c>
      <c r="AW5" s="518" t="s">
        <v>290</v>
      </c>
      <c r="AX5" s="516" t="s">
        <v>18</v>
      </c>
      <c r="AY5" s="516" t="s">
        <v>18</v>
      </c>
      <c r="AZ5" s="688"/>
      <c r="BA5" s="671"/>
      <c r="BB5" s="678"/>
      <c r="BC5" s="678"/>
      <c r="BD5" s="661"/>
      <c r="BE5" s="664"/>
      <c r="BF5" s="666"/>
    </row>
    <row r="6" spans="1:58" ht="12.95" customHeight="1">
      <c r="A6" s="43">
        <f>+Report1!A9</f>
        <v>46082</v>
      </c>
      <c r="B6" s="44" t="s">
        <v>423</v>
      </c>
      <c r="C6" s="447">
        <f>(M6*E6*O6*Q6)/100000000</f>
        <v>10.249181341538463</v>
      </c>
      <c r="D6" s="44" t="s">
        <v>425</v>
      </c>
      <c r="E6" s="45">
        <v>14</v>
      </c>
      <c r="F6" s="45">
        <v>1</v>
      </c>
      <c r="G6" s="605">
        <v>1275</v>
      </c>
      <c r="H6" s="602">
        <v>0.22</v>
      </c>
      <c r="I6" s="48">
        <v>0.88</v>
      </c>
      <c r="J6" s="85">
        <f>E6*G6*(1-H6)*1440/1000000*2.75</f>
        <v>55.135079999999995</v>
      </c>
      <c r="K6" s="85">
        <f t="shared" ref="K6" si="0">(IF(G6&lt;L6,L6,G6)*(1-IF(H6&lt;N6,H6,N6))*E6*O6*Q6)/100000000</f>
        <v>11.974636800000001</v>
      </c>
      <c r="L6" s="38">
        <v>1120</v>
      </c>
      <c r="M6" s="38">
        <v>851.2</v>
      </c>
      <c r="N6" s="49">
        <f>1-(M6/L6)</f>
        <v>0.24</v>
      </c>
      <c r="O6" s="50">
        <f>+'Trim Rwd'!H4</f>
        <v>268.76923076923077</v>
      </c>
      <c r="P6" s="51">
        <f>O6*(Q6-R6-S6)</f>
        <v>49184.769230769234</v>
      </c>
      <c r="Q6" s="50">
        <f>200+120</f>
        <v>320</v>
      </c>
      <c r="R6" s="503">
        <v>120</v>
      </c>
      <c r="S6" s="503">
        <v>17</v>
      </c>
      <c r="T6" s="40">
        <f>E6*M6*O6*Q6/100000000</f>
        <v>10.249181341538463</v>
      </c>
      <c r="U6" s="40">
        <f>E6*M6*O6*(Q6-R6-S6)/100000000</f>
        <v>5.8612505796923076</v>
      </c>
      <c r="V6" s="40">
        <f>E6*G6*(1-N6)*O6/100*(R6+S6)/1000000</f>
        <v>4.9951890369230769</v>
      </c>
      <c r="W6" s="40">
        <f>+'1'!K7/1000</f>
        <v>9.31</v>
      </c>
      <c r="X6" s="504">
        <f>SUM(W6:W9)/SUM(K6:K9)</f>
        <v>0.65849772065240852</v>
      </c>
      <c r="Y6" s="214">
        <v>0</v>
      </c>
      <c r="Z6" s="40">
        <f>+'1'!D17/1000</f>
        <v>0.69</v>
      </c>
      <c r="AA6" s="52">
        <f>SUM(U6:U9)-SUM(W6:W9)-SUM(Z6:Z9)-SUM(Y6:Y9)</f>
        <v>5.244284979692301</v>
      </c>
      <c r="AB6" s="52">
        <f>(SUM(K6:K9)-SUM(W6:W9)-SUM(Y6:Y9)-SUM(Z6:Z9)-SUM(AC6:AC9)-SUM(V6:V9))-AA6</f>
        <v>-0.72290842507692332</v>
      </c>
      <c r="AC6" s="40">
        <f>K6-T6</f>
        <v>1.7254554584615374</v>
      </c>
      <c r="AD6" s="40">
        <f>+AM6+BA6</f>
        <v>0</v>
      </c>
      <c r="AE6" s="233" t="s">
        <v>391</v>
      </c>
      <c r="AF6" s="40">
        <v>0</v>
      </c>
      <c r="AG6" s="40"/>
      <c r="AH6" s="40"/>
      <c r="AI6" s="505"/>
      <c r="AJ6" s="40"/>
      <c r="AK6" s="40"/>
      <c r="AL6" s="40"/>
      <c r="AM6" s="40">
        <f>SUM(AF6:AL6)+AT6</f>
        <v>0</v>
      </c>
      <c r="AN6" s="40"/>
      <c r="AO6" s="40"/>
      <c r="AP6" s="40"/>
      <c r="AQ6" s="40"/>
      <c r="AR6" s="40">
        <f>SUM(AN6:AQ6)</f>
        <v>0</v>
      </c>
      <c r="AS6" s="40"/>
      <c r="AT6" s="40"/>
      <c r="AU6" s="40"/>
      <c r="AV6" s="40"/>
      <c r="AW6" s="40"/>
      <c r="AX6" s="40"/>
      <c r="AY6" s="40"/>
      <c r="AZ6" s="40"/>
      <c r="BA6" s="40">
        <f>+AR6+AS6+AU6+AV6+AX6</f>
        <v>0</v>
      </c>
      <c r="BB6" s="36">
        <v>0</v>
      </c>
      <c r="BC6" s="54"/>
      <c r="BD6" s="54"/>
      <c r="BE6" s="36"/>
      <c r="BF6" s="54">
        <v>3</v>
      </c>
    </row>
    <row r="7" spans="1:58" ht="12.95" customHeight="1">
      <c r="A7" s="43"/>
      <c r="B7" s="44" t="s">
        <v>423</v>
      </c>
      <c r="C7" s="447">
        <f>(M7*E7*O7*Q7)/100000000</f>
        <v>36.572659199999997</v>
      </c>
      <c r="D7" s="44" t="s">
        <v>425</v>
      </c>
      <c r="E7" s="45">
        <v>15.5</v>
      </c>
      <c r="F7" s="45">
        <v>1</v>
      </c>
      <c r="G7" s="605">
        <v>1150</v>
      </c>
      <c r="H7" s="602">
        <v>0.22</v>
      </c>
      <c r="I7" s="48">
        <v>0.88</v>
      </c>
      <c r="J7" s="85">
        <f>E7*G7*(1-H7)*1440/1000000*2.75</f>
        <v>55.057859999999998</v>
      </c>
      <c r="K7" s="85">
        <f t="shared" ref="K7" si="1">(IF(G7&lt;L7,L7,G7)*(1-IF(H7&lt;N7,H7,N7))*E7*O7*Q7)/100000000</f>
        <v>41.966324399999998</v>
      </c>
      <c r="L7" s="38">
        <v>1028.5714285714287</v>
      </c>
      <c r="M7" s="38">
        <v>781.71428571428567</v>
      </c>
      <c r="N7" s="49">
        <f>1-(M7/L7)</f>
        <v>0.2400000000000001</v>
      </c>
      <c r="O7" s="50">
        <f>+'Trim Rwd'!H6</f>
        <v>269.5</v>
      </c>
      <c r="P7" s="51">
        <f>O7*(Q7-R7-S7)</f>
        <v>293755</v>
      </c>
      <c r="Q7" s="50">
        <v>1120</v>
      </c>
      <c r="R7" s="503">
        <v>0</v>
      </c>
      <c r="S7" s="503">
        <v>30</v>
      </c>
      <c r="T7" s="40">
        <f>E7*M7*O7*Q7/100000000</f>
        <v>36.572659199999997</v>
      </c>
      <c r="U7" s="40">
        <f>E7*M7*O7*(Q7-R7-S7)/100000000</f>
        <v>35.593034399999993</v>
      </c>
      <c r="V7" s="40">
        <f>E7*G7*(1-N7)*O7/100*(R7+S7)/1000000</f>
        <v>1.0952749499999996</v>
      </c>
      <c r="W7" s="40">
        <f>+'1'!K8/1000</f>
        <v>26.21</v>
      </c>
      <c r="X7" s="41"/>
      <c r="Y7" s="214"/>
      <c r="Z7" s="40"/>
      <c r="AA7" s="40"/>
      <c r="AB7" s="40"/>
      <c r="AC7" s="40">
        <f>K7-T7</f>
        <v>5.3936652000000009</v>
      </c>
      <c r="AD7" s="40">
        <f t="shared" ref="AD7:AD10" si="2">+AM7+BA7</f>
        <v>18</v>
      </c>
      <c r="AE7" s="233" t="s">
        <v>426</v>
      </c>
      <c r="AF7" s="40"/>
      <c r="AG7" s="40">
        <v>18</v>
      </c>
      <c r="AH7" s="40"/>
      <c r="AI7" s="505"/>
      <c r="AJ7" s="40"/>
      <c r="AK7" s="40"/>
      <c r="AL7" s="40"/>
      <c r="AM7" s="40">
        <f t="shared" ref="AM7:AM10" si="3">SUM(AF7:AL7)+AT7</f>
        <v>18</v>
      </c>
      <c r="AN7" s="86"/>
      <c r="AO7" s="40"/>
      <c r="AP7" s="40"/>
      <c r="AQ7" s="40"/>
      <c r="AR7" s="40">
        <f t="shared" ref="AR7:AR10" si="4">SUM(AN7:AQ7)</f>
        <v>0</v>
      </c>
      <c r="AS7" s="40"/>
      <c r="AT7" s="40"/>
      <c r="AU7" s="40"/>
      <c r="AV7" s="40"/>
      <c r="AW7" s="40"/>
      <c r="AX7" s="40"/>
      <c r="AY7" s="40"/>
      <c r="AZ7" s="40"/>
      <c r="BA7" s="40">
        <f t="shared" ref="BA7:BA10" si="5">+AR7+AS7+AU7+AV7+AX7</f>
        <v>0</v>
      </c>
      <c r="BB7" s="53"/>
      <c r="BC7" s="54">
        <v>14</v>
      </c>
      <c r="BD7" s="54"/>
      <c r="BE7" s="53"/>
      <c r="BF7" s="54"/>
    </row>
    <row r="8" spans="1:58" ht="12.95" customHeight="1">
      <c r="A8" s="43"/>
      <c r="B8" s="44"/>
      <c r="C8" s="447"/>
      <c r="D8" s="44"/>
      <c r="E8" s="45"/>
      <c r="F8" s="45"/>
      <c r="G8" s="606"/>
      <c r="H8" s="602"/>
      <c r="I8" s="48"/>
      <c r="J8" s="85"/>
      <c r="K8" s="85"/>
      <c r="L8" s="38"/>
      <c r="M8" s="38"/>
      <c r="N8" s="49"/>
      <c r="O8" s="50"/>
      <c r="P8" s="51"/>
      <c r="Q8" s="50"/>
      <c r="R8" s="503"/>
      <c r="S8" s="503"/>
      <c r="T8" s="40"/>
      <c r="U8" s="40"/>
      <c r="V8" s="40"/>
      <c r="W8" s="40"/>
      <c r="X8" s="41"/>
      <c r="Y8" s="214"/>
      <c r="Z8" s="40"/>
      <c r="AA8" s="40"/>
      <c r="AB8" s="40"/>
      <c r="AC8" s="40"/>
      <c r="AD8" s="40">
        <f t="shared" si="2"/>
        <v>19</v>
      </c>
      <c r="AE8" s="233" t="s">
        <v>427</v>
      </c>
      <c r="AF8" s="36"/>
      <c r="AG8" s="36"/>
      <c r="AH8" s="36">
        <v>19</v>
      </c>
      <c r="AJ8" s="40"/>
      <c r="AK8" s="40"/>
      <c r="AL8" s="40"/>
      <c r="AM8" s="40">
        <f t="shared" si="3"/>
        <v>19</v>
      </c>
      <c r="AN8" s="40"/>
      <c r="AO8" s="40"/>
      <c r="AP8" s="40"/>
      <c r="AQ8" s="40"/>
      <c r="AR8" s="40">
        <f t="shared" si="4"/>
        <v>0</v>
      </c>
      <c r="AS8" s="40"/>
      <c r="AT8" s="40"/>
      <c r="AU8" s="40"/>
      <c r="AV8" s="40"/>
      <c r="AW8" s="40"/>
      <c r="AX8" s="40"/>
      <c r="AY8" s="40"/>
      <c r="AZ8" s="40"/>
      <c r="BA8" s="40">
        <f t="shared" si="5"/>
        <v>0</v>
      </c>
      <c r="BB8" s="36"/>
      <c r="BC8" s="506"/>
      <c r="BD8" s="506"/>
      <c r="BE8" s="36"/>
      <c r="BF8" s="506"/>
    </row>
    <row r="9" spans="1:58" ht="12.95" customHeight="1">
      <c r="A9" s="43"/>
      <c r="B9" s="44"/>
      <c r="C9" s="447"/>
      <c r="D9" s="44"/>
      <c r="E9" s="45"/>
      <c r="F9" s="45"/>
      <c r="G9" s="606"/>
      <c r="H9" s="602"/>
      <c r="I9" s="48"/>
      <c r="J9" s="85"/>
      <c r="K9" s="85"/>
      <c r="L9" s="38"/>
      <c r="M9" s="38"/>
      <c r="N9" s="49"/>
      <c r="O9" s="50"/>
      <c r="P9" s="51"/>
      <c r="Q9" s="37"/>
      <c r="R9" s="503"/>
      <c r="S9" s="503"/>
      <c r="T9" s="40"/>
      <c r="U9" s="40"/>
      <c r="V9" s="40"/>
      <c r="W9" s="40"/>
      <c r="X9" s="41"/>
      <c r="Y9" s="214"/>
      <c r="Z9" s="40"/>
      <c r="AA9" s="40"/>
      <c r="AB9" s="40"/>
      <c r="AC9" s="40"/>
      <c r="AD9" s="40">
        <f t="shared" si="2"/>
        <v>10</v>
      </c>
      <c r="AE9" s="236" t="s">
        <v>228</v>
      </c>
      <c r="AF9" s="40"/>
      <c r="AG9" s="40"/>
      <c r="AH9" s="40"/>
      <c r="AI9" s="505">
        <v>10</v>
      </c>
      <c r="AJ9" s="40"/>
      <c r="AK9" s="40"/>
      <c r="AL9" s="40"/>
      <c r="AM9" s="40">
        <f t="shared" si="3"/>
        <v>10</v>
      </c>
      <c r="AN9" s="40"/>
      <c r="AO9" s="40"/>
      <c r="AP9" s="40"/>
      <c r="AQ9" s="40"/>
      <c r="AR9" s="40">
        <f t="shared" si="4"/>
        <v>0</v>
      </c>
      <c r="AS9" s="40"/>
      <c r="AT9" s="40"/>
      <c r="AU9" s="40"/>
      <c r="AV9" s="40"/>
      <c r="AW9" s="40"/>
      <c r="AX9" s="40"/>
      <c r="AY9" s="40"/>
      <c r="AZ9" s="40"/>
      <c r="BA9" s="40">
        <f t="shared" si="5"/>
        <v>0</v>
      </c>
      <c r="BB9" s="53"/>
      <c r="BC9" s="54"/>
      <c r="BD9" s="54"/>
      <c r="BE9" s="53"/>
      <c r="BF9" s="54"/>
    </row>
    <row r="10" spans="1:58" ht="12.95" customHeight="1">
      <c r="A10" s="43"/>
      <c r="B10" s="44"/>
      <c r="C10" s="447"/>
      <c r="D10" s="44"/>
      <c r="E10" s="45"/>
      <c r="F10" s="45"/>
      <c r="G10" s="605"/>
      <c r="H10" s="602"/>
      <c r="I10" s="48"/>
      <c r="J10" s="85"/>
      <c r="K10" s="85"/>
      <c r="L10" s="38"/>
      <c r="M10" s="38"/>
      <c r="N10" s="49"/>
      <c r="O10" s="50"/>
      <c r="P10" s="51"/>
      <c r="Q10" s="50"/>
      <c r="R10" s="503"/>
      <c r="S10" s="503"/>
      <c r="T10" s="40"/>
      <c r="U10" s="40"/>
      <c r="V10" s="40"/>
      <c r="W10" s="40"/>
      <c r="X10" s="504"/>
      <c r="Y10" s="214"/>
      <c r="Z10" s="40"/>
      <c r="AA10" s="52"/>
      <c r="AB10" s="52"/>
      <c r="AC10" s="40"/>
      <c r="AD10" s="40">
        <f t="shared" si="2"/>
        <v>120</v>
      </c>
      <c r="AE10" s="236" t="s">
        <v>428</v>
      </c>
      <c r="AF10" s="40"/>
      <c r="AG10" s="40"/>
      <c r="AH10" s="40"/>
      <c r="AI10" s="505"/>
      <c r="AJ10" s="40"/>
      <c r="AK10" s="40"/>
      <c r="AL10" s="40"/>
      <c r="AM10" s="40">
        <f t="shared" si="3"/>
        <v>0</v>
      </c>
      <c r="AN10" s="40">
        <v>120</v>
      </c>
      <c r="AO10" s="40"/>
      <c r="AP10" s="40"/>
      <c r="AQ10" s="40"/>
      <c r="AR10" s="40">
        <f t="shared" si="4"/>
        <v>120</v>
      </c>
      <c r="AS10" s="40"/>
      <c r="AT10" s="40"/>
      <c r="AU10" s="40"/>
      <c r="AV10" s="40"/>
      <c r="AW10" s="40"/>
      <c r="AX10" s="40"/>
      <c r="AY10" s="40"/>
      <c r="AZ10" s="40"/>
      <c r="BA10" s="40">
        <f t="shared" si="5"/>
        <v>120</v>
      </c>
      <c r="BB10" s="36"/>
      <c r="BC10" s="54"/>
      <c r="BD10" s="54"/>
      <c r="BE10" s="36"/>
      <c r="BF10" s="54"/>
    </row>
    <row r="11" spans="1:58" ht="12.75" customHeight="1">
      <c r="A11" s="43"/>
      <c r="B11" s="44"/>
      <c r="C11" s="447"/>
      <c r="D11" s="44"/>
      <c r="E11" s="45"/>
      <c r="F11" s="45"/>
      <c r="G11" s="605"/>
      <c r="H11" s="602"/>
      <c r="I11" s="48"/>
      <c r="J11" s="85"/>
      <c r="K11" s="85"/>
      <c r="L11" s="38"/>
      <c r="M11" s="38"/>
      <c r="N11" s="49"/>
      <c r="O11" s="50"/>
      <c r="P11" s="51"/>
      <c r="Q11" s="50"/>
      <c r="R11" s="503"/>
      <c r="S11" s="503"/>
      <c r="T11" s="40"/>
      <c r="U11" s="40"/>
      <c r="V11" s="40"/>
      <c r="W11" s="40"/>
      <c r="X11" s="41"/>
      <c r="Y11" s="214"/>
      <c r="Z11" s="40"/>
      <c r="AA11" s="40"/>
      <c r="AB11" s="40"/>
      <c r="AC11" s="40"/>
      <c r="AD11" s="40"/>
      <c r="AE11" s="233"/>
      <c r="AF11" s="40"/>
      <c r="AG11" s="40"/>
      <c r="AH11" s="40"/>
      <c r="AI11" s="505"/>
      <c r="AJ11" s="40"/>
      <c r="AK11" s="40"/>
      <c r="AL11" s="40"/>
      <c r="AM11" s="40"/>
      <c r="AN11" s="86"/>
      <c r="AO11" s="40"/>
      <c r="AP11" s="40"/>
      <c r="AQ11" s="40"/>
      <c r="AR11" s="40"/>
      <c r="AS11" s="40"/>
      <c r="AT11" s="40"/>
      <c r="AU11" s="40"/>
      <c r="AV11" s="40"/>
      <c r="AW11" s="40"/>
      <c r="AX11" s="40"/>
      <c r="AY11" s="40"/>
      <c r="AZ11" s="40"/>
      <c r="BA11" s="40"/>
      <c r="BB11" s="53"/>
      <c r="BC11" s="54"/>
      <c r="BD11" s="54"/>
      <c r="BE11" s="53"/>
      <c r="BF11" s="54"/>
    </row>
    <row r="12" spans="1:58" ht="12.95" customHeight="1">
      <c r="A12" s="43">
        <v>46083</v>
      </c>
      <c r="B12" s="44" t="s">
        <v>423</v>
      </c>
      <c r="C12" s="447">
        <f>(M12*E12*O12*Q12)/100000000</f>
        <v>45.715823999999998</v>
      </c>
      <c r="D12" s="44" t="s">
        <v>425</v>
      </c>
      <c r="E12" s="45">
        <v>15.5</v>
      </c>
      <c r="F12" s="45">
        <v>1</v>
      </c>
      <c r="G12" s="605">
        <v>1150</v>
      </c>
      <c r="H12" s="602">
        <v>0.22</v>
      </c>
      <c r="I12" s="48">
        <v>0.88</v>
      </c>
      <c r="J12" s="85">
        <f>E12*G12*(1-H12)*1440/1000000*2.75</f>
        <v>55.057859999999998</v>
      </c>
      <c r="K12" s="85">
        <f t="shared" ref="K12" si="6">(IF(G12&lt;L12,L12,G12)*(1-IF(H12&lt;N12,H12,N12))*E12*O12*Q12)/100000000</f>
        <v>53.956702800000002</v>
      </c>
      <c r="L12" s="38">
        <v>1000</v>
      </c>
      <c r="M12" s="38">
        <v>760</v>
      </c>
      <c r="N12" s="49">
        <f>1-(M12/L12)</f>
        <v>0.24</v>
      </c>
      <c r="O12" s="50">
        <f>+'Trim Rwd'!H8</f>
        <v>269.5</v>
      </c>
      <c r="P12" s="51">
        <f>O12*(Q12-R12-S12)</f>
        <v>244436.5</v>
      </c>
      <c r="Q12" s="50">
        <v>1440</v>
      </c>
      <c r="R12" s="503">
        <f>369+120</f>
        <v>489</v>
      </c>
      <c r="S12" s="503">
        <v>44</v>
      </c>
      <c r="T12" s="40">
        <f>E12*M12*O12*Q12/100000000</f>
        <v>45.715823999999998</v>
      </c>
      <c r="U12" s="40">
        <f>E12*M12*O12*(Q12-R12-S12)/100000000</f>
        <v>28.794619699999998</v>
      </c>
      <c r="V12" s="40">
        <f>E12*G12*(1-N12)*O12/100*(R12+S12)/1000000</f>
        <v>19.459384945</v>
      </c>
      <c r="W12" s="40">
        <f>+'2'!K8/1000</f>
        <v>28.408000000000001</v>
      </c>
      <c r="X12" s="504">
        <f>SUM(W12:W15)/SUM(K12:K15)</f>
        <v>0.5264962187422616</v>
      </c>
      <c r="Y12" s="214">
        <v>0</v>
      </c>
      <c r="Z12" s="40">
        <v>0</v>
      </c>
      <c r="AA12" s="52">
        <f>SUM(U12:U15)-SUM(W12:W15)-SUM(Z12:Z15)-SUM(Y12:Y15)</f>
        <v>0.38661969999999712</v>
      </c>
      <c r="AB12" s="52">
        <f>(SUM(K12:K15)-SUM(W12:W15)-SUM(Y12:Y15)-SUM(Z12:Z15)-SUM(AC12:AC15)-SUM(V12:V15))-AA12</f>
        <v>-2.5381806450000006</v>
      </c>
      <c r="AC12" s="40">
        <f>K12-T12</f>
        <v>8.2408788000000044</v>
      </c>
      <c r="AD12" s="40">
        <f>+AM12+BA12</f>
        <v>2</v>
      </c>
      <c r="AE12" s="233" t="s">
        <v>453</v>
      </c>
      <c r="AF12" s="40">
        <v>2</v>
      </c>
      <c r="AG12" s="40"/>
      <c r="AH12" s="40"/>
      <c r="AI12" s="505"/>
      <c r="AJ12" s="40"/>
      <c r="AK12" s="40"/>
      <c r="AL12" s="40"/>
      <c r="AM12" s="40">
        <f>SUM(AF12:AL12)+AT12</f>
        <v>2</v>
      </c>
      <c r="AN12" s="40"/>
      <c r="AO12" s="40"/>
      <c r="AP12" s="40"/>
      <c r="AQ12" s="40"/>
      <c r="AR12" s="40">
        <f>SUM(AN12:AQ12)</f>
        <v>0</v>
      </c>
      <c r="AS12" s="40"/>
      <c r="AT12" s="40"/>
      <c r="AU12" s="40"/>
      <c r="AV12" s="40"/>
      <c r="AW12" s="40"/>
      <c r="AX12" s="40"/>
      <c r="AY12" s="40"/>
      <c r="AZ12" s="40"/>
      <c r="BA12" s="40">
        <f>+AR12+AS12+AU12+AV12+AX12</f>
        <v>0</v>
      </c>
      <c r="BB12" s="36">
        <v>1</v>
      </c>
      <c r="BC12" s="54"/>
      <c r="BD12" s="54"/>
      <c r="BE12" s="36"/>
      <c r="BF12" s="54">
        <v>3</v>
      </c>
    </row>
    <row r="13" spans="1:58" ht="12.95" customHeight="1">
      <c r="A13" s="43"/>
      <c r="B13" s="44"/>
      <c r="C13" s="447"/>
      <c r="D13" s="44"/>
      <c r="E13" s="45"/>
      <c r="F13" s="45"/>
      <c r="G13" s="605"/>
      <c r="H13" s="602"/>
      <c r="I13" s="48"/>
      <c r="J13" s="85"/>
      <c r="K13" s="85"/>
      <c r="L13" s="38"/>
      <c r="M13" s="38"/>
      <c r="N13" s="49"/>
      <c r="O13" s="50"/>
      <c r="P13" s="51"/>
      <c r="Q13" s="50"/>
      <c r="R13" s="503"/>
      <c r="S13" s="503"/>
      <c r="T13" s="40"/>
      <c r="U13" s="40"/>
      <c r="V13" s="40"/>
      <c r="W13" s="40"/>
      <c r="X13" s="41"/>
      <c r="Y13" s="214"/>
      <c r="Z13" s="40"/>
      <c r="AA13" s="40"/>
      <c r="AB13" s="40"/>
      <c r="AC13" s="40">
        <f>K13-T13</f>
        <v>0</v>
      </c>
      <c r="AD13" s="40">
        <f t="shared" ref="AD13:AD16" si="7">+AM13+BA13</f>
        <v>15</v>
      </c>
      <c r="AE13" s="233" t="s">
        <v>461</v>
      </c>
      <c r="AF13" s="40"/>
      <c r="AG13" s="40">
        <v>15</v>
      </c>
      <c r="AH13" s="40"/>
      <c r="AI13" s="505"/>
      <c r="AJ13" s="40"/>
      <c r="AK13" s="40"/>
      <c r="AL13" s="40"/>
      <c r="AM13" s="40">
        <f t="shared" ref="AM13:AM16" si="8">SUM(AF13:AL13)+AT13</f>
        <v>15</v>
      </c>
      <c r="AN13" s="86"/>
      <c r="AO13" s="40"/>
      <c r="AP13" s="40"/>
      <c r="AQ13" s="40"/>
      <c r="AR13" s="40">
        <f t="shared" ref="AR13:AR16" si="9">SUM(AN13:AQ13)</f>
        <v>0</v>
      </c>
      <c r="AS13" s="40"/>
      <c r="AT13" s="40"/>
      <c r="AU13" s="40"/>
      <c r="AV13" s="40"/>
      <c r="AW13" s="40"/>
      <c r="AX13" s="40"/>
      <c r="AY13" s="40"/>
      <c r="AZ13" s="40"/>
      <c r="BA13" s="40">
        <f t="shared" ref="BA13:BA16" si="10">+AR13+AS13+AU13+AV13+AX13</f>
        <v>0</v>
      </c>
      <c r="BB13" s="53"/>
      <c r="BC13" s="54">
        <v>13</v>
      </c>
      <c r="BD13" s="54"/>
      <c r="BE13" s="53"/>
      <c r="BF13" s="54"/>
    </row>
    <row r="14" spans="1:58" ht="12.95" customHeight="1">
      <c r="A14" s="43"/>
      <c r="B14" s="44"/>
      <c r="C14" s="447"/>
      <c r="D14" s="44"/>
      <c r="E14" s="45"/>
      <c r="F14" s="45"/>
      <c r="G14" s="606"/>
      <c r="H14" s="602"/>
      <c r="I14" s="48"/>
      <c r="J14" s="85"/>
      <c r="K14" s="85"/>
      <c r="L14" s="38"/>
      <c r="M14" s="38"/>
      <c r="N14" s="49"/>
      <c r="O14" s="50"/>
      <c r="P14" s="51"/>
      <c r="Q14" s="50"/>
      <c r="R14" s="503"/>
      <c r="S14" s="503"/>
      <c r="T14" s="40"/>
      <c r="U14" s="40"/>
      <c r="V14" s="40"/>
      <c r="W14" s="40"/>
      <c r="X14" s="41"/>
      <c r="Y14" s="214"/>
      <c r="Z14" s="40"/>
      <c r="AA14" s="40"/>
      <c r="AB14" s="40"/>
      <c r="AC14" s="40"/>
      <c r="AD14" s="40">
        <f t="shared" si="7"/>
        <v>17</v>
      </c>
      <c r="AE14" s="233" t="s">
        <v>462</v>
      </c>
      <c r="AF14" s="36"/>
      <c r="AG14" s="36"/>
      <c r="AH14" s="36">
        <v>17</v>
      </c>
      <c r="AJ14" s="40"/>
      <c r="AK14" s="40"/>
      <c r="AL14" s="40"/>
      <c r="AM14" s="40">
        <f t="shared" si="8"/>
        <v>17</v>
      </c>
      <c r="AN14" s="40"/>
      <c r="AO14" s="40"/>
      <c r="AP14" s="40"/>
      <c r="AQ14" s="40"/>
      <c r="AR14" s="40">
        <f t="shared" si="9"/>
        <v>0</v>
      </c>
      <c r="AS14" s="40"/>
      <c r="AT14" s="40"/>
      <c r="AU14" s="40"/>
      <c r="AV14" s="40"/>
      <c r="AW14" s="40"/>
      <c r="AX14" s="40"/>
      <c r="AY14" s="40"/>
      <c r="AZ14" s="40"/>
      <c r="BA14" s="40">
        <f t="shared" si="10"/>
        <v>0</v>
      </c>
      <c r="BB14" s="36"/>
      <c r="BC14" s="506"/>
      <c r="BD14" s="506"/>
      <c r="BE14" s="36"/>
      <c r="BF14" s="506"/>
    </row>
    <row r="15" spans="1:58" ht="12.95" customHeight="1">
      <c r="A15" s="43"/>
      <c r="B15" s="44"/>
      <c r="C15" s="447"/>
      <c r="D15" s="44"/>
      <c r="E15" s="45"/>
      <c r="F15" s="45"/>
      <c r="G15" s="606"/>
      <c r="H15" s="602"/>
      <c r="I15" s="48"/>
      <c r="J15" s="85"/>
      <c r="K15" s="85"/>
      <c r="L15" s="38"/>
      <c r="M15" s="38"/>
      <c r="N15" s="49"/>
      <c r="O15" s="50"/>
      <c r="P15" s="51"/>
      <c r="Q15" s="37"/>
      <c r="R15" s="503"/>
      <c r="S15" s="503"/>
      <c r="T15" s="40"/>
      <c r="U15" s="40"/>
      <c r="V15" s="40"/>
      <c r="W15" s="40"/>
      <c r="X15" s="41"/>
      <c r="Y15" s="214"/>
      <c r="Z15" s="40"/>
      <c r="AA15" s="40"/>
      <c r="AB15" s="40"/>
      <c r="AC15" s="40"/>
      <c r="AD15" s="40">
        <f t="shared" si="7"/>
        <v>10</v>
      </c>
      <c r="AE15" s="236" t="s">
        <v>228</v>
      </c>
      <c r="AF15" s="40"/>
      <c r="AG15" s="40"/>
      <c r="AH15" s="40"/>
      <c r="AI15" s="505">
        <v>10</v>
      </c>
      <c r="AJ15" s="40"/>
      <c r="AK15" s="40"/>
      <c r="AL15" s="40"/>
      <c r="AM15" s="40">
        <f t="shared" si="8"/>
        <v>10</v>
      </c>
      <c r="AN15" s="40"/>
      <c r="AO15" s="40"/>
      <c r="AP15" s="40"/>
      <c r="AQ15" s="40"/>
      <c r="AR15" s="40">
        <f t="shared" si="9"/>
        <v>0</v>
      </c>
      <c r="AS15" s="40"/>
      <c r="AT15" s="40"/>
      <c r="AU15" s="40"/>
      <c r="AV15" s="40"/>
      <c r="AW15" s="40"/>
      <c r="AX15" s="40"/>
      <c r="AY15" s="40"/>
      <c r="AZ15" s="40"/>
      <c r="BA15" s="40">
        <f t="shared" si="10"/>
        <v>0</v>
      </c>
      <c r="BB15" s="53"/>
      <c r="BC15" s="54"/>
      <c r="BD15" s="54"/>
      <c r="BE15" s="53"/>
      <c r="BF15" s="54"/>
    </row>
    <row r="16" spans="1:58" ht="12.95" customHeight="1">
      <c r="A16" s="43"/>
      <c r="B16" s="44"/>
      <c r="C16" s="447"/>
      <c r="D16" s="44"/>
      <c r="E16" s="45"/>
      <c r="F16" s="45"/>
      <c r="G16" s="605"/>
      <c r="H16" s="602"/>
      <c r="I16" s="48"/>
      <c r="J16" s="85"/>
      <c r="K16" s="85"/>
      <c r="L16" s="603"/>
      <c r="M16" s="38"/>
      <c r="N16" s="49"/>
      <c r="O16" s="50"/>
      <c r="P16" s="51"/>
      <c r="Q16" s="50"/>
      <c r="R16" s="503"/>
      <c r="S16" s="503"/>
      <c r="T16" s="40"/>
      <c r="U16" s="40"/>
      <c r="V16" s="40"/>
      <c r="W16" s="40"/>
      <c r="X16" s="504"/>
      <c r="Y16" s="214"/>
      <c r="Z16" s="40"/>
      <c r="AA16" s="52"/>
      <c r="AB16" s="52"/>
      <c r="AC16" s="40"/>
      <c r="AD16" s="40">
        <f t="shared" si="7"/>
        <v>369</v>
      </c>
      <c r="AE16" s="236" t="s">
        <v>459</v>
      </c>
      <c r="AF16" s="40"/>
      <c r="AG16" s="40"/>
      <c r="AH16" s="40"/>
      <c r="AI16" s="505"/>
      <c r="AJ16" s="40"/>
      <c r="AK16" s="40"/>
      <c r="AL16" s="40"/>
      <c r="AM16" s="40">
        <f t="shared" si="8"/>
        <v>0</v>
      </c>
      <c r="AN16" s="40">
        <v>369</v>
      </c>
      <c r="AO16" s="40"/>
      <c r="AP16" s="40"/>
      <c r="AQ16" s="40"/>
      <c r="AR16" s="40">
        <f t="shared" si="9"/>
        <v>369</v>
      </c>
      <c r="AS16" s="40"/>
      <c r="AT16" s="40"/>
      <c r="AU16" s="40"/>
      <c r="AV16" s="40"/>
      <c r="AW16" s="40"/>
      <c r="AX16" s="40"/>
      <c r="AY16" s="40"/>
      <c r="AZ16" s="40"/>
      <c r="BA16" s="40">
        <f t="shared" si="10"/>
        <v>369</v>
      </c>
      <c r="BB16" s="36"/>
      <c r="BC16" s="54"/>
      <c r="BD16" s="54"/>
      <c r="BE16" s="36"/>
      <c r="BF16" s="54"/>
    </row>
    <row r="17" spans="1:58" ht="12.95" customHeight="1">
      <c r="A17" s="43"/>
      <c r="B17" s="44"/>
      <c r="C17" s="447"/>
      <c r="D17" s="44"/>
      <c r="E17" s="45"/>
      <c r="F17" s="45"/>
      <c r="G17" s="605"/>
      <c r="H17" s="602"/>
      <c r="I17" s="48"/>
      <c r="J17" s="85"/>
      <c r="K17" s="85"/>
      <c r="L17" s="603"/>
      <c r="M17" s="38"/>
      <c r="N17" s="49"/>
      <c r="O17" s="50"/>
      <c r="P17" s="51"/>
      <c r="Q17" s="50"/>
      <c r="R17" s="503"/>
      <c r="S17" s="503"/>
      <c r="T17" s="40"/>
      <c r="U17" s="40"/>
      <c r="V17" s="40"/>
      <c r="W17" s="40"/>
      <c r="X17" s="504"/>
      <c r="Y17" s="214"/>
      <c r="Z17" s="40"/>
      <c r="AA17" s="52"/>
      <c r="AB17" s="52"/>
      <c r="AC17" s="40"/>
      <c r="AD17" s="40">
        <f t="shared" ref="AD17" si="11">+AM17+BA17</f>
        <v>120</v>
      </c>
      <c r="AE17" s="236" t="s">
        <v>460</v>
      </c>
      <c r="AF17" s="40"/>
      <c r="AG17" s="40"/>
      <c r="AH17" s="40"/>
      <c r="AI17" s="505"/>
      <c r="AJ17" s="40"/>
      <c r="AK17" s="40"/>
      <c r="AL17" s="40"/>
      <c r="AM17" s="40">
        <f t="shared" ref="AM17" si="12">SUM(AF17:AL17)+AT17</f>
        <v>0</v>
      </c>
      <c r="AN17" s="40"/>
      <c r="AO17" s="40">
        <v>120</v>
      </c>
      <c r="AP17" s="40"/>
      <c r="AQ17" s="40"/>
      <c r="AR17" s="40">
        <f t="shared" ref="AR17" si="13">SUM(AN17:AQ17)</f>
        <v>120</v>
      </c>
      <c r="AS17" s="40"/>
      <c r="AT17" s="40"/>
      <c r="AU17" s="40"/>
      <c r="AV17" s="40"/>
      <c r="AW17" s="40"/>
      <c r="AX17" s="40"/>
      <c r="AY17" s="40"/>
      <c r="AZ17" s="40"/>
      <c r="BA17" s="40">
        <f t="shared" ref="BA17" si="14">+AR17+AS17+AU17+AV17+AX17</f>
        <v>120</v>
      </c>
      <c r="BB17" s="36"/>
      <c r="BC17" s="54"/>
      <c r="BD17" s="54"/>
      <c r="BE17" s="36"/>
      <c r="BF17" s="54"/>
    </row>
    <row r="18" spans="1:58" ht="12.95" customHeight="1">
      <c r="A18" s="43"/>
      <c r="B18" s="44"/>
      <c r="C18" s="447"/>
      <c r="D18" s="44"/>
      <c r="E18" s="45"/>
      <c r="F18" s="45"/>
      <c r="G18" s="605"/>
      <c r="H18" s="602"/>
      <c r="I18" s="48"/>
      <c r="J18" s="85"/>
      <c r="K18" s="85"/>
      <c r="L18" s="603"/>
      <c r="M18" s="38"/>
      <c r="N18" s="49"/>
      <c r="O18" s="50"/>
      <c r="P18" s="51"/>
      <c r="Q18" s="50"/>
      <c r="R18" s="503"/>
      <c r="S18" s="503"/>
      <c r="T18" s="40"/>
      <c r="U18" s="40"/>
      <c r="V18" s="49"/>
      <c r="W18" s="40"/>
      <c r="X18" s="504"/>
      <c r="Y18" s="214"/>
      <c r="Z18" s="40"/>
      <c r="AA18" s="52"/>
      <c r="AB18" s="52"/>
      <c r="AC18" s="40"/>
      <c r="AD18" s="40"/>
      <c r="AE18" s="233"/>
      <c r="AF18" s="40"/>
      <c r="AG18" s="40"/>
      <c r="AH18" s="40"/>
      <c r="AI18" s="505"/>
      <c r="AJ18" s="40"/>
      <c r="AK18" s="40"/>
      <c r="AL18" s="40"/>
      <c r="AM18" s="40"/>
      <c r="AN18" s="40"/>
      <c r="AO18" s="40"/>
      <c r="AP18" s="40"/>
      <c r="AQ18" s="40"/>
      <c r="AR18" s="40"/>
      <c r="AS18" s="40"/>
      <c r="AT18" s="40"/>
      <c r="AU18" s="40"/>
      <c r="AV18" s="40"/>
      <c r="AW18" s="40"/>
      <c r="AX18" s="40"/>
      <c r="AY18" s="40"/>
      <c r="AZ18" s="40"/>
      <c r="BA18" s="40"/>
      <c r="BB18" s="36"/>
      <c r="BC18" s="54"/>
      <c r="BD18" s="54"/>
      <c r="BE18" s="36"/>
      <c r="BF18" s="54"/>
    </row>
    <row r="19" spans="1:58" ht="12.95" customHeight="1">
      <c r="A19" s="43">
        <v>46084</v>
      </c>
      <c r="B19" s="44" t="s">
        <v>423</v>
      </c>
      <c r="C19" s="447">
        <f>(M19*E19*O19*Q19)/100000000</f>
        <v>17.860041237499999</v>
      </c>
      <c r="D19" s="44" t="s">
        <v>425</v>
      </c>
      <c r="E19" s="45">
        <v>15.5</v>
      </c>
      <c r="F19" s="45">
        <v>1</v>
      </c>
      <c r="G19" s="605">
        <v>1150</v>
      </c>
      <c r="H19" s="602">
        <v>0.22</v>
      </c>
      <c r="I19" s="48">
        <v>0.88</v>
      </c>
      <c r="J19" s="85">
        <f>E19*G19*(1-H19)*1440/1000000*2.75</f>
        <v>55.057859999999998</v>
      </c>
      <c r="K19" s="85">
        <f t="shared" ref="K19" si="15">(IF(G19&lt;L19,L19,G19)*(1-IF(H19&lt;N19,H19,N19))*E19*O19*Q19)/100000000</f>
        <v>20.983162199999999</v>
      </c>
      <c r="L19" s="603">
        <v>1002.6785714285714</v>
      </c>
      <c r="M19" s="38">
        <v>763.49107142857144</v>
      </c>
      <c r="N19" s="49">
        <f>1-(M19/L19)</f>
        <v>0.23854853072128224</v>
      </c>
      <c r="O19" s="50">
        <f>+'Trim Rwd'!H10</f>
        <v>269.5</v>
      </c>
      <c r="P19" s="51">
        <f>O19*(Q19-R19-S19)</f>
        <v>140140</v>
      </c>
      <c r="Q19" s="50">
        <v>560</v>
      </c>
      <c r="R19" s="503">
        <v>0</v>
      </c>
      <c r="S19" s="503">
        <v>40</v>
      </c>
      <c r="T19" s="40">
        <f>E19*M19*O19*Q19/100000000</f>
        <v>17.860041237499999</v>
      </c>
      <c r="U19" s="40">
        <f>E19*M19*O19*(Q19-R19-S19)/100000000</f>
        <v>16.58432400625</v>
      </c>
      <c r="V19" s="40">
        <f>E19*G19*(1-N19)*O19/100*(R19+S19)/1000000</f>
        <v>1.4631556490204809</v>
      </c>
      <c r="W19" s="40">
        <f>+'3'!K8/1000</f>
        <v>19.751999999999999</v>
      </c>
      <c r="X19" s="504">
        <f>SUM(W19:W22)/SUM(K19:K22)</f>
        <v>0.74698095380945828</v>
      </c>
      <c r="Y19" s="214">
        <v>0</v>
      </c>
      <c r="Z19" s="40">
        <v>0</v>
      </c>
      <c r="AA19" s="52">
        <f>SUM(U19:U22)-SUM(W19:W22)-SUM(Z19:Z22)-SUM(Y19:Y22)</f>
        <v>0.8088140062500031</v>
      </c>
      <c r="AB19" s="52">
        <f>(SUM(K19:K22)-SUM(W19:W22)-SUM(Y19:Y22)-SUM(Z19:Z22)-SUM(AC19:AC22)-SUM(V19:V22))-AA19</f>
        <v>-0.53853321777047736</v>
      </c>
      <c r="AC19" s="40">
        <f>K19-T19</f>
        <v>3.1231209624999998</v>
      </c>
      <c r="AD19" s="40">
        <f>+AM19+BA19</f>
        <v>0</v>
      </c>
      <c r="AE19" s="233" t="s">
        <v>391</v>
      </c>
      <c r="AF19" s="40">
        <v>0</v>
      </c>
      <c r="AG19" s="40"/>
      <c r="AH19" s="40"/>
      <c r="AI19" s="505"/>
      <c r="AJ19" s="40"/>
      <c r="AK19" s="40"/>
      <c r="AL19" s="40"/>
      <c r="AM19" s="40">
        <f>SUM(AF19:AL19)+AT19</f>
        <v>0</v>
      </c>
      <c r="AN19" s="40"/>
      <c r="AO19" s="40"/>
      <c r="AP19" s="40"/>
      <c r="AQ19" s="40"/>
      <c r="AR19" s="40">
        <f>SUM(AN19:AQ19)</f>
        <v>0</v>
      </c>
      <c r="AS19" s="40"/>
      <c r="AT19" s="40"/>
      <c r="AU19" s="40"/>
      <c r="AV19" s="40"/>
      <c r="AW19" s="40"/>
      <c r="AX19" s="40"/>
      <c r="AY19" s="40"/>
      <c r="AZ19" s="40"/>
      <c r="BA19" s="40">
        <f>+AR19+AS19+AU19+AV19+AX19</f>
        <v>0</v>
      </c>
      <c r="BB19" s="36">
        <v>0</v>
      </c>
      <c r="BC19" s="54"/>
      <c r="BD19" s="54"/>
      <c r="BE19" s="36"/>
      <c r="BF19" s="54"/>
    </row>
    <row r="20" spans="1:58" ht="12.95" customHeight="1">
      <c r="A20" s="43"/>
      <c r="B20" s="44" t="s">
        <v>423</v>
      </c>
      <c r="C20" s="447">
        <f>(M20*E20*O20*Q20)/100000000</f>
        <v>26.272400000000001</v>
      </c>
      <c r="D20" s="44" t="s">
        <v>425</v>
      </c>
      <c r="E20" s="45">
        <v>14</v>
      </c>
      <c r="F20" s="45">
        <v>1</v>
      </c>
      <c r="G20" s="605">
        <v>1280</v>
      </c>
      <c r="H20" s="602">
        <f>+N20</f>
        <v>0.22454545454545449</v>
      </c>
      <c r="I20" s="48">
        <v>0.88</v>
      </c>
      <c r="J20" s="85">
        <f>E20*G20*(1-H20)*1440/1000000*2.75</f>
        <v>55.028736000000009</v>
      </c>
      <c r="K20" s="85">
        <f t="shared" ref="K20" si="16">(IF(G20&lt;L20,L20,G20)*(1-IF(H20&lt;N20,H20,N20))*E20*O20*Q20)/100000000</f>
        <v>33.628672000000002</v>
      </c>
      <c r="L20" s="603">
        <v>1000</v>
      </c>
      <c r="M20" s="38">
        <v>775.4545454545455</v>
      </c>
      <c r="N20" s="49">
        <f>1-(M20/L20)</f>
        <v>0.22454545454545449</v>
      </c>
      <c r="O20" s="50">
        <f>+'Trim Rwd'!H11</f>
        <v>275</v>
      </c>
      <c r="P20" s="51">
        <f>O20*(Q20-R20-S20)</f>
        <v>230450</v>
      </c>
      <c r="Q20" s="50">
        <v>880</v>
      </c>
      <c r="R20" s="503">
        <v>0</v>
      </c>
      <c r="S20" s="503">
        <v>42</v>
      </c>
      <c r="T20" s="40">
        <f>E20*M20*O20*Q20/100000000</f>
        <v>26.272400000000001</v>
      </c>
      <c r="U20" s="40">
        <f>E20*M20*O20*(Q20-R20-S20)/100000000</f>
        <v>25.01849</v>
      </c>
      <c r="V20" s="40">
        <f>E20*G20*(1-N20)*O20/100*(R20+S20)/1000000</f>
        <v>1.6050048000000001</v>
      </c>
      <c r="W20" s="40">
        <f>+'3'!K7/1000</f>
        <v>21.042000000000002</v>
      </c>
      <c r="X20" s="41"/>
      <c r="Y20" s="214"/>
      <c r="Z20" s="40"/>
      <c r="AA20" s="40"/>
      <c r="AB20" s="40"/>
      <c r="AC20" s="40">
        <f>K20-T20</f>
        <v>7.3562720000000006</v>
      </c>
      <c r="AD20" s="40">
        <f t="shared" ref="AD20:AD22" si="17">+AM20+BA20</f>
        <v>14</v>
      </c>
      <c r="AE20" s="233" t="s">
        <v>461</v>
      </c>
      <c r="AF20" s="40"/>
      <c r="AG20" s="40">
        <v>14</v>
      </c>
      <c r="AH20" s="40"/>
      <c r="AI20" s="505"/>
      <c r="AJ20" s="40"/>
      <c r="AK20" s="40"/>
      <c r="AL20" s="40"/>
      <c r="AM20" s="40">
        <f t="shared" ref="AM20:AM22" si="18">SUM(AF20:AL20)+AT20</f>
        <v>14</v>
      </c>
      <c r="AN20" s="86"/>
      <c r="AO20" s="40"/>
      <c r="AP20" s="40"/>
      <c r="AQ20" s="40"/>
      <c r="AR20" s="40">
        <f t="shared" ref="AR20:AR22" si="19">SUM(AN20:AQ20)</f>
        <v>0</v>
      </c>
      <c r="AS20" s="40"/>
      <c r="AT20" s="40"/>
      <c r="AU20" s="40"/>
      <c r="AV20" s="40"/>
      <c r="AW20" s="40"/>
      <c r="AX20" s="40"/>
      <c r="AY20" s="40"/>
      <c r="AZ20" s="40"/>
      <c r="BA20" s="40">
        <f t="shared" ref="BA20:BA22" si="20">+AR20+AS20+AU20+AV20+AX20</f>
        <v>0</v>
      </c>
      <c r="BB20" s="53"/>
      <c r="BC20" s="54">
        <v>13</v>
      </c>
      <c r="BD20" s="54"/>
      <c r="BE20" s="53"/>
      <c r="BF20" s="54"/>
    </row>
    <row r="21" spans="1:58" ht="12.95" customHeight="1">
      <c r="A21" s="43"/>
      <c r="B21" s="44"/>
      <c r="C21" s="447"/>
      <c r="D21" s="44"/>
      <c r="E21" s="45"/>
      <c r="F21" s="45"/>
      <c r="G21" s="606"/>
      <c r="H21" s="602"/>
      <c r="I21" s="48"/>
      <c r="J21" s="85"/>
      <c r="K21" s="85"/>
      <c r="L21" s="603"/>
      <c r="M21" s="38"/>
      <c r="N21" s="49"/>
      <c r="O21" s="50"/>
      <c r="P21" s="51"/>
      <c r="Q21" s="50"/>
      <c r="R21" s="503"/>
      <c r="S21" s="503"/>
      <c r="T21" s="40"/>
      <c r="U21" s="40"/>
      <c r="V21" s="40"/>
      <c r="W21" s="40"/>
      <c r="X21" s="41"/>
      <c r="Y21" s="214"/>
      <c r="Z21" s="40"/>
      <c r="AA21" s="40"/>
      <c r="AB21" s="40"/>
      <c r="AC21" s="40"/>
      <c r="AD21" s="40">
        <f t="shared" si="17"/>
        <v>20</v>
      </c>
      <c r="AE21" s="233" t="s">
        <v>475</v>
      </c>
      <c r="AF21" s="36"/>
      <c r="AG21" s="36"/>
      <c r="AH21" s="36">
        <v>20</v>
      </c>
      <c r="AJ21" s="40"/>
      <c r="AK21" s="40"/>
      <c r="AL21" s="40"/>
      <c r="AM21" s="40">
        <f t="shared" si="18"/>
        <v>20</v>
      </c>
      <c r="AN21" s="40"/>
      <c r="AO21" s="40"/>
      <c r="AP21" s="40"/>
      <c r="AQ21" s="40"/>
      <c r="AR21" s="40">
        <f t="shared" si="19"/>
        <v>0</v>
      </c>
      <c r="AS21" s="40"/>
      <c r="AT21" s="40"/>
      <c r="AU21" s="40"/>
      <c r="AV21" s="40"/>
      <c r="AW21" s="40"/>
      <c r="AX21" s="40"/>
      <c r="AY21" s="40"/>
      <c r="AZ21" s="40"/>
      <c r="BA21" s="40">
        <f t="shared" si="20"/>
        <v>0</v>
      </c>
      <c r="BB21" s="36"/>
      <c r="BC21" s="506"/>
      <c r="BD21" s="506"/>
      <c r="BE21" s="36"/>
      <c r="BF21" s="506"/>
    </row>
    <row r="22" spans="1:58" ht="12.95" customHeight="1">
      <c r="A22" s="43"/>
      <c r="B22" s="44"/>
      <c r="C22" s="447"/>
      <c r="D22" s="44"/>
      <c r="E22" s="45"/>
      <c r="F22" s="45"/>
      <c r="G22" s="606"/>
      <c r="H22" s="602"/>
      <c r="I22" s="48"/>
      <c r="J22" s="85"/>
      <c r="K22" s="85"/>
      <c r="L22" s="603"/>
      <c r="M22" s="38"/>
      <c r="N22" s="49"/>
      <c r="O22" s="50"/>
      <c r="P22" s="51"/>
      <c r="Q22" s="37"/>
      <c r="R22" s="503"/>
      <c r="S22" s="503"/>
      <c r="T22" s="40"/>
      <c r="U22" s="40"/>
      <c r="V22" s="40"/>
      <c r="W22" s="40"/>
      <c r="X22" s="41"/>
      <c r="Y22" s="214"/>
      <c r="Z22" s="40"/>
      <c r="AA22" s="40"/>
      <c r="AB22" s="40"/>
      <c r="AC22" s="40"/>
      <c r="AD22" s="40">
        <f t="shared" si="17"/>
        <v>18</v>
      </c>
      <c r="AE22" s="236" t="s">
        <v>228</v>
      </c>
      <c r="AF22" s="40"/>
      <c r="AG22" s="40"/>
      <c r="AH22" s="40"/>
      <c r="AI22" s="505">
        <v>18</v>
      </c>
      <c r="AJ22" s="40"/>
      <c r="AK22" s="40"/>
      <c r="AL22" s="40"/>
      <c r="AM22" s="40">
        <f t="shared" si="18"/>
        <v>18</v>
      </c>
      <c r="AN22" s="40"/>
      <c r="AO22" s="40"/>
      <c r="AP22" s="40"/>
      <c r="AQ22" s="40"/>
      <c r="AR22" s="40">
        <f t="shared" si="19"/>
        <v>0</v>
      </c>
      <c r="AS22" s="40"/>
      <c r="AT22" s="40"/>
      <c r="AU22" s="40"/>
      <c r="AV22" s="40"/>
      <c r="AW22" s="40"/>
      <c r="AX22" s="40"/>
      <c r="AY22" s="40"/>
      <c r="AZ22" s="40"/>
      <c r="BA22" s="40">
        <f t="shared" si="20"/>
        <v>0</v>
      </c>
      <c r="BB22" s="53"/>
      <c r="BC22" s="54"/>
      <c r="BD22" s="54"/>
      <c r="BE22" s="53"/>
      <c r="BF22" s="54"/>
    </row>
    <row r="23" spans="1:58" ht="12.95" customHeight="1">
      <c r="A23" s="43"/>
      <c r="B23" s="44"/>
      <c r="C23" s="447"/>
      <c r="D23" s="44"/>
      <c r="E23" s="45"/>
      <c r="F23" s="45"/>
      <c r="G23" s="606"/>
      <c r="H23" s="602"/>
      <c r="I23" s="48"/>
      <c r="J23" s="85"/>
      <c r="K23" s="85"/>
      <c r="L23" s="603"/>
      <c r="M23" s="38"/>
      <c r="N23" s="49"/>
      <c r="O23" s="50"/>
      <c r="P23" s="51"/>
      <c r="Q23" s="37"/>
      <c r="R23" s="503"/>
      <c r="S23" s="503"/>
      <c r="T23" s="40"/>
      <c r="U23" s="40"/>
      <c r="V23" s="40"/>
      <c r="W23" s="40"/>
      <c r="X23" s="41"/>
      <c r="Y23" s="214"/>
      <c r="Z23" s="40"/>
      <c r="AA23" s="40"/>
      <c r="AB23" s="40"/>
      <c r="AC23" s="40"/>
      <c r="AD23" s="40">
        <f t="shared" ref="AD23" si="21">+AM23+BA23</f>
        <v>30</v>
      </c>
      <c r="AE23" s="236" t="s">
        <v>476</v>
      </c>
      <c r="AF23" s="40"/>
      <c r="AG23" s="40"/>
      <c r="AH23" s="40"/>
      <c r="AI23" s="505"/>
      <c r="AJ23" s="40"/>
      <c r="AK23" s="40">
        <v>30</v>
      </c>
      <c r="AL23" s="40"/>
      <c r="AM23" s="40">
        <f t="shared" ref="AM23" si="22">SUM(AF23:AL23)+AT23</f>
        <v>30</v>
      </c>
      <c r="AN23" s="40"/>
      <c r="AO23" s="40"/>
      <c r="AP23" s="40"/>
      <c r="AQ23" s="40"/>
      <c r="AR23" s="40">
        <f t="shared" ref="AR23" si="23">SUM(AN23:AQ23)</f>
        <v>0</v>
      </c>
      <c r="AS23" s="40"/>
      <c r="AT23" s="40"/>
      <c r="AU23" s="40"/>
      <c r="AV23" s="40"/>
      <c r="AW23" s="40"/>
      <c r="AX23" s="40"/>
      <c r="AY23" s="40"/>
      <c r="AZ23" s="40"/>
      <c r="BA23" s="40">
        <f t="shared" ref="BA23" si="24">+AR23+AS23+AU23+AV23+AX23</f>
        <v>0</v>
      </c>
      <c r="BB23" s="53"/>
      <c r="BC23" s="54"/>
      <c r="BD23" s="54"/>
      <c r="BE23" s="53"/>
      <c r="BF23" s="54"/>
    </row>
    <row r="24" spans="1:58" ht="12.95" customHeight="1">
      <c r="A24" s="43"/>
      <c r="B24" s="44"/>
      <c r="C24" s="447"/>
      <c r="D24" s="44"/>
      <c r="E24" s="45"/>
      <c r="F24" s="45"/>
      <c r="G24" s="605"/>
      <c r="H24" s="602"/>
      <c r="I24" s="48"/>
      <c r="J24" s="85"/>
      <c r="K24" s="85"/>
      <c r="L24" s="603"/>
      <c r="M24" s="38"/>
      <c r="N24" s="49"/>
      <c r="O24" s="50"/>
      <c r="P24" s="51"/>
      <c r="Q24" s="50"/>
      <c r="R24" s="503"/>
      <c r="S24" s="503"/>
      <c r="T24" s="40"/>
      <c r="U24" s="40"/>
      <c r="V24" s="40"/>
      <c r="W24" s="40"/>
      <c r="X24" s="504"/>
      <c r="Y24" s="214"/>
      <c r="Z24" s="40"/>
      <c r="AA24" s="52"/>
      <c r="AB24" s="52"/>
      <c r="AC24" s="40"/>
      <c r="AD24" s="40"/>
      <c r="AE24" s="233"/>
      <c r="AF24" s="40"/>
      <c r="AG24" s="40"/>
      <c r="AH24" s="40"/>
      <c r="AI24" s="505"/>
      <c r="AJ24" s="40"/>
      <c r="AK24" s="40"/>
      <c r="AL24" s="40"/>
      <c r="AM24" s="40"/>
      <c r="AN24" s="40"/>
      <c r="AO24" s="40"/>
      <c r="AP24" s="40"/>
      <c r="AQ24" s="40"/>
      <c r="AR24" s="40"/>
      <c r="AS24" s="40"/>
      <c r="AT24" s="40"/>
      <c r="AU24" s="40"/>
      <c r="AV24" s="40"/>
      <c r="AW24" s="40"/>
      <c r="AX24" s="40"/>
      <c r="AY24" s="40"/>
      <c r="AZ24" s="40"/>
      <c r="BA24" s="40"/>
      <c r="BB24" s="36"/>
      <c r="BC24" s="54"/>
      <c r="BD24" s="506"/>
      <c r="BE24" s="36"/>
      <c r="BF24" s="506"/>
    </row>
    <row r="25" spans="1:58" ht="12.95" customHeight="1">
      <c r="A25" s="43">
        <v>46085</v>
      </c>
      <c r="B25" s="44" t="s">
        <v>423</v>
      </c>
      <c r="C25" s="447">
        <f>(M25*E25*O25*Q25)/100000000</f>
        <v>7.22722</v>
      </c>
      <c r="D25" s="44" t="s">
        <v>425</v>
      </c>
      <c r="E25" s="45">
        <v>14</v>
      </c>
      <c r="F25" s="45">
        <v>1</v>
      </c>
      <c r="G25" s="605">
        <v>1275</v>
      </c>
      <c r="H25" s="602">
        <v>0.22</v>
      </c>
      <c r="I25" s="48">
        <v>0.88</v>
      </c>
      <c r="J25" s="85">
        <f>E25*G25*(1-H25)*1440/1000000*2.75</f>
        <v>55.135079999999995</v>
      </c>
      <c r="K25" s="85">
        <f t="shared" ref="K25:K26" si="25">(IF(G25&lt;L25,L25,G25)*(1-IF(H25&lt;N25,H25,N25))*E25*O25*Q25)/100000000</f>
        <v>9.4571977500000006</v>
      </c>
      <c r="L25" s="603">
        <v>1000</v>
      </c>
      <c r="M25" s="38">
        <v>760</v>
      </c>
      <c r="N25" s="49">
        <f>1-(M25/L25)</f>
        <v>0.24</v>
      </c>
      <c r="O25" s="50">
        <f>+'Trim Rwd'!H13</f>
        <v>275</v>
      </c>
      <c r="P25" s="51">
        <f>O25*(Q25-R25-S25)</f>
        <v>59675</v>
      </c>
      <c r="Q25" s="50">
        <v>247</v>
      </c>
      <c r="R25" s="503">
        <v>0</v>
      </c>
      <c r="S25" s="503">
        <v>30</v>
      </c>
      <c r="T25" s="40">
        <f>E25*M25*O25*Q25/100000000</f>
        <v>7.22722</v>
      </c>
      <c r="U25" s="40">
        <f>E25*M25*O25*(Q25-R25-S25)/100000000</f>
        <v>6.3494200000000003</v>
      </c>
      <c r="V25" s="40">
        <f>E25*G25*(1-N25)*O25/100*(R25+S25)/1000000</f>
        <v>1.1191949999999999</v>
      </c>
      <c r="W25" s="40">
        <f>+'4'!K7/1000</f>
        <v>10.941000000000001</v>
      </c>
      <c r="X25" s="504">
        <f>SUM(W25:W28)/SUM(K25:K28)</f>
        <v>0.70333871602328335</v>
      </c>
      <c r="Y25" s="214">
        <v>0</v>
      </c>
      <c r="Z25" s="40">
        <v>0</v>
      </c>
      <c r="AA25" s="52">
        <f>SUM(U25:U28)-SUM(W25:W28)-SUM(Z25:Z28)-SUM(Y25:Y28)</f>
        <v>-0.50222819999999047</v>
      </c>
      <c r="AB25" s="52">
        <f>(SUM(K25:K28)-SUM(W25:W28)-SUM(Y25:Y28)-SUM(Z25:Z28)-SUM(AC25:AC28)-SUM(V25:V28))-AA25</f>
        <v>-1.2715599750000024</v>
      </c>
      <c r="AC25" s="40">
        <f>K25-T25</f>
        <v>2.2299777500000006</v>
      </c>
      <c r="AD25" s="40">
        <f>+AM25+BA25</f>
        <v>5</v>
      </c>
      <c r="AE25" s="233" t="s">
        <v>488</v>
      </c>
      <c r="AF25" s="40">
        <v>5</v>
      </c>
      <c r="AG25" s="40"/>
      <c r="AH25" s="40"/>
      <c r="AI25" s="505"/>
      <c r="AJ25" s="40"/>
      <c r="AK25" s="40"/>
      <c r="AL25" s="40"/>
      <c r="AM25" s="40">
        <f>SUM(AF25:AL25)+AT25</f>
        <v>5</v>
      </c>
      <c r="AN25" s="40"/>
      <c r="AO25" s="40"/>
      <c r="AP25" s="40"/>
      <c r="AQ25" s="40"/>
      <c r="AR25" s="40">
        <f>SUM(AN25:AQ25)</f>
        <v>0</v>
      </c>
      <c r="AS25" s="40"/>
      <c r="AT25" s="40"/>
      <c r="AU25" s="40"/>
      <c r="AV25" s="40"/>
      <c r="AW25" s="40"/>
      <c r="AX25" s="40"/>
      <c r="AY25" s="40"/>
      <c r="AZ25" s="40"/>
      <c r="BA25" s="40">
        <f>+AR25+AS25+AU25+AV25+AX25</f>
        <v>0</v>
      </c>
      <c r="BB25" s="36">
        <v>3</v>
      </c>
      <c r="BC25" s="54"/>
      <c r="BD25" s="54"/>
      <c r="BE25" s="36"/>
      <c r="BF25" s="54">
        <v>3</v>
      </c>
    </row>
    <row r="26" spans="1:58" ht="12.95" customHeight="1">
      <c r="A26" s="43"/>
      <c r="B26" s="44" t="s">
        <v>423</v>
      </c>
      <c r="C26" s="447">
        <f>(M26*E26*O26*Q26)/100000000</f>
        <v>38.108118300000008</v>
      </c>
      <c r="D26" s="44" t="s">
        <v>425</v>
      </c>
      <c r="E26" s="45">
        <v>15.5</v>
      </c>
      <c r="F26" s="45">
        <v>1</v>
      </c>
      <c r="G26" s="605">
        <v>1150</v>
      </c>
      <c r="H26" s="602">
        <v>0.22</v>
      </c>
      <c r="I26" s="48">
        <v>0.88</v>
      </c>
      <c r="J26" s="85">
        <f>E26*G26*(1-H26)*1440/1000000*2.75</f>
        <v>55.057859999999998</v>
      </c>
      <c r="K26" s="85">
        <f t="shared" si="25"/>
        <v>44.701629472500002</v>
      </c>
      <c r="L26" s="603">
        <v>1000</v>
      </c>
      <c r="M26" s="38">
        <v>764.692082111437</v>
      </c>
      <c r="N26" s="49">
        <f>1-(M26/L26)</f>
        <v>0.23530791788856298</v>
      </c>
      <c r="O26" s="50">
        <f>+'Trim Rwd'!H14</f>
        <v>269.5</v>
      </c>
      <c r="P26" s="51">
        <f>O26*(Q26-R26-S26)</f>
        <v>263571</v>
      </c>
      <c r="Q26" s="50">
        <f>1023+170</f>
        <v>1193</v>
      </c>
      <c r="R26" s="503">
        <v>170</v>
      </c>
      <c r="S26" s="503">
        <f>55+20-S25</f>
        <v>45</v>
      </c>
      <c r="T26" s="40">
        <f>E26*M26*O26*Q26/100000000</f>
        <v>38.108118300000008</v>
      </c>
      <c r="U26" s="40">
        <f>E26*M26*O26*(Q26-R26-S26)/100000000</f>
        <v>31.240351800000006</v>
      </c>
      <c r="V26" s="40">
        <f>E26*G26*(1-N26)*O26/100*(R26+S26)/1000000</f>
        <v>7.8979314750000009</v>
      </c>
      <c r="W26" s="40">
        <f>+'4'!K8/1000</f>
        <v>27.151</v>
      </c>
      <c r="X26" s="41"/>
      <c r="Y26" s="214"/>
      <c r="Z26" s="40"/>
      <c r="AA26" s="40"/>
      <c r="AB26" s="40"/>
      <c r="AC26" s="40">
        <f>K26-T26</f>
        <v>6.5935111724999942</v>
      </c>
      <c r="AD26" s="40">
        <f t="shared" ref="AD26:AD30" si="26">+AM26+BA26</f>
        <v>10</v>
      </c>
      <c r="AE26" s="233" t="s">
        <v>489</v>
      </c>
      <c r="AF26" s="40"/>
      <c r="AG26" s="40">
        <v>10</v>
      </c>
      <c r="AH26" s="40"/>
      <c r="AI26" s="505"/>
      <c r="AJ26" s="40"/>
      <c r="AK26" s="40"/>
      <c r="AL26" s="40"/>
      <c r="AM26" s="40">
        <f t="shared" ref="AM26:AM28" si="27">SUM(AF26:AL26)+AT26</f>
        <v>10</v>
      </c>
      <c r="AN26" s="86"/>
      <c r="AO26" s="40"/>
      <c r="AP26" s="40"/>
      <c r="AQ26" s="40"/>
      <c r="AR26" s="40">
        <f t="shared" ref="AR26:AR29" si="28">SUM(AN26:AQ26)</f>
        <v>0</v>
      </c>
      <c r="AS26" s="40"/>
      <c r="AT26" s="40"/>
      <c r="AU26" s="40"/>
      <c r="AV26" s="40"/>
      <c r="AW26" s="40"/>
      <c r="AX26" s="40"/>
      <c r="AY26" s="40"/>
      <c r="AZ26" s="40"/>
      <c r="BA26" s="40">
        <f t="shared" ref="BA26:BA30" si="29">+AR26+AS26+AU26+AV26+AX26</f>
        <v>0</v>
      </c>
      <c r="BB26" s="53"/>
      <c r="BC26" s="54">
        <v>8</v>
      </c>
      <c r="BD26" s="54"/>
      <c r="BE26" s="53"/>
      <c r="BF26" s="54"/>
    </row>
    <row r="27" spans="1:58" ht="12.95" customHeight="1">
      <c r="A27" s="43"/>
      <c r="B27" s="44"/>
      <c r="C27" s="447"/>
      <c r="D27" s="44"/>
      <c r="E27" s="45"/>
      <c r="F27" s="45"/>
      <c r="G27" s="606"/>
      <c r="H27" s="602"/>
      <c r="I27" s="48"/>
      <c r="J27" s="85"/>
      <c r="K27" s="85"/>
      <c r="L27" s="603"/>
      <c r="M27" s="38"/>
      <c r="N27" s="49"/>
      <c r="O27" s="50"/>
      <c r="P27" s="51"/>
      <c r="Q27" s="50"/>
      <c r="R27" s="503"/>
      <c r="S27" s="503"/>
      <c r="T27" s="40"/>
      <c r="U27" s="40"/>
      <c r="V27" s="40"/>
      <c r="W27" s="40"/>
      <c r="X27" s="41"/>
      <c r="Y27" s="214"/>
      <c r="Z27" s="40"/>
      <c r="AA27" s="40"/>
      <c r="AB27" s="40"/>
      <c r="AC27" s="40"/>
      <c r="AD27" s="40">
        <f t="shared" si="26"/>
        <v>23</v>
      </c>
      <c r="AE27" s="233" t="s">
        <v>490</v>
      </c>
      <c r="AF27" s="36"/>
      <c r="AG27" s="36"/>
      <c r="AH27" s="36">
        <v>23</v>
      </c>
      <c r="AJ27" s="40"/>
      <c r="AK27" s="40"/>
      <c r="AL27" s="40"/>
      <c r="AM27" s="40">
        <f t="shared" si="27"/>
        <v>23</v>
      </c>
      <c r="AN27" s="40"/>
      <c r="AO27" s="40"/>
      <c r="AP27" s="40"/>
      <c r="AQ27" s="40"/>
      <c r="AR27" s="40">
        <f t="shared" si="28"/>
        <v>0</v>
      </c>
      <c r="AS27" s="40"/>
      <c r="AT27" s="40"/>
      <c r="AU27" s="40"/>
      <c r="AV27" s="40"/>
      <c r="AW27" s="40"/>
      <c r="AX27" s="40"/>
      <c r="AY27" s="40"/>
      <c r="AZ27" s="40"/>
      <c r="BA27" s="40">
        <f t="shared" si="29"/>
        <v>0</v>
      </c>
      <c r="BB27" s="36"/>
      <c r="BC27" s="506"/>
      <c r="BD27" s="506"/>
      <c r="BE27" s="36"/>
      <c r="BF27" s="506"/>
    </row>
    <row r="28" spans="1:58" ht="12.95" customHeight="1">
      <c r="A28" s="43"/>
      <c r="B28" s="44"/>
      <c r="C28" s="447"/>
      <c r="D28" s="44"/>
      <c r="E28" s="45"/>
      <c r="F28" s="45"/>
      <c r="G28" s="606"/>
      <c r="H28" s="602"/>
      <c r="I28" s="48"/>
      <c r="J28" s="85"/>
      <c r="K28" s="85"/>
      <c r="L28" s="603"/>
      <c r="M28" s="38"/>
      <c r="N28" s="49"/>
      <c r="O28" s="50"/>
      <c r="P28" s="51"/>
      <c r="Q28" s="37"/>
      <c r="R28" s="503"/>
      <c r="S28" s="503"/>
      <c r="T28" s="40"/>
      <c r="U28" s="40"/>
      <c r="V28" s="40"/>
      <c r="W28" s="40"/>
      <c r="X28" s="41"/>
      <c r="Y28" s="214"/>
      <c r="Z28" s="40"/>
      <c r="AA28" s="40"/>
      <c r="AB28" s="40"/>
      <c r="AC28" s="40"/>
      <c r="AD28" s="40">
        <f t="shared" si="26"/>
        <v>17</v>
      </c>
      <c r="AE28" s="236" t="s">
        <v>228</v>
      </c>
      <c r="AF28" s="40"/>
      <c r="AG28" s="40"/>
      <c r="AH28" s="40"/>
      <c r="AI28" s="505">
        <v>17</v>
      </c>
      <c r="AJ28" s="40"/>
      <c r="AK28" s="40"/>
      <c r="AL28" s="40"/>
      <c r="AM28" s="40">
        <f t="shared" si="27"/>
        <v>17</v>
      </c>
      <c r="AN28" s="40"/>
      <c r="AO28" s="40"/>
      <c r="AP28" s="40"/>
      <c r="AQ28" s="40"/>
      <c r="AR28" s="40">
        <f t="shared" si="28"/>
        <v>0</v>
      </c>
      <c r="AS28" s="40"/>
      <c r="AT28" s="40"/>
      <c r="AU28" s="40"/>
      <c r="AV28" s="40"/>
      <c r="AW28" s="40"/>
      <c r="AX28" s="40"/>
      <c r="AY28" s="40"/>
      <c r="AZ28" s="40"/>
      <c r="BA28" s="40">
        <f t="shared" si="29"/>
        <v>0</v>
      </c>
      <c r="BB28" s="53"/>
      <c r="BC28" s="54"/>
      <c r="BD28" s="54"/>
      <c r="BE28" s="53"/>
      <c r="BF28" s="54"/>
    </row>
    <row r="29" spans="1:58" ht="12.95" customHeight="1">
      <c r="A29" s="43"/>
      <c r="B29" s="44"/>
      <c r="C29" s="447"/>
      <c r="D29" s="44"/>
      <c r="E29" s="45"/>
      <c r="F29" s="45"/>
      <c r="G29" s="606"/>
      <c r="H29" s="602"/>
      <c r="I29" s="48"/>
      <c r="J29" s="85"/>
      <c r="K29" s="85"/>
      <c r="L29" s="603"/>
      <c r="M29" s="38"/>
      <c r="N29" s="49"/>
      <c r="O29" s="50"/>
      <c r="P29" s="51"/>
      <c r="Q29" s="37"/>
      <c r="R29" s="503"/>
      <c r="S29" s="503"/>
      <c r="T29" s="40"/>
      <c r="U29" s="40"/>
      <c r="V29" s="40"/>
      <c r="W29" s="40"/>
      <c r="X29" s="41"/>
      <c r="Y29" s="214"/>
      <c r="Z29" s="40"/>
      <c r="AA29" s="40"/>
      <c r="AB29" s="40"/>
      <c r="AC29" s="40"/>
      <c r="AD29" s="40">
        <f t="shared" si="26"/>
        <v>20</v>
      </c>
      <c r="AE29" s="236" t="s">
        <v>484</v>
      </c>
      <c r="AF29" s="40"/>
      <c r="AG29" s="40"/>
      <c r="AH29" s="40"/>
      <c r="AI29" s="505"/>
      <c r="AJ29" s="40"/>
      <c r="AK29" s="40">
        <v>20</v>
      </c>
      <c r="AL29" s="40"/>
      <c r="AM29" s="40">
        <f t="shared" ref="AM29" si="30">SUM(AF29:AL29)+AT29</f>
        <v>20</v>
      </c>
      <c r="AN29" s="40"/>
      <c r="AO29" s="40"/>
      <c r="AP29" s="40"/>
      <c r="AQ29" s="40"/>
      <c r="AR29" s="40">
        <f t="shared" si="28"/>
        <v>0</v>
      </c>
      <c r="AS29" s="40"/>
      <c r="AT29" s="40"/>
      <c r="AU29" s="40"/>
      <c r="AV29" s="40"/>
      <c r="AW29" s="40"/>
      <c r="AX29" s="40"/>
      <c r="AY29" s="40"/>
      <c r="AZ29" s="40"/>
      <c r="BA29" s="40">
        <f t="shared" si="29"/>
        <v>0</v>
      </c>
      <c r="BB29" s="53"/>
      <c r="BC29" s="54"/>
      <c r="BD29" s="54"/>
      <c r="BE29" s="53"/>
      <c r="BF29" s="54"/>
    </row>
    <row r="30" spans="1:58" ht="12.95" customHeight="1">
      <c r="A30" s="43"/>
      <c r="B30" s="44"/>
      <c r="C30" s="447"/>
      <c r="D30" s="44"/>
      <c r="E30" s="45"/>
      <c r="F30" s="45"/>
      <c r="G30" s="605"/>
      <c r="H30" s="602"/>
      <c r="I30" s="48"/>
      <c r="J30" s="85"/>
      <c r="K30" s="85"/>
      <c r="L30" s="603"/>
      <c r="M30" s="38"/>
      <c r="N30" s="49"/>
      <c r="O30" s="50"/>
      <c r="P30" s="51"/>
      <c r="Q30" s="50"/>
      <c r="R30" s="503"/>
      <c r="S30" s="503"/>
      <c r="T30" s="40"/>
      <c r="U30" s="40"/>
      <c r="V30" s="40"/>
      <c r="W30" s="40"/>
      <c r="X30" s="504"/>
      <c r="Y30" s="214"/>
      <c r="Z30" s="40"/>
      <c r="AA30" s="52"/>
      <c r="AB30" s="52"/>
      <c r="AC30" s="40"/>
      <c r="AD30" s="40">
        <f t="shared" si="26"/>
        <v>170</v>
      </c>
      <c r="AE30" s="236" t="s">
        <v>485</v>
      </c>
      <c r="AF30" s="40"/>
      <c r="AG30" s="40"/>
      <c r="AH30" s="40"/>
      <c r="AI30" s="505"/>
      <c r="AJ30" s="40"/>
      <c r="AK30" s="40"/>
      <c r="AL30" s="40"/>
      <c r="AM30" s="40">
        <f t="shared" ref="AM30" si="31">SUM(AF30:AL30)+AT30</f>
        <v>0</v>
      </c>
      <c r="AN30" s="40">
        <v>170</v>
      </c>
      <c r="AO30" s="40"/>
      <c r="AP30" s="40"/>
      <c r="AQ30" s="40"/>
      <c r="AR30" s="40">
        <f t="shared" ref="AR30" si="32">SUM(AN30:AQ30)</f>
        <v>170</v>
      </c>
      <c r="AS30" s="40"/>
      <c r="AT30" s="40"/>
      <c r="AU30" s="40"/>
      <c r="AV30" s="40"/>
      <c r="AW30" s="40"/>
      <c r="AX30" s="40"/>
      <c r="AY30" s="40"/>
      <c r="AZ30" s="40"/>
      <c r="BA30" s="40">
        <f t="shared" si="29"/>
        <v>170</v>
      </c>
      <c r="BB30" s="36"/>
      <c r="BC30" s="54"/>
      <c r="BD30" s="54"/>
      <c r="BE30" s="36"/>
      <c r="BF30" s="54"/>
    </row>
    <row r="31" spans="1:58" ht="12.95" customHeight="1">
      <c r="A31" s="43"/>
      <c r="B31" s="44"/>
      <c r="C31" s="447"/>
      <c r="D31" s="44"/>
      <c r="E31" s="45"/>
      <c r="F31" s="45"/>
      <c r="G31" s="605"/>
      <c r="H31" s="602"/>
      <c r="I31" s="48"/>
      <c r="J31" s="85"/>
      <c r="K31" s="85"/>
      <c r="L31" s="603"/>
      <c r="M31" s="38"/>
      <c r="N31" s="49"/>
      <c r="O31" s="50"/>
      <c r="P31" s="51"/>
      <c r="Q31" s="50"/>
      <c r="R31" s="503"/>
      <c r="S31" s="503"/>
      <c r="T31" s="40"/>
      <c r="U31" s="40"/>
      <c r="V31" s="40"/>
      <c r="W31" s="40"/>
      <c r="X31" s="41"/>
      <c r="Y31" s="214"/>
      <c r="Z31" s="40"/>
      <c r="AA31" s="40"/>
      <c r="AB31" s="40"/>
      <c r="AC31" s="40"/>
      <c r="AD31" s="40"/>
      <c r="AE31" s="233"/>
      <c r="AF31" s="40"/>
      <c r="AG31" s="40"/>
      <c r="AH31" s="40"/>
      <c r="AI31" s="505"/>
      <c r="AJ31" s="40"/>
      <c r="AK31" s="40"/>
      <c r="AL31" s="40"/>
      <c r="AM31" s="40"/>
      <c r="AN31" s="86"/>
      <c r="AO31" s="40"/>
      <c r="AP31" s="40"/>
      <c r="AQ31" s="40"/>
      <c r="AR31" s="40"/>
      <c r="AS31" s="40"/>
      <c r="AT31" s="40"/>
      <c r="AU31" s="40"/>
      <c r="AV31" s="40"/>
      <c r="AW31" s="40"/>
      <c r="AX31" s="40"/>
      <c r="AY31" s="40"/>
      <c r="AZ31" s="40"/>
      <c r="BA31" s="40"/>
      <c r="BB31" s="53"/>
      <c r="BC31" s="54"/>
      <c r="BD31" s="506"/>
      <c r="BE31" s="36"/>
      <c r="BF31" s="506"/>
    </row>
    <row r="32" spans="1:58" ht="12.95" customHeight="1">
      <c r="A32" s="43">
        <v>46086</v>
      </c>
      <c r="B32" s="44" t="s">
        <v>423</v>
      </c>
      <c r="C32" s="447">
        <f>(M32*E32*O32*Q32)/100000000</f>
        <v>36.571406025000002</v>
      </c>
      <c r="D32" s="44" t="s">
        <v>425</v>
      </c>
      <c r="E32" s="45">
        <v>15.5</v>
      </c>
      <c r="F32" s="45">
        <v>1</v>
      </c>
      <c r="G32" s="605">
        <v>1150</v>
      </c>
      <c r="H32" s="602">
        <v>0.22</v>
      </c>
      <c r="I32" s="48">
        <v>0.88</v>
      </c>
      <c r="J32" s="85">
        <f>E32*G32*(1-H32)*1440/1000000*2.75</f>
        <v>55.057859999999998</v>
      </c>
      <c r="K32" s="85">
        <f t="shared" ref="K32" si="33">(IF(G32&lt;L32,L32,G32)*(1-IF(H32&lt;N32,H32,N32))*E32*O32*Q32)/100000000</f>
        <v>42.603313252500001</v>
      </c>
      <c r="L32" s="603">
        <v>1000</v>
      </c>
      <c r="M32" s="38">
        <v>770</v>
      </c>
      <c r="N32" s="49">
        <f>1-(M32/L32)</f>
        <v>0.22999999999999998</v>
      </c>
      <c r="O32" s="50">
        <f>+'Trim Rwd'!H16</f>
        <v>269.5</v>
      </c>
      <c r="P32" s="51">
        <f>O32*(Q32-R32-S32)</f>
        <v>292677</v>
      </c>
      <c r="Q32" s="50">
        <v>1137</v>
      </c>
      <c r="R32" s="503">
        <v>0</v>
      </c>
      <c r="S32" s="503">
        <v>51</v>
      </c>
      <c r="T32" s="40">
        <f>E32*M32*O32*Q32/100000000</f>
        <v>36.571406025000002</v>
      </c>
      <c r="U32" s="40">
        <f>E32*M32*O32*(Q32-R32-S32)/100000000</f>
        <v>34.93099995</v>
      </c>
      <c r="V32" s="40">
        <f>E32*G32*(1-N32)*O32/100*(R32+S32)/1000000</f>
        <v>1.8864669862500001</v>
      </c>
      <c r="W32" s="40">
        <f>+'5'!K8/1000</f>
        <v>38.415999999999997</v>
      </c>
      <c r="X32" s="504">
        <f>SUM(W32:W35)/SUM(K32:K35)</f>
        <v>0.80272800570440517</v>
      </c>
      <c r="Y32" s="214">
        <v>0</v>
      </c>
      <c r="Z32" s="40">
        <v>0</v>
      </c>
      <c r="AA32" s="52">
        <f>SUM(U32:U35)-SUM(W32:W35)-SUM(Z32:Z35)-SUM(Y32:Y35)</f>
        <v>-0.31081684999999482</v>
      </c>
      <c r="AB32" s="52">
        <f>(SUM(K32:K35)-SUM(W32:W35)-SUM(Y32:Y35)-SUM(Z32:Z35)-SUM(AC32:AC35)-SUM(V32:V35))-AA32</f>
        <v>-0.38053063125000186</v>
      </c>
      <c r="AC32" s="40">
        <f>K32-T32</f>
        <v>6.0319072274999996</v>
      </c>
      <c r="AD32" s="40">
        <f>+AM32+BA32</f>
        <v>6</v>
      </c>
      <c r="AE32" s="233" t="s">
        <v>488</v>
      </c>
      <c r="AF32" s="40">
        <v>6</v>
      </c>
      <c r="AG32" s="40"/>
      <c r="AH32" s="40"/>
      <c r="AI32" s="505"/>
      <c r="AJ32" s="40"/>
      <c r="AK32" s="40"/>
      <c r="AL32" s="40"/>
      <c r="AM32" s="40">
        <f>SUM(AF32:AL32)+AT32</f>
        <v>6</v>
      </c>
      <c r="AN32" s="40"/>
      <c r="AO32" s="40"/>
      <c r="AP32" s="40"/>
      <c r="AQ32" s="40"/>
      <c r="AR32" s="40">
        <f>SUM(AN32:AQ32)</f>
        <v>0</v>
      </c>
      <c r="AS32" s="40"/>
      <c r="AT32" s="40"/>
      <c r="AU32" s="40"/>
      <c r="AV32" s="40"/>
      <c r="AW32" s="40"/>
      <c r="AX32" s="40"/>
      <c r="AY32" s="40"/>
      <c r="AZ32" s="40"/>
      <c r="BA32" s="40">
        <f>+AR32+AS32+AU32+AV32+AX32</f>
        <v>0</v>
      </c>
      <c r="BB32" s="36">
        <v>3</v>
      </c>
      <c r="BC32" s="54"/>
      <c r="BD32" s="54"/>
      <c r="BE32" s="36"/>
      <c r="BF32" s="54"/>
    </row>
    <row r="33" spans="1:58" ht="12.95" customHeight="1">
      <c r="A33" s="43"/>
      <c r="B33" s="44" t="s">
        <v>423</v>
      </c>
      <c r="C33" s="447">
        <f>(M33*E33*O33*Q33)/100000000</f>
        <v>8.4884010750000005</v>
      </c>
      <c r="D33" s="44" t="s">
        <v>425</v>
      </c>
      <c r="E33" s="45">
        <v>13.5</v>
      </c>
      <c r="F33" s="45">
        <v>1</v>
      </c>
      <c r="G33" s="605">
        <v>1320</v>
      </c>
      <c r="H33" s="602">
        <v>0.22</v>
      </c>
      <c r="I33" s="48">
        <v>0.88</v>
      </c>
      <c r="J33" s="85">
        <f>E33*G33*(1-H33)*1440/1000000*2.75</f>
        <v>55.042415999999996</v>
      </c>
      <c r="K33" s="85">
        <f t="shared" ref="K33" si="34">(IF(G33&lt;L33,L33,G33)*(1-IF(H33&lt;N33,H33,N33))*E33*O33*Q33)/100000000</f>
        <v>11.350204866000002</v>
      </c>
      <c r="L33" s="603">
        <v>1000</v>
      </c>
      <c r="M33" s="38">
        <v>770</v>
      </c>
      <c r="N33" s="49">
        <f>1-(M33/L33)</f>
        <v>0.22999999999999998</v>
      </c>
      <c r="O33" s="50">
        <f>+'Trim Rwd'!H17</f>
        <v>269.5</v>
      </c>
      <c r="P33" s="51">
        <f>O33*(Q33-R33-S33)</f>
        <v>77616</v>
      </c>
      <c r="Q33" s="50">
        <v>303</v>
      </c>
      <c r="R33" s="503">
        <v>0</v>
      </c>
      <c r="S33" s="503">
        <v>15</v>
      </c>
      <c r="T33" s="40">
        <f>E33*M33*O33*Q33/100000000</f>
        <v>8.4884010750000005</v>
      </c>
      <c r="U33" s="40">
        <f>E33*M33*O33*(Q33-R33-S33)/100000000</f>
        <v>8.0681832</v>
      </c>
      <c r="V33" s="40">
        <f>E33*G33*(1-N33)*O33/100*(R33+S33)/1000000</f>
        <v>0.55468759499999998</v>
      </c>
      <c r="W33" s="40">
        <f>+'5'!K9/1000</f>
        <v>4.8940000000000001</v>
      </c>
      <c r="X33" s="41"/>
      <c r="Y33" s="214"/>
      <c r="Z33" s="40"/>
      <c r="AA33" s="40"/>
      <c r="AB33" s="40"/>
      <c r="AC33" s="40">
        <f>K33-T33</f>
        <v>2.8618037910000016</v>
      </c>
      <c r="AD33" s="40">
        <f t="shared" ref="AD33:AD35" si="35">+AM33+BA33</f>
        <v>14</v>
      </c>
      <c r="AE33" s="233" t="s">
        <v>461</v>
      </c>
      <c r="AF33" s="40"/>
      <c r="AG33" s="40">
        <v>14</v>
      </c>
      <c r="AH33" s="40"/>
      <c r="AI33" s="505"/>
      <c r="AJ33" s="40"/>
      <c r="AK33" s="40"/>
      <c r="AL33" s="40"/>
      <c r="AM33" s="40">
        <f t="shared" ref="AM33:AM35" si="36">SUM(AF33:AL33)+AT33</f>
        <v>14</v>
      </c>
      <c r="AN33" s="86"/>
      <c r="AO33" s="40"/>
      <c r="AP33" s="40"/>
      <c r="AQ33" s="40"/>
      <c r="AR33" s="40">
        <f t="shared" ref="AR33:AR35" si="37">SUM(AN33:AQ33)</f>
        <v>0</v>
      </c>
      <c r="AS33" s="40"/>
      <c r="AT33" s="40"/>
      <c r="AU33" s="40"/>
      <c r="AV33" s="40"/>
      <c r="AW33" s="40"/>
      <c r="AX33" s="40"/>
      <c r="AY33" s="40"/>
      <c r="AZ33" s="40"/>
      <c r="BA33" s="40">
        <f t="shared" ref="BA33:BA35" si="38">+AR33+AS33+AU33+AV33+AX33</f>
        <v>0</v>
      </c>
      <c r="BB33" s="53"/>
      <c r="BC33" s="54">
        <v>13</v>
      </c>
      <c r="BD33" s="54"/>
      <c r="BE33" s="53"/>
      <c r="BF33" s="54"/>
    </row>
    <row r="34" spans="1:58" ht="12.95" customHeight="1">
      <c r="A34" s="43"/>
      <c r="B34" s="44"/>
      <c r="C34" s="447"/>
      <c r="D34" s="44"/>
      <c r="E34" s="45"/>
      <c r="F34" s="45"/>
      <c r="G34" s="606"/>
      <c r="H34" s="602"/>
      <c r="I34" s="48"/>
      <c r="J34" s="85"/>
      <c r="K34" s="85"/>
      <c r="L34" s="603"/>
      <c r="M34" s="38"/>
      <c r="N34" s="49"/>
      <c r="O34" s="50"/>
      <c r="P34" s="51"/>
      <c r="Q34" s="50"/>
      <c r="R34" s="503"/>
      <c r="S34" s="503"/>
      <c r="T34" s="40"/>
      <c r="U34" s="40"/>
      <c r="V34" s="40"/>
      <c r="W34" s="40"/>
      <c r="X34" s="41"/>
      <c r="Y34" s="214"/>
      <c r="Z34" s="40"/>
      <c r="AA34" s="40"/>
      <c r="AB34" s="40"/>
      <c r="AC34" s="40"/>
      <c r="AD34" s="40">
        <f t="shared" si="35"/>
        <v>14</v>
      </c>
      <c r="AE34" s="233" t="s">
        <v>490</v>
      </c>
      <c r="AF34" s="36"/>
      <c r="AG34" s="36"/>
      <c r="AH34" s="36">
        <v>14</v>
      </c>
      <c r="AJ34" s="40"/>
      <c r="AK34" s="40"/>
      <c r="AL34" s="40"/>
      <c r="AM34" s="40">
        <f t="shared" si="36"/>
        <v>14</v>
      </c>
      <c r="AN34" s="40"/>
      <c r="AO34" s="40"/>
      <c r="AP34" s="40"/>
      <c r="AQ34" s="40"/>
      <c r="AR34" s="40">
        <f t="shared" si="37"/>
        <v>0</v>
      </c>
      <c r="AS34" s="40"/>
      <c r="AT34" s="40"/>
      <c r="AU34" s="40"/>
      <c r="AV34" s="40"/>
      <c r="AW34" s="40"/>
      <c r="AX34" s="40"/>
      <c r="AY34" s="40"/>
      <c r="AZ34" s="40"/>
      <c r="BA34" s="40">
        <f t="shared" si="38"/>
        <v>0</v>
      </c>
      <c r="BB34" s="36"/>
      <c r="BC34" s="506"/>
      <c r="BD34" s="506"/>
      <c r="BE34" s="36"/>
      <c r="BF34" s="506"/>
    </row>
    <row r="35" spans="1:58" ht="12.95" customHeight="1">
      <c r="A35" s="43"/>
      <c r="B35" s="44"/>
      <c r="C35" s="447"/>
      <c r="D35" s="44"/>
      <c r="E35" s="45"/>
      <c r="F35" s="45"/>
      <c r="G35" s="606"/>
      <c r="H35" s="602"/>
      <c r="I35" s="48"/>
      <c r="J35" s="85"/>
      <c r="K35" s="85"/>
      <c r="L35" s="603"/>
      <c r="M35" s="38"/>
      <c r="N35" s="49"/>
      <c r="O35" s="50"/>
      <c r="P35" s="51"/>
      <c r="Q35" s="37"/>
      <c r="R35" s="503"/>
      <c r="S35" s="503"/>
      <c r="T35" s="40"/>
      <c r="U35" s="40"/>
      <c r="V35" s="40"/>
      <c r="W35" s="40"/>
      <c r="X35" s="41"/>
      <c r="Y35" s="214"/>
      <c r="Z35" s="40"/>
      <c r="AA35" s="40"/>
      <c r="AB35" s="40"/>
      <c r="AC35" s="40"/>
      <c r="AD35" s="40">
        <f t="shared" si="35"/>
        <v>17</v>
      </c>
      <c r="AE35" s="236" t="s">
        <v>228</v>
      </c>
      <c r="AF35" s="40"/>
      <c r="AG35" s="40"/>
      <c r="AH35" s="40"/>
      <c r="AI35" s="505">
        <v>17</v>
      </c>
      <c r="AJ35" s="40"/>
      <c r="AK35" s="40"/>
      <c r="AL35" s="40"/>
      <c r="AM35" s="40">
        <f t="shared" si="36"/>
        <v>17</v>
      </c>
      <c r="AN35" s="40"/>
      <c r="AO35" s="40"/>
      <c r="AP35" s="40"/>
      <c r="AQ35" s="40"/>
      <c r="AR35" s="40">
        <f t="shared" si="37"/>
        <v>0</v>
      </c>
      <c r="AS35" s="40"/>
      <c r="AT35" s="40"/>
      <c r="AU35" s="40"/>
      <c r="AV35" s="40"/>
      <c r="AW35" s="40"/>
      <c r="AX35" s="40"/>
      <c r="AY35" s="40"/>
      <c r="AZ35" s="40"/>
      <c r="BA35" s="40">
        <f t="shared" si="38"/>
        <v>0</v>
      </c>
      <c r="BB35" s="53"/>
      <c r="BC35" s="54"/>
      <c r="BD35" s="54"/>
      <c r="BE35" s="53"/>
      <c r="BF35" s="54"/>
    </row>
    <row r="36" spans="1:58" ht="12.95" customHeight="1">
      <c r="A36" s="43"/>
      <c r="B36" s="44"/>
      <c r="C36" s="447"/>
      <c r="D36" s="44"/>
      <c r="E36" s="45"/>
      <c r="F36" s="45"/>
      <c r="G36" s="606"/>
      <c r="H36" s="47"/>
      <c r="I36" s="48"/>
      <c r="J36" s="85"/>
      <c r="K36" s="85"/>
      <c r="L36" s="603"/>
      <c r="M36" s="38"/>
      <c r="N36" s="49"/>
      <c r="O36" s="50"/>
      <c r="P36" s="51"/>
      <c r="Q36" s="37"/>
      <c r="R36" s="503"/>
      <c r="S36" s="503"/>
      <c r="T36" s="40"/>
      <c r="U36" s="40"/>
      <c r="V36" s="40"/>
      <c r="W36" s="40"/>
      <c r="X36" s="41"/>
      <c r="Y36" s="214"/>
      <c r="Z36" s="40"/>
      <c r="AA36" s="40"/>
      <c r="AB36" s="40"/>
      <c r="AC36" s="40"/>
      <c r="AD36" s="40">
        <f t="shared" ref="AD36" si="39">+AM36+BA36</f>
        <v>15</v>
      </c>
      <c r="AE36" s="236" t="s">
        <v>499</v>
      </c>
      <c r="AF36" s="40"/>
      <c r="AG36" s="40"/>
      <c r="AH36" s="40"/>
      <c r="AI36" s="505"/>
      <c r="AJ36" s="40"/>
      <c r="AK36" s="40">
        <v>15</v>
      </c>
      <c r="AL36" s="40"/>
      <c r="AM36" s="40">
        <f t="shared" ref="AM36" si="40">SUM(AF36:AL36)+AT36</f>
        <v>15</v>
      </c>
      <c r="AN36" s="40"/>
      <c r="AO36" s="40"/>
      <c r="AP36" s="40"/>
      <c r="AQ36" s="40"/>
      <c r="AR36" s="40">
        <f t="shared" ref="AR36" si="41">SUM(AN36:AQ36)</f>
        <v>0</v>
      </c>
      <c r="AS36" s="40"/>
      <c r="AT36" s="40"/>
      <c r="AU36" s="40"/>
      <c r="AV36" s="40"/>
      <c r="AW36" s="40"/>
      <c r="AX36" s="40"/>
      <c r="AY36" s="40"/>
      <c r="AZ36" s="40"/>
      <c r="BA36" s="40">
        <f t="shared" ref="BA36" si="42">+AR36+AS36+AU36+AV36+AX36</f>
        <v>0</v>
      </c>
      <c r="BB36" s="53"/>
      <c r="BC36" s="54"/>
      <c r="BD36" s="54"/>
      <c r="BE36" s="53"/>
      <c r="BF36" s="54"/>
    </row>
    <row r="37" spans="1:58" ht="12.95" customHeight="1">
      <c r="A37" s="43"/>
      <c r="B37" s="44"/>
      <c r="C37" s="447"/>
      <c r="D37" s="44"/>
      <c r="E37" s="45"/>
      <c r="F37" s="45"/>
      <c r="G37" s="502"/>
      <c r="H37" s="47"/>
      <c r="I37" s="48"/>
      <c r="J37" s="85"/>
      <c r="K37" s="85"/>
      <c r="L37" s="603"/>
      <c r="M37" s="38"/>
      <c r="N37" s="49"/>
      <c r="O37" s="50"/>
      <c r="P37" s="51"/>
      <c r="Q37" s="50"/>
      <c r="R37" s="503"/>
      <c r="S37" s="503"/>
      <c r="T37" s="40"/>
      <c r="U37" s="40"/>
      <c r="V37" s="40"/>
      <c r="W37" s="40"/>
      <c r="X37" s="41"/>
      <c r="Y37" s="214"/>
      <c r="Z37" s="40"/>
      <c r="AA37" s="40"/>
      <c r="AB37" s="40"/>
      <c r="AC37" s="40"/>
      <c r="AD37" s="40"/>
      <c r="AE37" s="233"/>
      <c r="AF37" s="40"/>
      <c r="AG37" s="40"/>
      <c r="AH37" s="40"/>
      <c r="AI37" s="505"/>
      <c r="AJ37" s="40"/>
      <c r="AK37" s="40"/>
      <c r="AL37" s="40"/>
      <c r="AM37" s="40"/>
      <c r="AN37" s="86"/>
      <c r="AO37" s="40"/>
      <c r="AP37" s="40"/>
      <c r="AQ37" s="40"/>
      <c r="AR37" s="40"/>
      <c r="AS37" s="40"/>
      <c r="AT37" s="40"/>
      <c r="AU37" s="40"/>
      <c r="AV37" s="40"/>
      <c r="AW37" s="40"/>
      <c r="AX37" s="40"/>
      <c r="AY37" s="40"/>
      <c r="AZ37" s="40"/>
      <c r="BA37" s="40"/>
      <c r="BB37" s="53"/>
      <c r="BC37" s="54"/>
      <c r="BD37" s="54"/>
      <c r="BE37" s="54"/>
      <c r="BF37" s="54"/>
    </row>
    <row r="38" spans="1:58" ht="12.95" customHeight="1">
      <c r="A38" s="43">
        <v>46087</v>
      </c>
      <c r="B38" s="44" t="s">
        <v>423</v>
      </c>
      <c r="C38" s="447">
        <f>(M38*E38*O38*Q38)/100000000</f>
        <v>23.78788711875</v>
      </c>
      <c r="D38" s="44" t="s">
        <v>425</v>
      </c>
      <c r="E38" s="45">
        <v>13.5</v>
      </c>
      <c r="F38" s="45">
        <v>1</v>
      </c>
      <c r="G38" s="502">
        <v>1255</v>
      </c>
      <c r="H38" s="47">
        <f>+N38</f>
        <v>0.18000000000000005</v>
      </c>
      <c r="I38" s="48">
        <v>0.88</v>
      </c>
      <c r="J38" s="85">
        <f>E38*G38*(1-H38)*1440/1000000*2.75</f>
        <v>55.015685999999995</v>
      </c>
      <c r="K38" s="85">
        <f t="shared" ref="K38" si="43">(IF(G38&lt;L38,L38,G38)*(1-IF(H38&lt;N38,H38,N38))*E38*O38*Q38)/100000000</f>
        <v>29.853798334031243</v>
      </c>
      <c r="L38" s="603">
        <v>1000</v>
      </c>
      <c r="M38" s="38">
        <v>820</v>
      </c>
      <c r="N38" s="49">
        <f>1-(M38/L38)</f>
        <v>0.18000000000000005</v>
      </c>
      <c r="O38" s="50">
        <f>+'Trim Rwd'!H19</f>
        <v>264.3125</v>
      </c>
      <c r="P38" s="51">
        <f>O38*(Q38-R38-S38)</f>
        <v>209071.1875</v>
      </c>
      <c r="Q38" s="50">
        <v>813</v>
      </c>
      <c r="R38" s="503">
        <v>0</v>
      </c>
      <c r="S38" s="503">
        <v>22</v>
      </c>
      <c r="T38" s="40">
        <f>E38*M38*O38*Q38/100000000</f>
        <v>23.78788711875</v>
      </c>
      <c r="U38" s="40">
        <f>E38*M38*O38*(Q38-R38-S38)/100000000</f>
        <v>23.144180456250002</v>
      </c>
      <c r="V38" s="40">
        <f>E38*G38*(1-N38)*O38/100*(R38+S38)/1000000</f>
        <v>0.80785186143749987</v>
      </c>
      <c r="W38" s="40">
        <f>+'6'!K9/1000</f>
        <v>26.603000000000002</v>
      </c>
      <c r="X38" s="504">
        <f>SUM(W38:W41)/SUM(K38:K41)</f>
        <v>0.49338247867454166</v>
      </c>
      <c r="Y38" s="214">
        <v>0</v>
      </c>
      <c r="Z38" s="40">
        <v>0</v>
      </c>
      <c r="AA38" s="52">
        <f>SUM(U38:U41)-SUM(W38:W41)-SUM(Z38:Z41)-SUM(Y38:Y41)</f>
        <v>-1.0456395437499992</v>
      </c>
      <c r="AB38" s="52">
        <f>(SUM(K38:K41)-SUM(W38:W41)-SUM(Y38:Y41)-SUM(Z38:Z41)-SUM(AC38:AC41)-SUM(V38:V41))-AA38</f>
        <v>-4.6234846989374994</v>
      </c>
      <c r="AC38" s="40">
        <f>K38-T38</f>
        <v>6.0659112152812433</v>
      </c>
      <c r="AD38" s="40">
        <f>+AM38+BA38</f>
        <v>2</v>
      </c>
      <c r="AE38" s="233" t="s">
        <v>453</v>
      </c>
      <c r="AF38" s="40">
        <v>2</v>
      </c>
      <c r="AG38" s="40"/>
      <c r="AH38" s="40"/>
      <c r="AI38" s="505"/>
      <c r="AJ38" s="40"/>
      <c r="AK38" s="40"/>
      <c r="AL38" s="40"/>
      <c r="AM38" s="40">
        <f>SUM(AF38:AL38)+AT38</f>
        <v>2</v>
      </c>
      <c r="AN38" s="40"/>
      <c r="AO38" s="40"/>
      <c r="AP38" s="40"/>
      <c r="AQ38" s="40"/>
      <c r="AR38" s="40">
        <f>SUM(AN38:AQ38)</f>
        <v>0</v>
      </c>
      <c r="AS38" s="40"/>
      <c r="AT38" s="40"/>
      <c r="AU38" s="40"/>
      <c r="AV38" s="40"/>
      <c r="AW38" s="40"/>
      <c r="AX38" s="40"/>
      <c r="AY38" s="40"/>
      <c r="AZ38" s="40"/>
      <c r="BA38" s="40">
        <f>+AR38+AS38+AU38+AV38+AX38</f>
        <v>0</v>
      </c>
      <c r="BB38" s="36">
        <v>1</v>
      </c>
      <c r="BC38" s="54"/>
      <c r="BD38" s="54">
        <v>1</v>
      </c>
      <c r="BE38" s="36"/>
      <c r="BF38" s="54"/>
    </row>
    <row r="39" spans="1:58" ht="12.95" customHeight="1">
      <c r="A39" s="43"/>
      <c r="B39" s="44" t="s">
        <v>423</v>
      </c>
      <c r="C39" s="447">
        <f>(M39*E39*O39*Q39)/100000000</f>
        <v>0.44197999999999998</v>
      </c>
      <c r="D39" s="44" t="s">
        <v>425</v>
      </c>
      <c r="E39" s="45">
        <v>20</v>
      </c>
      <c r="F39" s="45">
        <v>1</v>
      </c>
      <c r="G39" s="502">
        <v>850</v>
      </c>
      <c r="H39" s="47">
        <f>+N39</f>
        <v>0.18000000000000005</v>
      </c>
      <c r="I39" s="48">
        <v>0.88</v>
      </c>
      <c r="J39" s="85">
        <f>E39*G39*(1-H39)*1440/1000000*2.75</f>
        <v>55.202399999999997</v>
      </c>
      <c r="K39" s="85">
        <f t="shared" ref="K39" si="44">(IF(G39&lt;L39,L39,G39)*(1-IF(H39&lt;N39,H39,N39))*E39*O39*Q39)/100000000</f>
        <v>0.44197999999999998</v>
      </c>
      <c r="L39" s="603">
        <v>1000</v>
      </c>
      <c r="M39" s="38">
        <v>820</v>
      </c>
      <c r="N39" s="49">
        <f>1-(M39/L39)</f>
        <v>0.18000000000000005</v>
      </c>
      <c r="O39" s="50">
        <f>+'Trim Rwd'!H21</f>
        <v>269.5</v>
      </c>
      <c r="P39" s="51">
        <f>O39*(Q39-R39-S39)</f>
        <v>1347.5</v>
      </c>
      <c r="Q39" s="50">
        <v>10</v>
      </c>
      <c r="R39" s="503">
        <v>0</v>
      </c>
      <c r="S39" s="503">
        <v>5</v>
      </c>
      <c r="T39" s="40">
        <f>E39*M39*O39*Q39/100000000</f>
        <v>0.44197999999999998</v>
      </c>
      <c r="U39" s="40">
        <f>E39*M39*O39*(Q39-R39-S39)/100000000</f>
        <v>0.22098999999999999</v>
      </c>
      <c r="V39" s="40">
        <f>E39*G39*(1-N39)*O39/100*(R39+S39)/1000000</f>
        <v>0.18784149999999999</v>
      </c>
      <c r="W39" s="40">
        <f>+'5'!K15/1000</f>
        <v>0</v>
      </c>
      <c r="X39" s="41"/>
      <c r="Y39" s="214"/>
      <c r="Z39" s="40"/>
      <c r="AA39" s="40"/>
      <c r="AB39" s="40"/>
      <c r="AC39" s="40">
        <f>K39-T39</f>
        <v>0</v>
      </c>
      <c r="AD39" s="40">
        <f t="shared" ref="AD39:AD42" si="45">+AM39+BA39</f>
        <v>13</v>
      </c>
      <c r="AE39" s="233" t="s">
        <v>510</v>
      </c>
      <c r="AF39" s="40"/>
      <c r="AG39" s="40">
        <v>13</v>
      </c>
      <c r="AH39" s="40"/>
      <c r="AI39" s="505"/>
      <c r="AJ39" s="40"/>
      <c r="AK39" s="40"/>
      <c r="AL39" s="40"/>
      <c r="AM39" s="40">
        <f t="shared" ref="AM39:AM41" si="46">SUM(AF39:AL39)+AT39</f>
        <v>13</v>
      </c>
      <c r="AN39" s="86"/>
      <c r="AO39" s="40"/>
      <c r="AP39" s="40"/>
      <c r="AQ39" s="40"/>
      <c r="AR39" s="40">
        <f t="shared" ref="AR39:AR42" si="47">SUM(AN39:AQ39)</f>
        <v>0</v>
      </c>
      <c r="AS39" s="40"/>
      <c r="AT39" s="40"/>
      <c r="AU39" s="40"/>
      <c r="AV39" s="40"/>
      <c r="AW39" s="40"/>
      <c r="AX39" s="40"/>
      <c r="AY39" s="40"/>
      <c r="AZ39" s="40"/>
      <c r="BA39" s="40">
        <f t="shared" ref="BA39:BA41" si="48">+AR39+AS39+AU39+AV39+AX39</f>
        <v>0</v>
      </c>
      <c r="BB39" s="53"/>
      <c r="BC39" s="54">
        <v>9</v>
      </c>
      <c r="BD39" s="54"/>
      <c r="BE39" s="53"/>
      <c r="BF39" s="54"/>
    </row>
    <row r="40" spans="1:58" ht="12.95" customHeight="1">
      <c r="A40" s="43"/>
      <c r="B40" s="44" t="s">
        <v>423</v>
      </c>
      <c r="C40" s="447">
        <f>(M40*E40*O40*Q40)/100000000</f>
        <v>18.528510000000001</v>
      </c>
      <c r="D40" s="44" t="s">
        <v>425</v>
      </c>
      <c r="E40" s="45">
        <v>14</v>
      </c>
      <c r="F40" s="45">
        <v>1</v>
      </c>
      <c r="G40" s="502">
        <v>1275</v>
      </c>
      <c r="H40" s="47">
        <f>+N40</f>
        <v>0.21999999999999997</v>
      </c>
      <c r="I40" s="48">
        <v>0.88</v>
      </c>
      <c r="J40" s="85">
        <f>E40*G40*(1-H40)*1440/1000000*2.75</f>
        <v>55.135079999999995</v>
      </c>
      <c r="K40" s="85">
        <f t="shared" ref="K40" si="49">(IF(G40&lt;L40,L40,G40)*(1-IF(H40&lt;N40,H40,N40))*E40*O40*Q40)/100000000</f>
        <v>23.62385025</v>
      </c>
      <c r="L40" s="603">
        <v>1000</v>
      </c>
      <c r="M40" s="38">
        <v>780</v>
      </c>
      <c r="N40" s="49">
        <f>1-(M40/L40)</f>
        <v>0.21999999999999997</v>
      </c>
      <c r="O40" s="50">
        <f>+'Trim Rwd'!H22</f>
        <v>275</v>
      </c>
      <c r="P40" s="51">
        <f>O40*(Q40-R40-S40)</f>
        <v>20075</v>
      </c>
      <c r="Q40" s="50">
        <f>78+539</f>
        <v>617</v>
      </c>
      <c r="R40" s="503">
        <v>539</v>
      </c>
      <c r="S40" s="503">
        <v>5</v>
      </c>
      <c r="T40" s="40">
        <f>E40*M40*O40*Q40/100000000</f>
        <v>18.528510000000001</v>
      </c>
      <c r="U40" s="40">
        <f>E40*M40*O40*(Q40-R40-S40)/100000000</f>
        <v>2.1921900000000001</v>
      </c>
      <c r="V40" s="40">
        <f>E40*G40*(1-N40)*O40/100*(R40+S40)/1000000</f>
        <v>20.828807999999999</v>
      </c>
      <c r="W40" s="40">
        <f>+'5'!K16/1000</f>
        <v>0</v>
      </c>
      <c r="X40" s="41"/>
      <c r="Y40" s="214"/>
      <c r="Z40" s="40"/>
      <c r="AA40" s="40"/>
      <c r="AB40" s="40"/>
      <c r="AC40" s="40">
        <f>K40-T40</f>
        <v>5.0953402499999996</v>
      </c>
      <c r="AD40" s="40">
        <f t="shared" si="45"/>
        <v>8</v>
      </c>
      <c r="AE40" s="233" t="s">
        <v>511</v>
      </c>
      <c r="AF40" s="36"/>
      <c r="AG40" s="36"/>
      <c r="AH40" s="36">
        <v>8</v>
      </c>
      <c r="AJ40" s="40"/>
      <c r="AK40" s="40"/>
      <c r="AL40" s="40"/>
      <c r="AM40" s="40">
        <f t="shared" si="46"/>
        <v>8</v>
      </c>
      <c r="AN40" s="40"/>
      <c r="AO40" s="40"/>
      <c r="AP40" s="40"/>
      <c r="AQ40" s="40"/>
      <c r="AR40" s="40">
        <f t="shared" si="47"/>
        <v>0</v>
      </c>
      <c r="AS40" s="40"/>
      <c r="AT40" s="40"/>
      <c r="AU40" s="40"/>
      <c r="AV40" s="40"/>
      <c r="AW40" s="40"/>
      <c r="AX40" s="40"/>
      <c r="AY40" s="40"/>
      <c r="AZ40" s="40"/>
      <c r="BA40" s="40">
        <f t="shared" si="48"/>
        <v>0</v>
      </c>
      <c r="BB40" s="36"/>
      <c r="BC40" s="506"/>
      <c r="BD40" s="506"/>
      <c r="BE40" s="36"/>
      <c r="BF40" s="506"/>
    </row>
    <row r="41" spans="1:58" ht="12.95" customHeight="1">
      <c r="A41" s="43"/>
      <c r="B41" s="44"/>
      <c r="C41" s="447"/>
      <c r="D41" s="44"/>
      <c r="E41" s="45"/>
      <c r="F41" s="45"/>
      <c r="G41" s="46"/>
      <c r="H41" s="47"/>
      <c r="I41" s="48"/>
      <c r="J41" s="85"/>
      <c r="K41" s="85"/>
      <c r="L41" s="603"/>
      <c r="M41" s="38"/>
      <c r="N41" s="49"/>
      <c r="O41" s="50"/>
      <c r="P41" s="51"/>
      <c r="Q41" s="37"/>
      <c r="R41" s="503"/>
      <c r="S41" s="503"/>
      <c r="T41" s="40"/>
      <c r="U41" s="40"/>
      <c r="V41" s="40"/>
      <c r="W41" s="40"/>
      <c r="X41" s="41"/>
      <c r="Y41" s="214"/>
      <c r="Z41" s="40"/>
      <c r="AA41" s="40"/>
      <c r="AB41" s="40"/>
      <c r="AC41" s="40"/>
      <c r="AD41" s="40">
        <f t="shared" si="45"/>
        <v>9</v>
      </c>
      <c r="AE41" s="236" t="s">
        <v>228</v>
      </c>
      <c r="AF41" s="40"/>
      <c r="AG41" s="40"/>
      <c r="AH41" s="40"/>
      <c r="AI41" s="505">
        <v>9</v>
      </c>
      <c r="AJ41" s="40"/>
      <c r="AK41" s="40"/>
      <c r="AL41" s="40"/>
      <c r="AM41" s="40">
        <f t="shared" si="46"/>
        <v>9</v>
      </c>
      <c r="AN41" s="40"/>
      <c r="AO41" s="40"/>
      <c r="AP41" s="40"/>
      <c r="AQ41" s="40"/>
      <c r="AR41" s="40">
        <f t="shared" si="47"/>
        <v>0</v>
      </c>
      <c r="AS41" s="40"/>
      <c r="AT41" s="40"/>
      <c r="AU41" s="40"/>
      <c r="AV41" s="40"/>
      <c r="AW41" s="40"/>
      <c r="AX41" s="40"/>
      <c r="AY41" s="40"/>
      <c r="AZ41" s="40"/>
      <c r="BA41" s="40">
        <f t="shared" si="48"/>
        <v>0</v>
      </c>
      <c r="BB41" s="53"/>
      <c r="BC41" s="54"/>
      <c r="BD41" s="54"/>
      <c r="BE41" s="53"/>
      <c r="BF41" s="54"/>
    </row>
    <row r="42" spans="1:58" ht="12.95" customHeight="1">
      <c r="A42" s="43"/>
      <c r="B42" s="44"/>
      <c r="C42" s="447"/>
      <c r="D42" s="44"/>
      <c r="E42" s="45"/>
      <c r="F42" s="45"/>
      <c r="G42" s="46"/>
      <c r="H42" s="47"/>
      <c r="I42" s="48"/>
      <c r="J42" s="85"/>
      <c r="K42" s="85"/>
      <c r="L42" s="603"/>
      <c r="M42" s="38"/>
      <c r="N42" s="49"/>
      <c r="O42" s="50"/>
      <c r="P42" s="51"/>
      <c r="Q42" s="37"/>
      <c r="R42" s="503"/>
      <c r="S42" s="503"/>
      <c r="T42" s="40"/>
      <c r="U42" s="40"/>
      <c r="V42" s="40"/>
      <c r="W42" s="40"/>
      <c r="X42" s="41"/>
      <c r="Y42" s="214"/>
      <c r="Z42" s="40"/>
      <c r="AA42" s="40"/>
      <c r="AB42" s="40"/>
      <c r="AC42" s="40"/>
      <c r="AD42" s="40">
        <f t="shared" si="45"/>
        <v>539</v>
      </c>
      <c r="AE42" s="236" t="s">
        <v>512</v>
      </c>
      <c r="AF42" s="40"/>
      <c r="AG42" s="40"/>
      <c r="AH42" s="40"/>
      <c r="AI42" s="505"/>
      <c r="AJ42" s="40"/>
      <c r="AK42" s="40"/>
      <c r="AL42" s="40"/>
      <c r="AM42" s="40">
        <f t="shared" ref="AM42" si="50">SUM(AF42:AL42)+AT42</f>
        <v>0</v>
      </c>
      <c r="AN42" s="40"/>
      <c r="AO42" s="40"/>
      <c r="AP42" s="40"/>
      <c r="AQ42" s="40"/>
      <c r="AR42" s="40">
        <f t="shared" si="47"/>
        <v>0</v>
      </c>
      <c r="AS42" s="40"/>
      <c r="AT42" s="40"/>
      <c r="AU42" s="40"/>
      <c r="AV42" s="40"/>
      <c r="AW42" s="40">
        <v>539</v>
      </c>
      <c r="AX42" s="40"/>
      <c r="AY42" s="40"/>
      <c r="AZ42" s="40"/>
      <c r="BA42" s="40">
        <f>+AR42+AS42+AU42+AW42</f>
        <v>539</v>
      </c>
      <c r="BB42" s="53"/>
      <c r="BC42" s="54"/>
      <c r="BD42" s="54"/>
      <c r="BE42" s="53"/>
      <c r="BF42" s="54"/>
    </row>
    <row r="43" spans="1:58" ht="12.95" customHeight="1">
      <c r="A43" s="43"/>
      <c r="B43" s="44"/>
      <c r="C43" s="447"/>
      <c r="D43" s="44"/>
      <c r="E43" s="45"/>
      <c r="F43" s="45"/>
      <c r="G43" s="46"/>
      <c r="H43" s="47"/>
      <c r="I43" s="48"/>
      <c r="J43" s="85"/>
      <c r="K43" s="85"/>
      <c r="L43" s="603"/>
      <c r="M43" s="38"/>
      <c r="N43" s="49"/>
      <c r="O43" s="50"/>
      <c r="P43" s="51"/>
      <c r="Q43" s="50"/>
      <c r="R43" s="503"/>
      <c r="S43" s="503"/>
      <c r="T43" s="40"/>
      <c r="U43" s="40"/>
      <c r="V43" s="40"/>
      <c r="W43" s="40"/>
      <c r="X43" s="41"/>
      <c r="Y43" s="214"/>
      <c r="Z43" s="40"/>
      <c r="AA43" s="40"/>
      <c r="AB43" s="40"/>
      <c r="AC43" s="40"/>
      <c r="AD43" s="40"/>
      <c r="AE43" s="233"/>
      <c r="AF43" s="36"/>
      <c r="AG43" s="36"/>
      <c r="AH43" s="36"/>
      <c r="AJ43" s="40"/>
      <c r="AK43" s="40"/>
      <c r="AL43" s="40"/>
      <c r="AM43" s="40"/>
      <c r="AN43" s="40"/>
      <c r="AO43" s="40"/>
      <c r="AP43" s="40"/>
      <c r="AQ43" s="40"/>
      <c r="AR43" s="40"/>
      <c r="AS43" s="40"/>
      <c r="AT43" s="40"/>
      <c r="AU43" s="40"/>
      <c r="AV43" s="40"/>
      <c r="AW43" s="40"/>
      <c r="AX43" s="40"/>
      <c r="AY43" s="40"/>
      <c r="AZ43" s="40"/>
      <c r="BA43" s="40"/>
      <c r="BB43" s="36"/>
      <c r="BC43" s="506"/>
      <c r="BD43" s="54"/>
      <c r="BE43" s="54"/>
      <c r="BF43" s="54"/>
    </row>
    <row r="44" spans="1:58" ht="12.95" customHeight="1">
      <c r="A44" s="43">
        <v>46088</v>
      </c>
      <c r="B44" s="44" t="s">
        <v>423</v>
      </c>
      <c r="C44" s="447">
        <f>(M44*E44*O44*Q44)/100000000</f>
        <v>51.3522009</v>
      </c>
      <c r="D44" s="44" t="s">
        <v>425</v>
      </c>
      <c r="E44" s="45">
        <v>20</v>
      </c>
      <c r="F44" s="45">
        <v>1</v>
      </c>
      <c r="G44" s="502">
        <v>895</v>
      </c>
      <c r="H44" s="47">
        <f>+N44</f>
        <v>0.21999999999999997</v>
      </c>
      <c r="I44" s="48">
        <v>0.88</v>
      </c>
      <c r="J44" s="85">
        <f>E44*G44*(1-H44)*1440/1000000*2.75</f>
        <v>55.289520000000003</v>
      </c>
      <c r="K44" s="85">
        <f t="shared" ref="K44" si="51">(IF(G44&lt;L44,L44,G44)*(1-IF(H44&lt;N44,H44,N44))*E44*O44*Q44)/100000000</f>
        <v>54.070846830000001</v>
      </c>
      <c r="L44" s="603">
        <v>850</v>
      </c>
      <c r="M44" s="38">
        <v>663</v>
      </c>
      <c r="N44" s="49">
        <f>1-(M44/L44)</f>
        <v>0.21999999999999997</v>
      </c>
      <c r="O44" s="50">
        <f>+'Trim Rwd'!H24</f>
        <v>269.5</v>
      </c>
      <c r="P44" s="51">
        <f>O44*(Q44-R44-S44)</f>
        <v>275429</v>
      </c>
      <c r="Q44" s="50">
        <f>1052+385</f>
        <v>1437</v>
      </c>
      <c r="R44" s="503">
        <v>385</v>
      </c>
      <c r="S44" s="503">
        <v>30</v>
      </c>
      <c r="T44" s="40">
        <f>E44*M44*O44*Q44/100000000</f>
        <v>51.3522009</v>
      </c>
      <c r="U44" s="40">
        <f>E44*M44*O44*(Q44-R44-S44)/100000000</f>
        <v>36.521885400000002</v>
      </c>
      <c r="V44" s="40">
        <f>E44*G44*(1-N44)*O44/100*(R44+S44)/1000000</f>
        <v>15.615449849999997</v>
      </c>
      <c r="W44" s="40">
        <f>+'7'!K10/1000</f>
        <v>31.99</v>
      </c>
      <c r="X44" s="504">
        <f>SUM(W44:W47)/SUM(K44:K47)</f>
        <v>0.59045441546237065</v>
      </c>
      <c r="Y44" s="214">
        <v>0</v>
      </c>
      <c r="Z44" s="40">
        <v>0</v>
      </c>
      <c r="AA44" s="52">
        <f>SUM(U44:U47)-SUM(W44:W47)-SUM(Z44:Z47)-SUM(Y44:Y47)</f>
        <v>4.5028062200000072</v>
      </c>
      <c r="AB44" s="52">
        <f>(SUM(K44:K47)-SUM(W44:W47)-SUM(Y44:Y47)-SUM(Z44:Z47)-SUM(AC44:AC47)-SUM(V44:V47))-AA44</f>
        <v>-0.81250299000000581</v>
      </c>
      <c r="AC44" s="40">
        <f>K44-T44</f>
        <v>2.718645930000001</v>
      </c>
      <c r="AD44" s="40">
        <f>+AM44+BA44</f>
        <v>0</v>
      </c>
      <c r="AE44" s="233" t="s">
        <v>391</v>
      </c>
      <c r="AF44" s="40">
        <v>0</v>
      </c>
      <c r="AG44" s="40"/>
      <c r="AH44" s="40"/>
      <c r="AI44" s="505"/>
      <c r="AJ44" s="40"/>
      <c r="AK44" s="40"/>
      <c r="AL44" s="40"/>
      <c r="AM44" s="40">
        <f>SUM(AF44:AL44)+AT44</f>
        <v>0</v>
      </c>
      <c r="AN44" s="40"/>
      <c r="AO44" s="40"/>
      <c r="AP44" s="40"/>
      <c r="AQ44" s="40"/>
      <c r="AR44" s="40">
        <f>SUM(AN44:AQ44)</f>
        <v>0</v>
      </c>
      <c r="AS44" s="40"/>
      <c r="AT44" s="40"/>
      <c r="AU44" s="40"/>
      <c r="AV44" s="40"/>
      <c r="AW44" s="40"/>
      <c r="AX44" s="40"/>
      <c r="AY44" s="40"/>
      <c r="AZ44" s="40"/>
      <c r="BA44" s="40">
        <f>+AR44+AS44+AU44+AV44+AX44</f>
        <v>0</v>
      </c>
      <c r="BB44" s="36">
        <v>0</v>
      </c>
      <c r="BC44" s="54"/>
      <c r="BD44" s="54">
        <v>1</v>
      </c>
      <c r="BE44" s="36"/>
      <c r="BF44" s="54"/>
    </row>
    <row r="45" spans="1:58" ht="12.95" customHeight="1">
      <c r="A45" s="43"/>
      <c r="B45" s="44" t="s">
        <v>423</v>
      </c>
      <c r="C45" s="447">
        <f>(M45*E45*O45*Q45)/100000000</f>
        <v>8.7237540000000002E-2</v>
      </c>
      <c r="D45" s="44" t="s">
        <v>425</v>
      </c>
      <c r="E45" s="45">
        <v>17</v>
      </c>
      <c r="F45" s="45">
        <v>1</v>
      </c>
      <c r="G45" s="502">
        <v>1050</v>
      </c>
      <c r="H45" s="47">
        <f>+N45</f>
        <v>0.21999999999999997</v>
      </c>
      <c r="I45" s="48">
        <v>0.88</v>
      </c>
      <c r="J45" s="85">
        <f>E45*G45*(1-H45)*1440/1000000*2.75</f>
        <v>55.135079999999995</v>
      </c>
      <c r="K45" s="85">
        <f t="shared" ref="K45" si="52">(IF(G45&lt;L45,L45,G45)*(1-IF(H45&lt;N45,H45,N45))*E45*O45*Q45)/100000000</f>
        <v>0.10776402</v>
      </c>
      <c r="L45" s="603">
        <v>850</v>
      </c>
      <c r="M45" s="38">
        <v>663</v>
      </c>
      <c r="N45" s="49">
        <f>1-(M45/L45)</f>
        <v>0.21999999999999997</v>
      </c>
      <c r="O45" s="50">
        <f>+'Trim Rwd'!H25</f>
        <v>258</v>
      </c>
      <c r="P45" s="51">
        <f>O45*(Q45-R45-S45)</f>
        <v>-258</v>
      </c>
      <c r="Q45" s="50">
        <v>3</v>
      </c>
      <c r="R45" s="503">
        <v>0</v>
      </c>
      <c r="S45" s="503">
        <v>4</v>
      </c>
      <c r="T45" s="40">
        <f>E45*M45*O45*Q45/100000000</f>
        <v>8.7237540000000002E-2</v>
      </c>
      <c r="U45" s="40">
        <f>E45*M45*O45*(Q45-R45-S45)/100000000</f>
        <v>-2.907918E-2</v>
      </c>
      <c r="V45" s="40">
        <f>E45*G45*(1-N45)*O45/100*(R45+S45)/1000000</f>
        <v>0.14368535999999998</v>
      </c>
      <c r="W45" s="40">
        <f>+'5'!K21/1000</f>
        <v>0</v>
      </c>
      <c r="X45" s="41"/>
      <c r="Y45" s="214"/>
      <c r="Z45" s="40"/>
      <c r="AA45" s="40"/>
      <c r="AB45" s="40"/>
      <c r="AC45" s="40">
        <f>K45-T45</f>
        <v>2.052648E-2</v>
      </c>
      <c r="AD45" s="40">
        <f t="shared" ref="AD45:AD48" si="53">+AM45+BA45</f>
        <v>9</v>
      </c>
      <c r="AE45" s="233" t="s">
        <v>555</v>
      </c>
      <c r="AF45" s="40"/>
      <c r="AG45" s="40">
        <v>9</v>
      </c>
      <c r="AH45" s="40"/>
      <c r="AI45" s="505"/>
      <c r="AJ45" s="40"/>
      <c r="AK45" s="40"/>
      <c r="AL45" s="40"/>
      <c r="AM45" s="40">
        <f t="shared" ref="AM45:AM48" si="54">SUM(AF45:AL45)+AT45</f>
        <v>9</v>
      </c>
      <c r="AN45" s="86"/>
      <c r="AO45" s="40"/>
      <c r="AP45" s="40"/>
      <c r="AQ45" s="40"/>
      <c r="AR45" s="40">
        <f t="shared" ref="AR45:AR48" si="55">SUM(AN45:AQ45)</f>
        <v>0</v>
      </c>
      <c r="AS45" s="40"/>
      <c r="AT45" s="40"/>
      <c r="AU45" s="40"/>
      <c r="AV45" s="40"/>
      <c r="AW45" s="40"/>
      <c r="AX45" s="40"/>
      <c r="AY45" s="40"/>
      <c r="AZ45" s="40"/>
      <c r="BA45" s="40">
        <f t="shared" ref="BA45:BA47" si="56">+AR45+AS45+AU45+AV45+AX45</f>
        <v>0</v>
      </c>
      <c r="BB45" s="53"/>
      <c r="BC45" s="54">
        <v>10</v>
      </c>
      <c r="BD45" s="54"/>
      <c r="BE45" s="53"/>
      <c r="BF45" s="54"/>
    </row>
    <row r="46" spans="1:58" ht="12.95" customHeight="1">
      <c r="A46" s="43"/>
      <c r="B46" s="44"/>
      <c r="C46" s="447"/>
      <c r="D46" s="44"/>
      <c r="E46" s="45"/>
      <c r="F46" s="45"/>
      <c r="G46" s="502"/>
      <c r="H46" s="47"/>
      <c r="I46" s="48"/>
      <c r="J46" s="85"/>
      <c r="K46" s="85"/>
      <c r="L46" s="603"/>
      <c r="M46" s="38"/>
      <c r="N46" s="49"/>
      <c r="O46" s="50"/>
      <c r="P46" s="51"/>
      <c r="Q46" s="50"/>
      <c r="R46" s="503"/>
      <c r="S46" s="503"/>
      <c r="T46" s="40"/>
      <c r="U46" s="40"/>
      <c r="V46" s="40"/>
      <c r="W46" s="40"/>
      <c r="X46" s="41"/>
      <c r="Y46" s="214"/>
      <c r="Z46" s="40"/>
      <c r="AA46" s="40"/>
      <c r="AB46" s="40"/>
      <c r="AC46" s="40"/>
      <c r="AD46" s="40">
        <f t="shared" si="53"/>
        <v>17</v>
      </c>
      <c r="AE46" s="233" t="s">
        <v>556</v>
      </c>
      <c r="AF46" s="36"/>
      <c r="AG46" s="36"/>
      <c r="AH46" s="36">
        <v>17</v>
      </c>
      <c r="AJ46" s="40"/>
      <c r="AK46" s="40"/>
      <c r="AL46" s="40"/>
      <c r="AM46" s="40">
        <f t="shared" si="54"/>
        <v>17</v>
      </c>
      <c r="AN46" s="40"/>
      <c r="AO46" s="40"/>
      <c r="AP46" s="40"/>
      <c r="AQ46" s="40"/>
      <c r="AR46" s="40">
        <f t="shared" si="55"/>
        <v>0</v>
      </c>
      <c r="AS46" s="40"/>
      <c r="AT46" s="40"/>
      <c r="AU46" s="40"/>
      <c r="AV46" s="40"/>
      <c r="AW46" s="40"/>
      <c r="AX46" s="40"/>
      <c r="AY46" s="40"/>
      <c r="AZ46" s="40"/>
      <c r="BA46" s="40">
        <f t="shared" si="56"/>
        <v>0</v>
      </c>
      <c r="BB46" s="36"/>
      <c r="BC46" s="506"/>
      <c r="BD46" s="506"/>
      <c r="BE46" s="36"/>
      <c r="BF46" s="506"/>
    </row>
    <row r="47" spans="1:58" ht="12.95" customHeight="1">
      <c r="A47" s="43"/>
      <c r="B47" s="44"/>
      <c r="C47" s="447"/>
      <c r="D47" s="44"/>
      <c r="E47" s="45"/>
      <c r="F47" s="45"/>
      <c r="G47" s="46"/>
      <c r="H47" s="47"/>
      <c r="I47" s="48"/>
      <c r="J47" s="85"/>
      <c r="K47" s="85"/>
      <c r="L47" s="603"/>
      <c r="M47" s="38"/>
      <c r="N47" s="49"/>
      <c r="O47" s="50"/>
      <c r="P47" s="51"/>
      <c r="Q47" s="37"/>
      <c r="R47" s="503"/>
      <c r="S47" s="503"/>
      <c r="T47" s="40"/>
      <c r="U47" s="40"/>
      <c r="V47" s="40"/>
      <c r="W47" s="40"/>
      <c r="X47" s="41"/>
      <c r="Y47" s="214"/>
      <c r="Z47" s="40"/>
      <c r="AA47" s="40"/>
      <c r="AB47" s="40"/>
      <c r="AC47" s="40"/>
      <c r="AD47" s="40">
        <f t="shared" si="53"/>
        <v>8</v>
      </c>
      <c r="AE47" s="236" t="s">
        <v>228</v>
      </c>
      <c r="AF47" s="40"/>
      <c r="AG47" s="40"/>
      <c r="AH47" s="40"/>
      <c r="AI47" s="505">
        <v>8</v>
      </c>
      <c r="AJ47" s="40"/>
      <c r="AK47" s="40"/>
      <c r="AL47" s="40"/>
      <c r="AM47" s="40">
        <f t="shared" si="54"/>
        <v>8</v>
      </c>
      <c r="AN47" s="40"/>
      <c r="AO47" s="40"/>
      <c r="AP47" s="40"/>
      <c r="AQ47" s="40"/>
      <c r="AR47" s="40">
        <f t="shared" si="55"/>
        <v>0</v>
      </c>
      <c r="AS47" s="40"/>
      <c r="AT47" s="40"/>
      <c r="AU47" s="40"/>
      <c r="AV47" s="40"/>
      <c r="AW47" s="40"/>
      <c r="AX47" s="40"/>
      <c r="AY47" s="40"/>
      <c r="AZ47" s="40"/>
      <c r="BA47" s="40">
        <f t="shared" si="56"/>
        <v>0</v>
      </c>
      <c r="BB47" s="53"/>
      <c r="BC47" s="54"/>
      <c r="BD47" s="54"/>
      <c r="BE47" s="53"/>
      <c r="BF47" s="54"/>
    </row>
    <row r="48" spans="1:58" ht="12.95" customHeight="1">
      <c r="A48" s="43"/>
      <c r="B48" s="44"/>
      <c r="C48" s="447"/>
      <c r="D48" s="44"/>
      <c r="E48" s="45"/>
      <c r="F48" s="45"/>
      <c r="G48" s="46"/>
      <c r="H48" s="47"/>
      <c r="I48" s="48"/>
      <c r="J48" s="85"/>
      <c r="K48" s="85"/>
      <c r="L48" s="603"/>
      <c r="M48" s="38"/>
      <c r="N48" s="49"/>
      <c r="O48" s="50"/>
      <c r="P48" s="51"/>
      <c r="Q48" s="37"/>
      <c r="R48" s="503"/>
      <c r="S48" s="503"/>
      <c r="T48" s="40"/>
      <c r="U48" s="40"/>
      <c r="V48" s="40"/>
      <c r="W48" s="40"/>
      <c r="X48" s="41"/>
      <c r="Y48" s="214"/>
      <c r="Z48" s="40"/>
      <c r="AA48" s="40"/>
      <c r="AB48" s="40"/>
      <c r="AC48" s="40"/>
      <c r="AD48" s="40">
        <f t="shared" si="53"/>
        <v>385</v>
      </c>
      <c r="AE48" s="236" t="s">
        <v>512</v>
      </c>
      <c r="AF48" s="40"/>
      <c r="AG48" s="40"/>
      <c r="AH48" s="40"/>
      <c r="AI48" s="505"/>
      <c r="AJ48" s="40"/>
      <c r="AK48" s="40"/>
      <c r="AL48" s="40"/>
      <c r="AM48" s="40">
        <f t="shared" si="54"/>
        <v>0</v>
      </c>
      <c r="AN48" s="40"/>
      <c r="AO48" s="40"/>
      <c r="AP48" s="40"/>
      <c r="AQ48" s="40"/>
      <c r="AR48" s="40">
        <f t="shared" si="55"/>
        <v>0</v>
      </c>
      <c r="AS48" s="40"/>
      <c r="AT48" s="40"/>
      <c r="AU48" s="40"/>
      <c r="AV48" s="40"/>
      <c r="AW48" s="40">
        <v>385</v>
      </c>
      <c r="AX48" s="40"/>
      <c r="AY48" s="40"/>
      <c r="AZ48" s="40"/>
      <c r="BA48" s="40">
        <f>+AR48+AS48+AU48+AW48</f>
        <v>385</v>
      </c>
      <c r="BB48" s="53"/>
      <c r="BC48" s="54"/>
      <c r="BD48" s="54"/>
      <c r="BE48" s="53"/>
      <c r="BF48" s="54"/>
    </row>
    <row r="49" spans="1:58" ht="12.95" customHeight="1">
      <c r="A49" s="43"/>
      <c r="B49" s="44"/>
      <c r="C49" s="447"/>
      <c r="D49" s="44"/>
      <c r="E49" s="45"/>
      <c r="F49" s="45"/>
      <c r="G49" s="46"/>
      <c r="H49" s="46"/>
      <c r="I49" s="48"/>
      <c r="J49" s="85"/>
      <c r="K49" s="85"/>
      <c r="L49" s="603"/>
      <c r="M49" s="38"/>
      <c r="N49" s="49"/>
      <c r="O49" s="50"/>
      <c r="P49" s="51"/>
      <c r="Q49" s="50"/>
      <c r="R49" s="503"/>
      <c r="S49" s="503"/>
      <c r="T49" s="40"/>
      <c r="U49" s="40"/>
      <c r="V49" s="40"/>
      <c r="W49" s="40"/>
      <c r="X49" s="504"/>
      <c r="Y49" s="214"/>
      <c r="Z49" s="40"/>
      <c r="AA49" s="52"/>
      <c r="AB49" s="52"/>
      <c r="AC49" s="40"/>
      <c r="AD49" s="40"/>
      <c r="AE49" s="233"/>
      <c r="AF49" s="40"/>
      <c r="AG49" s="40"/>
      <c r="AH49" s="40"/>
      <c r="AI49" s="40"/>
      <c r="AJ49" s="40"/>
      <c r="AK49" s="40"/>
      <c r="AL49" s="40"/>
      <c r="AM49" s="40"/>
      <c r="AN49" s="40"/>
      <c r="AO49" s="40"/>
      <c r="AP49" s="40"/>
      <c r="AQ49" s="40"/>
      <c r="AR49" s="40"/>
      <c r="AS49" s="40"/>
      <c r="AT49" s="40"/>
      <c r="AU49" s="40"/>
      <c r="AV49" s="40"/>
      <c r="AW49" s="40"/>
      <c r="AX49" s="40"/>
      <c r="AY49" s="40"/>
      <c r="AZ49" s="40"/>
      <c r="BA49" s="40"/>
      <c r="BB49" s="36"/>
      <c r="BC49" s="54"/>
      <c r="BD49" s="54"/>
      <c r="BE49" s="54"/>
      <c r="BF49" s="54"/>
    </row>
    <row r="50" spans="1:58" ht="12.95" customHeight="1">
      <c r="A50" s="43">
        <v>46089</v>
      </c>
      <c r="B50" s="44" t="s">
        <v>423</v>
      </c>
      <c r="C50" s="447">
        <f>(M50*E50*O50*Q50)/100000000</f>
        <v>18.265146120000001</v>
      </c>
      <c r="D50" s="44" t="s">
        <v>425</v>
      </c>
      <c r="E50" s="45">
        <v>17</v>
      </c>
      <c r="F50" s="45">
        <v>1</v>
      </c>
      <c r="G50" s="502">
        <v>1050</v>
      </c>
      <c r="H50" s="47">
        <f>+N50</f>
        <v>0.21999999999999997</v>
      </c>
      <c r="I50" s="48">
        <v>0.88</v>
      </c>
      <c r="J50" s="85">
        <f>E50*G50*(1-H50)*1440/1000000*2.75</f>
        <v>55.135079999999995</v>
      </c>
      <c r="K50" s="85">
        <f t="shared" ref="K50" si="57">(IF(G50&lt;L50,L50,G50)*(1-IF(H50&lt;N50,H50,N50))*E50*O50*Q50)/100000000</f>
        <v>22.055702759999999</v>
      </c>
      <c r="L50" s="603">
        <v>869.54397394136811</v>
      </c>
      <c r="M50" s="38">
        <v>678.24429967426715</v>
      </c>
      <c r="N50" s="49">
        <f>1-(M50/L50)</f>
        <v>0.21999999999999997</v>
      </c>
      <c r="O50" s="50">
        <f>+'Trim Rwd'!H28</f>
        <v>258</v>
      </c>
      <c r="P50" s="51">
        <f>O50*(Q50-R50-S50)</f>
        <v>154026</v>
      </c>
      <c r="Q50" s="50">
        <v>614</v>
      </c>
      <c r="R50" s="503">
        <v>0</v>
      </c>
      <c r="S50" s="503">
        <v>17</v>
      </c>
      <c r="T50" s="40">
        <f>E50*M50*O50*Q50/100000000</f>
        <v>18.265146120000001</v>
      </c>
      <c r="U50" s="40">
        <f>E50*M50*O50*(Q50-R50-S50)/100000000</f>
        <v>17.759433605276872</v>
      </c>
      <c r="V50" s="40">
        <f>E50*G50*(1-N50)*O50/100*(R50+S50)/1000000</f>
        <v>0.61066277999999996</v>
      </c>
      <c r="W50" s="40">
        <f>+'8'!K11/1000</f>
        <v>18.516999999999999</v>
      </c>
      <c r="X50" s="504">
        <f>SUM(W50:W53)/SUM(K50:K53)</f>
        <v>0.86277855736992082</v>
      </c>
      <c r="Y50" s="214">
        <v>0</v>
      </c>
      <c r="Z50" s="40">
        <v>0</v>
      </c>
      <c r="AA50" s="52">
        <f>SUM(U50:U53)-SUM(W50:W53)-SUM(Z50:Z53)-SUM(Y50:Y53)</f>
        <v>-2.6462733282123168</v>
      </c>
      <c r="AB50" s="52">
        <f>(SUM(K50:K53)-SUM(W50:W53)-SUM(Y50:Y53)-SUM(Z50:Z53)-SUM(AC50:AC53)-SUM(V50:V53))-AA50</f>
        <v>-0.25873042883034536</v>
      </c>
      <c r="AC50" s="40">
        <f>K50-T50</f>
        <v>3.7905566399999984</v>
      </c>
      <c r="AD50" s="40">
        <f>+AM50+BA50</f>
        <v>0</v>
      </c>
      <c r="AE50" s="233" t="s">
        <v>391</v>
      </c>
      <c r="AF50" s="40">
        <v>0</v>
      </c>
      <c r="AG50" s="40"/>
      <c r="AH50" s="40"/>
      <c r="AI50" s="505"/>
      <c r="AJ50" s="40"/>
      <c r="AK50" s="40"/>
      <c r="AL50" s="40"/>
      <c r="AM50" s="40">
        <f>SUM(AF50:AL50)+AT50</f>
        <v>0</v>
      </c>
      <c r="AN50" s="40"/>
      <c r="AO50" s="40"/>
      <c r="AP50" s="40"/>
      <c r="AQ50" s="40"/>
      <c r="AR50" s="40">
        <f>SUM(AN50:AQ50)</f>
        <v>0</v>
      </c>
      <c r="AS50" s="40"/>
      <c r="AT50" s="40"/>
      <c r="AU50" s="40"/>
      <c r="AV50" s="40"/>
      <c r="AW50" s="40"/>
      <c r="AX50" s="40"/>
      <c r="AY50" s="40"/>
      <c r="AZ50" s="40"/>
      <c r="BA50" s="40">
        <f>+AR50+AS50+AU50+AV50+AX50</f>
        <v>0</v>
      </c>
      <c r="BB50" s="36">
        <v>0</v>
      </c>
      <c r="BC50" s="54"/>
      <c r="BD50" s="54"/>
      <c r="BE50" s="36"/>
      <c r="BF50" s="54"/>
    </row>
    <row r="51" spans="1:58" ht="12.95" customHeight="1">
      <c r="A51" s="43"/>
      <c r="B51" s="44" t="s">
        <v>423</v>
      </c>
      <c r="C51" s="447">
        <f>(M51*E51*O51*Q51)/100000000</f>
        <v>25.661093958620686</v>
      </c>
      <c r="D51" s="44" t="s">
        <v>425</v>
      </c>
      <c r="E51" s="45">
        <v>16</v>
      </c>
      <c r="F51" s="45">
        <v>1</v>
      </c>
      <c r="G51" s="502">
        <v>1065</v>
      </c>
      <c r="H51" s="47">
        <f>+N51</f>
        <v>0.18450363196125918</v>
      </c>
      <c r="I51" s="48">
        <v>0.88</v>
      </c>
      <c r="J51" s="85">
        <f>E51*G51*(1-H51)*1440/1000000*2.75</f>
        <v>55.028390121065371</v>
      </c>
      <c r="K51" s="85">
        <f t="shared" ref="K51" si="58">(IF(G51&lt;L51,L51,G51)*(1-IF(H51&lt;N51,H51,N51))*E51*O51*Q51)/100000000</f>
        <v>30.365627851034478</v>
      </c>
      <c r="L51" s="603">
        <v>900</v>
      </c>
      <c r="M51" s="38">
        <v>733.94673123486677</v>
      </c>
      <c r="N51" s="49">
        <f>1-(M51/L51)</f>
        <v>0.18450363196125918</v>
      </c>
      <c r="O51" s="50">
        <f>+'Trim Rwd'!H29</f>
        <v>264.55172413793105</v>
      </c>
      <c r="P51" s="51">
        <f>O51*(Q51-R51-S51)</f>
        <v>211376.8275862069</v>
      </c>
      <c r="Q51" s="50">
        <v>826</v>
      </c>
      <c r="R51" s="503">
        <v>0</v>
      </c>
      <c r="S51" s="503">
        <v>27</v>
      </c>
      <c r="T51" s="40">
        <f>E51*M51*O51*Q51/100000000</f>
        <v>25.661093958620686</v>
      </c>
      <c r="U51" s="40">
        <f>E51*M51*O51*(Q51-R51-S51)/100000000</f>
        <v>24.822293066510809</v>
      </c>
      <c r="V51" s="40">
        <f>E51*G51*(1-N51)*O51/100*(R51+S51)/1000000</f>
        <v>0.99258105566335453</v>
      </c>
      <c r="W51" s="40">
        <f>+'8'!K12/1000</f>
        <v>22.931999999999999</v>
      </c>
      <c r="X51" s="41"/>
      <c r="Y51" s="214"/>
      <c r="Z51" s="40"/>
      <c r="AA51" s="40"/>
      <c r="AB51" s="40"/>
      <c r="AC51" s="40">
        <f>K51-T51</f>
        <v>4.7045338924137923</v>
      </c>
      <c r="AD51" s="40">
        <f t="shared" ref="AD51:AD53" si="59">+AM51+BA51</f>
        <v>15</v>
      </c>
      <c r="AE51" s="233" t="s">
        <v>555</v>
      </c>
      <c r="AF51" s="40"/>
      <c r="AG51" s="40">
        <v>15</v>
      </c>
      <c r="AH51" s="40"/>
      <c r="AI51" s="505"/>
      <c r="AJ51" s="40"/>
      <c r="AK51" s="40"/>
      <c r="AL51" s="40"/>
      <c r="AM51" s="40">
        <f t="shared" ref="AM51:AM53" si="60">SUM(AF51:AL51)+AT51</f>
        <v>15</v>
      </c>
      <c r="AN51" s="86"/>
      <c r="AO51" s="40"/>
      <c r="AP51" s="40"/>
      <c r="AQ51" s="40"/>
      <c r="AR51" s="40">
        <f t="shared" ref="AR51:AR53" si="61">SUM(AN51:AQ51)</f>
        <v>0</v>
      </c>
      <c r="AS51" s="40"/>
      <c r="AT51" s="40"/>
      <c r="AU51" s="40"/>
      <c r="AV51" s="40"/>
      <c r="AW51" s="40"/>
      <c r="AX51" s="40"/>
      <c r="AY51" s="40"/>
      <c r="AZ51" s="40"/>
      <c r="BA51" s="40">
        <f t="shared" ref="BA51:BA53" si="62">+AR51+AS51+AU51+AV51+AX51</f>
        <v>0</v>
      </c>
      <c r="BB51" s="53"/>
      <c r="BC51" s="54">
        <v>10</v>
      </c>
      <c r="BD51" s="54"/>
      <c r="BE51" s="53"/>
      <c r="BF51" s="54"/>
    </row>
    <row r="52" spans="1:58" ht="12.95" customHeight="1">
      <c r="A52" s="43"/>
      <c r="B52" s="44" t="s">
        <v>423</v>
      </c>
      <c r="C52" s="447"/>
      <c r="D52" s="44"/>
      <c r="E52" s="45">
        <v>20</v>
      </c>
      <c r="F52" s="45"/>
      <c r="G52" s="502"/>
      <c r="H52" s="47"/>
      <c r="I52" s="48"/>
      <c r="J52" s="85"/>
      <c r="K52" s="85"/>
      <c r="L52" s="603"/>
      <c r="M52" s="38"/>
      <c r="N52" s="49"/>
      <c r="O52" s="50"/>
      <c r="P52" s="51"/>
      <c r="Q52" s="50"/>
      <c r="R52" s="503"/>
      <c r="S52" s="503"/>
      <c r="T52" s="40"/>
      <c r="U52" s="40"/>
      <c r="V52" s="40"/>
      <c r="W52" s="40">
        <f>+'8'!K10/1000</f>
        <v>3.7789999999999999</v>
      </c>
      <c r="X52" s="41"/>
      <c r="Y52" s="214"/>
      <c r="Z52" s="40"/>
      <c r="AA52" s="40"/>
      <c r="AB52" s="40"/>
      <c r="AC52" s="40"/>
      <c r="AD52" s="40">
        <f t="shared" si="59"/>
        <v>21</v>
      </c>
      <c r="AE52" s="233" t="s">
        <v>490</v>
      </c>
      <c r="AF52" s="36"/>
      <c r="AG52" s="36"/>
      <c r="AH52" s="36">
        <v>21</v>
      </c>
      <c r="AJ52" s="40"/>
      <c r="AK52" s="40"/>
      <c r="AL52" s="40"/>
      <c r="AM52" s="40">
        <f t="shared" si="60"/>
        <v>21</v>
      </c>
      <c r="AN52" s="40"/>
      <c r="AO52" s="40"/>
      <c r="AP52" s="40"/>
      <c r="AQ52" s="40"/>
      <c r="AR52" s="40">
        <f t="shared" si="61"/>
        <v>0</v>
      </c>
      <c r="AS52" s="40"/>
      <c r="AT52" s="40"/>
      <c r="AU52" s="40"/>
      <c r="AV52" s="40"/>
      <c r="AW52" s="40"/>
      <c r="AX52" s="40"/>
      <c r="AY52" s="40"/>
      <c r="AZ52" s="40"/>
      <c r="BA52" s="40">
        <f t="shared" si="62"/>
        <v>0</v>
      </c>
      <c r="BB52" s="36"/>
      <c r="BC52" s="506"/>
      <c r="BD52" s="506"/>
      <c r="BE52" s="36"/>
      <c r="BF52" s="506"/>
    </row>
    <row r="53" spans="1:58" ht="12.95" customHeight="1">
      <c r="A53" s="43"/>
      <c r="B53" s="44"/>
      <c r="C53" s="447"/>
      <c r="D53" s="44"/>
      <c r="E53" s="45"/>
      <c r="F53" s="45"/>
      <c r="G53" s="46"/>
      <c r="H53" s="47"/>
      <c r="I53" s="48"/>
      <c r="J53" s="85"/>
      <c r="K53" s="85"/>
      <c r="L53" s="603"/>
      <c r="M53" s="38"/>
      <c r="N53" s="49"/>
      <c r="O53" s="50"/>
      <c r="P53" s="51"/>
      <c r="Q53" s="37"/>
      <c r="R53" s="503"/>
      <c r="S53" s="503"/>
      <c r="T53" s="40"/>
      <c r="U53" s="40"/>
      <c r="V53" s="40"/>
      <c r="W53" s="40"/>
      <c r="X53" s="41"/>
      <c r="Y53" s="214"/>
      <c r="Z53" s="40"/>
      <c r="AA53" s="40"/>
      <c r="AB53" s="40"/>
      <c r="AC53" s="40"/>
      <c r="AD53" s="40">
        <f t="shared" si="59"/>
        <v>8</v>
      </c>
      <c r="AE53" s="236" t="s">
        <v>228</v>
      </c>
      <c r="AF53" s="40"/>
      <c r="AG53" s="40"/>
      <c r="AH53" s="40"/>
      <c r="AI53" s="505">
        <v>8</v>
      </c>
      <c r="AJ53" s="40"/>
      <c r="AK53" s="40"/>
      <c r="AL53" s="40"/>
      <c r="AM53" s="40">
        <f t="shared" si="60"/>
        <v>8</v>
      </c>
      <c r="AN53" s="40"/>
      <c r="AO53" s="40"/>
      <c r="AP53" s="40"/>
      <c r="AQ53" s="40"/>
      <c r="AR53" s="40">
        <f t="shared" si="61"/>
        <v>0</v>
      </c>
      <c r="AS53" s="40"/>
      <c r="AT53" s="40"/>
      <c r="AU53" s="40"/>
      <c r="AV53" s="40"/>
      <c r="AW53" s="40"/>
      <c r="AX53" s="40"/>
      <c r="AY53" s="40"/>
      <c r="AZ53" s="40"/>
      <c r="BA53" s="40">
        <f t="shared" si="62"/>
        <v>0</v>
      </c>
      <c r="BB53" s="53"/>
      <c r="BC53" s="54"/>
      <c r="BD53" s="54"/>
      <c r="BE53" s="53"/>
      <c r="BF53" s="54"/>
    </row>
    <row r="54" spans="1:58" ht="12.95" customHeight="1">
      <c r="A54" s="43"/>
      <c r="B54" s="44"/>
      <c r="C54" s="447"/>
      <c r="D54" s="44"/>
      <c r="E54" s="45"/>
      <c r="F54" s="45"/>
      <c r="G54" s="46"/>
      <c r="H54" s="46"/>
      <c r="I54" s="48"/>
      <c r="J54" s="85"/>
      <c r="K54" s="85"/>
      <c r="L54" s="603"/>
      <c r="M54" s="38"/>
      <c r="N54" s="49"/>
      <c r="O54" s="50"/>
      <c r="P54" s="51"/>
      <c r="Q54" s="50"/>
      <c r="R54" s="503"/>
      <c r="S54" s="503"/>
      <c r="T54" s="40"/>
      <c r="U54" s="40"/>
      <c r="V54" s="40"/>
      <c r="W54" s="40"/>
      <c r="X54" s="504"/>
      <c r="Y54" s="214"/>
      <c r="Z54" s="40"/>
      <c r="AA54" s="52"/>
      <c r="AB54" s="52"/>
      <c r="AC54" s="40"/>
      <c r="AD54" s="40"/>
      <c r="AE54" s="236"/>
      <c r="AF54" s="40"/>
      <c r="AG54" s="40"/>
      <c r="AH54" s="40"/>
      <c r="AI54" s="40"/>
      <c r="AJ54" s="40"/>
      <c r="AK54" s="40"/>
      <c r="AL54" s="40"/>
      <c r="AM54" s="40"/>
      <c r="AN54" s="40"/>
      <c r="AO54" s="40"/>
      <c r="AP54" s="40"/>
      <c r="AQ54" s="40"/>
      <c r="AR54" s="40"/>
      <c r="AS54" s="36"/>
      <c r="AT54" s="36"/>
      <c r="AU54" s="36"/>
      <c r="AV54" s="36"/>
      <c r="AW54" s="36"/>
      <c r="AX54" s="36"/>
      <c r="AY54" s="36"/>
      <c r="AZ54" s="36"/>
      <c r="BA54" s="40"/>
      <c r="BB54" s="36"/>
      <c r="BC54" s="54"/>
      <c r="BD54" s="54"/>
      <c r="BE54" s="54"/>
      <c r="BF54" s="54"/>
    </row>
    <row r="55" spans="1:58" ht="12.75" customHeight="1">
      <c r="A55" s="43">
        <v>46090</v>
      </c>
      <c r="B55" s="44" t="s">
        <v>423</v>
      </c>
      <c r="C55" s="447">
        <f t="shared" ref="C55:C56" si="63">(M55*E55*O55*Q55)/100000000</f>
        <v>11.5340544</v>
      </c>
      <c r="D55" s="44" t="s">
        <v>425</v>
      </c>
      <c r="E55" s="45">
        <v>16</v>
      </c>
      <c r="F55" s="45">
        <v>1</v>
      </c>
      <c r="G55" s="502">
        <v>1060</v>
      </c>
      <c r="H55" s="47">
        <f t="shared" ref="H55:H56" si="64">+N55</f>
        <v>0.18000000000000005</v>
      </c>
      <c r="I55" s="48">
        <v>0.88</v>
      </c>
      <c r="J55" s="85">
        <f t="shared" ref="J55:J56" si="65">E55*G55*(1-H55)*1440/1000000*2.75</f>
        <v>55.072512000000003</v>
      </c>
      <c r="K55" s="85">
        <f t="shared" ref="K55:K56" si="66">(IF(G55&lt;L55,L55,G55)*(1-IF(H55&lt;N55,H55,N55))*E55*O55*Q55)/100000000</f>
        <v>13.58455296</v>
      </c>
      <c r="L55" s="603">
        <v>900</v>
      </c>
      <c r="M55" s="38">
        <v>738</v>
      </c>
      <c r="N55" s="49">
        <f t="shared" ref="N55:N56" si="67">1-(M55/L55)</f>
        <v>0.18000000000000005</v>
      </c>
      <c r="O55" s="50">
        <f>+'Trim Rwd'!H32</f>
        <v>264</v>
      </c>
      <c r="P55" s="51">
        <f t="shared" ref="P55:P56" si="68">O55*(Q55-R55-S55)</f>
        <v>95568</v>
      </c>
      <c r="Q55" s="50">
        <v>370</v>
      </c>
      <c r="R55" s="503">
        <v>0</v>
      </c>
      <c r="S55" s="503">
        <v>8</v>
      </c>
      <c r="T55" s="40">
        <f t="shared" ref="T55:T56" si="69">E55*M55*O55*Q55/100000000</f>
        <v>11.5340544</v>
      </c>
      <c r="U55" s="40">
        <f t="shared" ref="U55:U56" si="70">E55*M55*O55*(Q55-R55-S55)/100000000</f>
        <v>11.28466944</v>
      </c>
      <c r="V55" s="40">
        <f t="shared" ref="V55:V56" si="71">E55*G55*(1-N55)*O55/100*(R55+S55)/1000000</f>
        <v>0.293720064</v>
      </c>
      <c r="W55" s="40">
        <f>+'9'!K12/1000</f>
        <v>15.484999999999999</v>
      </c>
      <c r="X55" s="504">
        <f>SUM(W55:W58)/SUM(K55:K58)</f>
        <v>0.91365569597866092</v>
      </c>
      <c r="Y55" s="214">
        <v>0</v>
      </c>
      <c r="Z55" s="40">
        <v>0</v>
      </c>
      <c r="AA55" s="52">
        <f>SUM(U55:U58)-SUM(W55:W58)-SUM(Z55:Z58)-SUM(Y55:Y58)</f>
        <v>-1.3073615608971929</v>
      </c>
      <c r="AB55" s="52">
        <f>(SUM(K55:K58)-SUM(W55:W58)-SUM(Y55:Y58)-SUM(Z55:Z58)-SUM(AC55:AC58)-SUM(V55:V58))-AA55</f>
        <v>-0.10192141410280331</v>
      </c>
      <c r="AC55" s="40">
        <f>K55-T55</f>
        <v>2.0504985599999994</v>
      </c>
      <c r="AD55" s="40">
        <f>+AM55+BA55</f>
        <v>0</v>
      </c>
      <c r="AE55" s="233" t="s">
        <v>391</v>
      </c>
      <c r="AF55" s="40">
        <v>0</v>
      </c>
      <c r="AG55" s="40"/>
      <c r="AH55" s="40"/>
      <c r="AI55" s="505"/>
      <c r="AJ55" s="40"/>
      <c r="AK55" s="40"/>
      <c r="AL55" s="40"/>
      <c r="AM55" s="40">
        <f>SUM(AF55:AL55)+AT55</f>
        <v>0</v>
      </c>
      <c r="AN55" s="40"/>
      <c r="AO55" s="40"/>
      <c r="AP55" s="40"/>
      <c r="AQ55" s="40"/>
      <c r="AR55" s="40">
        <f>SUM(AN55:AQ55)</f>
        <v>0</v>
      </c>
      <c r="AS55" s="40"/>
      <c r="AT55" s="40"/>
      <c r="AU55" s="40"/>
      <c r="AV55" s="40"/>
      <c r="AW55" s="40"/>
      <c r="AX55" s="40"/>
      <c r="AY55" s="40"/>
      <c r="AZ55" s="40"/>
      <c r="BA55" s="40">
        <f>+AR55+AS55+AU55+AV55+AX55</f>
        <v>0</v>
      </c>
      <c r="BB55" s="36">
        <v>0</v>
      </c>
      <c r="BC55" s="54"/>
      <c r="BD55" s="54"/>
      <c r="BE55" s="36"/>
      <c r="BF55" s="54"/>
    </row>
    <row r="56" spans="1:58" ht="12.95" customHeight="1">
      <c r="A56" s="43"/>
      <c r="B56" s="44" t="s">
        <v>575</v>
      </c>
      <c r="C56" s="447">
        <f t="shared" si="63"/>
        <v>36.694248143999999</v>
      </c>
      <c r="D56" s="44" t="s">
        <v>425</v>
      </c>
      <c r="E56" s="45">
        <v>15.5</v>
      </c>
      <c r="F56" s="45">
        <v>1</v>
      </c>
      <c r="G56" s="502">
        <v>1045</v>
      </c>
      <c r="H56" s="47">
        <f t="shared" si="64"/>
        <v>0.14000000000000001</v>
      </c>
      <c r="I56" s="48">
        <v>0.88</v>
      </c>
      <c r="J56" s="85">
        <f t="shared" si="65"/>
        <v>55.162205999999998</v>
      </c>
      <c r="K56" s="85">
        <f t="shared" si="66"/>
        <v>38.454743909999998</v>
      </c>
      <c r="L56" s="603">
        <v>997.15887850467288</v>
      </c>
      <c r="M56" s="38">
        <v>857.55663551401869</v>
      </c>
      <c r="N56" s="49">
        <f t="shared" si="67"/>
        <v>0.14000000000000001</v>
      </c>
      <c r="O56" s="50">
        <f>+'Trim Rwd'!H33</f>
        <v>258</v>
      </c>
      <c r="P56" s="51">
        <f t="shared" si="68"/>
        <v>267030</v>
      </c>
      <c r="Q56" s="50">
        <v>1070</v>
      </c>
      <c r="R56" s="503">
        <v>0</v>
      </c>
      <c r="S56" s="503">
        <v>35</v>
      </c>
      <c r="T56" s="40">
        <f t="shared" si="69"/>
        <v>36.694248143999999</v>
      </c>
      <c r="U56" s="40">
        <f t="shared" si="70"/>
        <v>35.493968999102805</v>
      </c>
      <c r="V56" s="40">
        <f t="shared" si="71"/>
        <v>1.2578654550000004</v>
      </c>
      <c r="W56" s="40">
        <f>+'9'!K13/1000</f>
        <v>32.061</v>
      </c>
      <c r="X56" s="41"/>
      <c r="Y56" s="214"/>
      <c r="Z56" s="40">
        <f>+'9'!D25/1000</f>
        <v>0.54</v>
      </c>
      <c r="AA56" s="40"/>
      <c r="AB56" s="40"/>
      <c r="AC56" s="40">
        <f>K56-T56</f>
        <v>1.7604957659999982</v>
      </c>
      <c r="AD56" s="40">
        <f t="shared" ref="AD56:AD58" si="72">+AM56+BA56</f>
        <v>16</v>
      </c>
      <c r="AE56" s="233" t="s">
        <v>576</v>
      </c>
      <c r="AF56" s="40"/>
      <c r="AG56" s="40">
        <v>16</v>
      </c>
      <c r="AH56" s="40"/>
      <c r="AI56" s="505"/>
      <c r="AJ56" s="40"/>
      <c r="AK56" s="40"/>
      <c r="AL56" s="40"/>
      <c r="AM56" s="40">
        <f t="shared" ref="AM56:AM58" si="73">SUM(AF56:AL56)+AT56</f>
        <v>16</v>
      </c>
      <c r="AN56" s="86"/>
      <c r="AO56" s="40"/>
      <c r="AP56" s="40"/>
      <c r="AQ56" s="40"/>
      <c r="AR56" s="40">
        <f t="shared" ref="AR56:AR58" si="74">SUM(AN56:AQ56)</f>
        <v>0</v>
      </c>
      <c r="AS56" s="40"/>
      <c r="AT56" s="40"/>
      <c r="AU56" s="40"/>
      <c r="AV56" s="40"/>
      <c r="AW56" s="40"/>
      <c r="AX56" s="40"/>
      <c r="AY56" s="40"/>
      <c r="AZ56" s="40"/>
      <c r="BA56" s="40">
        <f t="shared" ref="BA56:BA58" si="75">+AR56+AS56+AU56+AV56+AX56</f>
        <v>0</v>
      </c>
      <c r="BB56" s="53"/>
      <c r="BC56" s="54">
        <v>11</v>
      </c>
      <c r="BD56" s="54"/>
      <c r="BE56" s="53"/>
      <c r="BF56" s="54"/>
    </row>
    <row r="57" spans="1:58" ht="12.95" customHeight="1">
      <c r="A57" s="43"/>
      <c r="B57" s="44" t="s">
        <v>423</v>
      </c>
      <c r="C57" s="447"/>
      <c r="D57" s="44"/>
      <c r="E57" s="45">
        <v>20</v>
      </c>
      <c r="F57" s="45"/>
      <c r="G57" s="502"/>
      <c r="H57" s="47"/>
      <c r="I57" s="48"/>
      <c r="J57" s="85"/>
      <c r="K57" s="85"/>
      <c r="L57" s="603"/>
      <c r="M57" s="38"/>
      <c r="N57" s="49"/>
      <c r="O57" s="50"/>
      <c r="P57" s="51"/>
      <c r="Q57" s="50"/>
      <c r="R57" s="503"/>
      <c r="S57" s="503"/>
      <c r="T57" s="40"/>
      <c r="U57" s="40"/>
      <c r="V57" s="40"/>
      <c r="W57" s="40">
        <f>+'8'!K15/1000</f>
        <v>0</v>
      </c>
      <c r="X57" s="41"/>
      <c r="Y57" s="214"/>
      <c r="Z57" s="40"/>
      <c r="AA57" s="40"/>
      <c r="AB57" s="40"/>
      <c r="AC57" s="40"/>
      <c r="AD57" s="40">
        <f t="shared" si="72"/>
        <v>17</v>
      </c>
      <c r="AE57" s="233" t="s">
        <v>490</v>
      </c>
      <c r="AF57" s="36"/>
      <c r="AG57" s="36"/>
      <c r="AH57" s="36">
        <v>17</v>
      </c>
      <c r="AJ57" s="40"/>
      <c r="AK57" s="40"/>
      <c r="AL57" s="40"/>
      <c r="AM57" s="40">
        <f t="shared" si="73"/>
        <v>17</v>
      </c>
      <c r="AN57" s="40"/>
      <c r="AO57" s="40"/>
      <c r="AP57" s="40"/>
      <c r="AQ57" s="40"/>
      <c r="AR57" s="40">
        <f t="shared" si="74"/>
        <v>0</v>
      </c>
      <c r="AS57" s="40"/>
      <c r="AT57" s="40"/>
      <c r="AU57" s="40"/>
      <c r="AV57" s="40"/>
      <c r="AW57" s="40"/>
      <c r="AX57" s="40"/>
      <c r="AY57" s="40"/>
      <c r="AZ57" s="40"/>
      <c r="BA57" s="40">
        <f t="shared" si="75"/>
        <v>0</v>
      </c>
      <c r="BB57" s="36"/>
      <c r="BC57" s="506"/>
      <c r="BD57" s="506"/>
      <c r="BE57" s="36"/>
      <c r="BF57" s="506"/>
    </row>
    <row r="58" spans="1:58" ht="12.95" customHeight="1">
      <c r="A58" s="43"/>
      <c r="B58" s="44"/>
      <c r="C58" s="447"/>
      <c r="D58" s="44"/>
      <c r="E58" s="45"/>
      <c r="F58" s="45"/>
      <c r="G58" s="46"/>
      <c r="H58" s="47"/>
      <c r="I58" s="48"/>
      <c r="J58" s="85"/>
      <c r="K58" s="85"/>
      <c r="L58" s="603"/>
      <c r="M58" s="38"/>
      <c r="N58" s="49"/>
      <c r="O58" s="50"/>
      <c r="P58" s="51"/>
      <c r="Q58" s="37"/>
      <c r="R58" s="503"/>
      <c r="S58" s="503"/>
      <c r="T58" s="40"/>
      <c r="U58" s="40"/>
      <c r="V58" s="40"/>
      <c r="W58" s="40"/>
      <c r="X58" s="41"/>
      <c r="Y58" s="214"/>
      <c r="Z58" s="40"/>
      <c r="AA58" s="40"/>
      <c r="AB58" s="40"/>
      <c r="AC58" s="40"/>
      <c r="AD58" s="40">
        <f t="shared" si="72"/>
        <v>10</v>
      </c>
      <c r="AE58" s="236" t="s">
        <v>228</v>
      </c>
      <c r="AF58" s="40"/>
      <c r="AG58" s="40"/>
      <c r="AH58" s="40"/>
      <c r="AI58" s="505">
        <v>10</v>
      </c>
      <c r="AJ58" s="40"/>
      <c r="AK58" s="40"/>
      <c r="AL58" s="40"/>
      <c r="AM58" s="40">
        <f t="shared" si="73"/>
        <v>10</v>
      </c>
      <c r="AN58" s="40"/>
      <c r="AO58" s="40"/>
      <c r="AP58" s="40"/>
      <c r="AQ58" s="40"/>
      <c r="AR58" s="40">
        <f t="shared" si="74"/>
        <v>0</v>
      </c>
      <c r="AS58" s="40"/>
      <c r="AT58" s="40"/>
      <c r="AU58" s="40"/>
      <c r="AV58" s="40"/>
      <c r="AW58" s="40"/>
      <c r="AX58" s="40"/>
      <c r="AY58" s="40"/>
      <c r="AZ58" s="40"/>
      <c r="BA58" s="40">
        <f t="shared" si="75"/>
        <v>0</v>
      </c>
      <c r="BB58" s="53"/>
      <c r="BC58" s="54"/>
      <c r="BD58" s="54"/>
      <c r="BE58" s="53"/>
      <c r="BF58" s="54"/>
    </row>
    <row r="59" spans="1:58" ht="12.95" customHeight="1">
      <c r="A59" s="43"/>
      <c r="B59" s="44"/>
      <c r="C59" s="447"/>
      <c r="D59" s="44"/>
      <c r="E59" s="45"/>
      <c r="F59" s="45"/>
      <c r="G59" s="46"/>
      <c r="H59" s="46"/>
      <c r="I59" s="48"/>
      <c r="J59" s="85"/>
      <c r="K59" s="85"/>
      <c r="L59" s="603"/>
      <c r="M59" s="38"/>
      <c r="N59" s="49"/>
      <c r="O59" s="50"/>
      <c r="P59" s="51"/>
      <c r="Q59" s="50"/>
      <c r="R59" s="503"/>
      <c r="S59" s="503"/>
      <c r="T59" s="40"/>
      <c r="U59" s="40"/>
      <c r="V59" s="40"/>
      <c r="W59" s="40"/>
      <c r="X59" s="41"/>
      <c r="Y59" s="214"/>
      <c r="Z59" s="40"/>
      <c r="AA59" s="40"/>
      <c r="AB59" s="40"/>
      <c r="AC59" s="40"/>
      <c r="AD59" s="40"/>
      <c r="AE59" s="233"/>
      <c r="AF59" s="40"/>
      <c r="AG59" s="40"/>
      <c r="AH59" s="40"/>
      <c r="AI59" s="505"/>
      <c r="AJ59" s="40"/>
      <c r="AK59" s="40"/>
      <c r="AL59" s="40"/>
      <c r="AM59" s="40"/>
      <c r="AN59" s="86"/>
      <c r="AO59" s="40"/>
      <c r="AP59" s="40"/>
      <c r="AQ59" s="40"/>
      <c r="AR59" s="40"/>
      <c r="AS59" s="40"/>
      <c r="AT59" s="40"/>
      <c r="AU59" s="40"/>
      <c r="AV59" s="40"/>
      <c r="AW59" s="40"/>
      <c r="AX59" s="40"/>
      <c r="AY59" s="40"/>
      <c r="AZ59" s="40"/>
      <c r="BA59" s="40"/>
      <c r="BB59" s="53"/>
      <c r="BC59" s="54"/>
      <c r="BD59" s="54"/>
      <c r="BE59" s="54"/>
      <c r="BF59" s="54"/>
    </row>
    <row r="60" spans="1:58" ht="12.75" customHeight="1">
      <c r="A60" s="43">
        <v>46091</v>
      </c>
      <c r="B60" s="44" t="s">
        <v>575</v>
      </c>
      <c r="C60" s="447">
        <f t="shared" ref="C60" si="76">(M60*E60*O60*Q60)/100000000</f>
        <v>3.167208</v>
      </c>
      <c r="D60" s="44" t="s">
        <v>425</v>
      </c>
      <c r="E60" s="45">
        <v>15.5</v>
      </c>
      <c r="F60" s="45">
        <v>1</v>
      </c>
      <c r="G60" s="502">
        <v>1045</v>
      </c>
      <c r="H60" s="47">
        <f t="shared" ref="H60" si="77">+N60</f>
        <v>0.14000000000000001</v>
      </c>
      <c r="I60" s="48">
        <v>0.88</v>
      </c>
      <c r="J60" s="85">
        <f t="shared" ref="J60" si="78">E60*G60*(1-H60)*1440/1000000*2.75</f>
        <v>55.162205999999998</v>
      </c>
      <c r="K60" s="85">
        <f t="shared" ref="K60" si="79">(IF(G60&lt;L60,L60,G60)*(1-IF(H60&lt;N60,H60,N60))*E60*O60*Q60)/100000000</f>
        <v>3.3097323599999995</v>
      </c>
      <c r="L60" s="603">
        <v>1000</v>
      </c>
      <c r="M60" s="38">
        <v>860</v>
      </c>
      <c r="N60" s="49">
        <f t="shared" ref="N60" si="80">1-(M60/L60)</f>
        <v>0.14000000000000001</v>
      </c>
      <c r="O60" s="50">
        <f>+'Trim Rwd'!H35</f>
        <v>264</v>
      </c>
      <c r="P60" s="51">
        <f t="shared" ref="P60" si="81">O60*(Q60-R60-S60)</f>
        <v>22176</v>
      </c>
      <c r="Q60" s="50">
        <v>90</v>
      </c>
      <c r="R60" s="503">
        <v>0</v>
      </c>
      <c r="S60" s="503">
        <v>6</v>
      </c>
      <c r="T60" s="40">
        <f t="shared" ref="T60" si="82">E60*M60*O60*Q60/100000000</f>
        <v>3.167208</v>
      </c>
      <c r="U60" s="40">
        <f t="shared" ref="U60" si="83">E60*M60*O60*(Q60-R60-S60)/100000000</f>
        <v>2.9560607999999999</v>
      </c>
      <c r="V60" s="40">
        <f t="shared" ref="V60" si="84">E60*G60*(1-N60)*O60/100*(R60+S60)/1000000</f>
        <v>0.22064882399999997</v>
      </c>
      <c r="W60" s="40">
        <f>+'10'!K13/1000</f>
        <v>5.8689999999999998</v>
      </c>
      <c r="X60" s="504">
        <f>SUM(W60:W63)/SUM(K60:K63)</f>
        <v>0.99665594562293292</v>
      </c>
      <c r="Y60" s="214">
        <v>0</v>
      </c>
      <c r="Z60" s="40">
        <v>0</v>
      </c>
      <c r="AA60" s="52">
        <f>SUM(U60:U63)-SUM(W60:W63)-SUM(Z60:Z63)-SUM(Y60:Y63)</f>
        <v>-1.2596252800000087</v>
      </c>
      <c r="AB60" s="52">
        <f>(SUM(K60:K63)-SUM(W60:W63)-SUM(Y60:Y63)-SUM(Z60:Z63)-SUM(AC60:AC63)-SUM(V60:V63))-AA60</f>
        <v>-2.2079640000030043E-3</v>
      </c>
      <c r="AC60" s="40">
        <f>K60-T60</f>
        <v>0.14252435999999946</v>
      </c>
      <c r="AD60" s="40">
        <f>+AM60+BA60</f>
        <v>0</v>
      </c>
      <c r="AE60" s="233" t="s">
        <v>391</v>
      </c>
      <c r="AF60" s="40">
        <v>0</v>
      </c>
      <c r="AG60" s="40"/>
      <c r="AH60" s="40"/>
      <c r="AI60" s="505"/>
      <c r="AJ60" s="40"/>
      <c r="AK60" s="40"/>
      <c r="AL60" s="40"/>
      <c r="AM60" s="40">
        <f>SUM(AF60:AL60)+AT60</f>
        <v>0</v>
      </c>
      <c r="AN60" s="40"/>
      <c r="AO60" s="40"/>
      <c r="AP60" s="40"/>
      <c r="AQ60" s="40"/>
      <c r="AR60" s="40">
        <f>SUM(AN60:AQ60)</f>
        <v>0</v>
      </c>
      <c r="AS60" s="40"/>
      <c r="AT60" s="40"/>
      <c r="AU60" s="40"/>
      <c r="AV60" s="40"/>
      <c r="AW60" s="40"/>
      <c r="AX60" s="40"/>
      <c r="AY60" s="40"/>
      <c r="AZ60" s="40"/>
      <c r="BA60" s="40">
        <f>+AR60+AS60+AU60+AV60+AX60</f>
        <v>0</v>
      </c>
      <c r="BB60" s="36">
        <v>0</v>
      </c>
      <c r="BC60" s="54"/>
      <c r="BD60" s="54"/>
      <c r="BE60" s="36"/>
      <c r="BF60" s="54"/>
    </row>
    <row r="61" spans="1:58" ht="12.95" customHeight="1">
      <c r="A61" s="43"/>
      <c r="B61" s="44" t="s">
        <v>586</v>
      </c>
      <c r="C61" s="447">
        <f t="shared" ref="C61" si="85">(M61*E61*O61*Q61)/100000000</f>
        <v>48.575775599999993</v>
      </c>
      <c r="D61" s="44" t="s">
        <v>425</v>
      </c>
      <c r="E61" s="45">
        <v>22</v>
      </c>
      <c r="F61" s="45">
        <v>1</v>
      </c>
      <c r="G61" s="502">
        <v>735</v>
      </c>
      <c r="H61" s="47">
        <f t="shared" ref="H61" si="86">+N61</f>
        <v>0.14000000000000001</v>
      </c>
      <c r="I61" s="48">
        <v>0.88</v>
      </c>
      <c r="J61" s="85">
        <f t="shared" ref="J61" si="87">E61*G61*(1-H61)*1440/1000000*2.75</f>
        <v>55.068551999999997</v>
      </c>
      <c r="K61" s="85">
        <f t="shared" ref="K61" si="88">(IF(G61&lt;L61,L61,G61)*(1-IF(H61&lt;N61,H61,N61))*E61*O61*Q61)/100000000</f>
        <v>48.575775599999993</v>
      </c>
      <c r="L61" s="603">
        <v>740</v>
      </c>
      <c r="M61" s="38">
        <v>636.4</v>
      </c>
      <c r="N61" s="49">
        <f t="shared" ref="N61" si="89">1-(M61/L61)</f>
        <v>0.14000000000000001</v>
      </c>
      <c r="O61" s="50">
        <f>+'Trim Rwd'!H36</f>
        <v>257</v>
      </c>
      <c r="P61" s="51">
        <f t="shared" ref="P61" si="90">O61*(Q61-R61-S61)</f>
        <v>339240</v>
      </c>
      <c r="Q61" s="50">
        <v>1350</v>
      </c>
      <c r="R61" s="503">
        <v>0</v>
      </c>
      <c r="S61" s="503">
        <v>30</v>
      </c>
      <c r="T61" s="40">
        <f t="shared" ref="T61" si="91">E61*M61*O61*Q61/100000000</f>
        <v>48.575775599999993</v>
      </c>
      <c r="U61" s="40">
        <f t="shared" ref="U61" si="92">E61*M61*O61*(Q61-R61-S61)/100000000</f>
        <v>47.496313919999992</v>
      </c>
      <c r="V61" s="40">
        <f t="shared" ref="V61" si="93">E61*G61*(1-N61)*O61/100*(R61+S61)/1000000</f>
        <v>1.0721680200000001</v>
      </c>
      <c r="W61" s="40">
        <f>+'10'!K14/1000</f>
        <v>45.843000000000004</v>
      </c>
      <c r="X61" s="41"/>
      <c r="Y61" s="214"/>
      <c r="Z61" s="40"/>
      <c r="AA61" s="40"/>
      <c r="AB61" s="40"/>
      <c r="AC61" s="40">
        <f>K61-T61</f>
        <v>0</v>
      </c>
      <c r="AD61" s="40">
        <f t="shared" ref="AD61:AD63" si="94">+AM61+BA61</f>
        <v>8</v>
      </c>
      <c r="AE61" s="233" t="s">
        <v>452</v>
      </c>
      <c r="AF61" s="40"/>
      <c r="AG61" s="40">
        <v>8</v>
      </c>
      <c r="AH61" s="40"/>
      <c r="AI61" s="505"/>
      <c r="AJ61" s="40"/>
      <c r="AK61" s="40"/>
      <c r="AL61" s="40"/>
      <c r="AM61" s="40">
        <f t="shared" ref="AM61:AM63" si="95">SUM(AF61:AL61)+AT61</f>
        <v>8</v>
      </c>
      <c r="AN61" s="86"/>
      <c r="AO61" s="40"/>
      <c r="AP61" s="40"/>
      <c r="AQ61" s="40"/>
      <c r="AR61" s="40">
        <f t="shared" ref="AR61:AR63" si="96">SUM(AN61:AQ61)</f>
        <v>0</v>
      </c>
      <c r="AS61" s="40"/>
      <c r="AT61" s="40"/>
      <c r="AU61" s="40"/>
      <c r="AV61" s="40"/>
      <c r="AW61" s="40"/>
      <c r="AX61" s="40"/>
      <c r="AY61" s="40"/>
      <c r="AZ61" s="40"/>
      <c r="BA61" s="40">
        <f t="shared" ref="BA61:BA63" si="97">+AR61+AS61+AU61+AV61+AX61</f>
        <v>0</v>
      </c>
      <c r="BB61" s="53"/>
      <c r="BC61" s="54">
        <v>5</v>
      </c>
      <c r="BD61" s="54"/>
      <c r="BE61" s="53"/>
      <c r="BF61" s="54"/>
    </row>
    <row r="62" spans="1:58" ht="12.95" customHeight="1">
      <c r="A62" s="43"/>
      <c r="B62" s="44"/>
      <c r="C62" s="447"/>
      <c r="D62" s="44"/>
      <c r="E62" s="45"/>
      <c r="F62" s="45"/>
      <c r="G62" s="502"/>
      <c r="H62" s="47"/>
      <c r="I62" s="48"/>
      <c r="J62" s="85"/>
      <c r="K62" s="85"/>
      <c r="L62" s="603"/>
      <c r="M62" s="38"/>
      <c r="N62" s="49"/>
      <c r="O62" s="50"/>
      <c r="P62" s="51"/>
      <c r="Q62" s="50"/>
      <c r="R62" s="503"/>
      <c r="S62" s="503"/>
      <c r="T62" s="40"/>
      <c r="U62" s="40"/>
      <c r="V62" s="40"/>
      <c r="W62" s="40"/>
      <c r="X62" s="41"/>
      <c r="Y62" s="214"/>
      <c r="Z62" s="40"/>
      <c r="AA62" s="40"/>
      <c r="AB62" s="40"/>
      <c r="AC62" s="40"/>
      <c r="AD62" s="40">
        <f t="shared" si="94"/>
        <v>22</v>
      </c>
      <c r="AE62" s="233" t="s">
        <v>587</v>
      </c>
      <c r="AF62" s="36"/>
      <c r="AG62" s="36"/>
      <c r="AH62" s="36">
        <v>22</v>
      </c>
      <c r="AJ62" s="40"/>
      <c r="AK62" s="40"/>
      <c r="AL62" s="40"/>
      <c r="AM62" s="40">
        <f t="shared" si="95"/>
        <v>22</v>
      </c>
      <c r="AN62" s="40"/>
      <c r="AO62" s="40"/>
      <c r="AP62" s="40"/>
      <c r="AQ62" s="40"/>
      <c r="AR62" s="40">
        <f t="shared" si="96"/>
        <v>0</v>
      </c>
      <c r="AS62" s="40"/>
      <c r="AT62" s="40"/>
      <c r="AU62" s="40"/>
      <c r="AV62" s="40"/>
      <c r="AW62" s="40"/>
      <c r="AX62" s="40"/>
      <c r="AY62" s="40"/>
      <c r="AZ62" s="40"/>
      <c r="BA62" s="40">
        <f t="shared" si="97"/>
        <v>0</v>
      </c>
      <c r="BB62" s="36"/>
      <c r="BC62" s="506"/>
      <c r="BD62" s="506"/>
      <c r="BE62" s="36"/>
      <c r="BF62" s="506"/>
    </row>
    <row r="63" spans="1:58" ht="12.95" customHeight="1">
      <c r="A63" s="43"/>
      <c r="B63" s="44"/>
      <c r="C63" s="447"/>
      <c r="D63" s="44"/>
      <c r="E63" s="45"/>
      <c r="F63" s="45"/>
      <c r="G63" s="46"/>
      <c r="H63" s="47"/>
      <c r="I63" s="48"/>
      <c r="J63" s="85"/>
      <c r="K63" s="85"/>
      <c r="L63" s="603"/>
      <c r="M63" s="38"/>
      <c r="N63" s="49"/>
      <c r="O63" s="50"/>
      <c r="P63" s="51"/>
      <c r="Q63" s="37"/>
      <c r="R63" s="503"/>
      <c r="S63" s="503"/>
      <c r="T63" s="40"/>
      <c r="U63" s="40"/>
      <c r="V63" s="40"/>
      <c r="W63" s="40"/>
      <c r="X63" s="41"/>
      <c r="Y63" s="214"/>
      <c r="Z63" s="40"/>
      <c r="AA63" s="40"/>
      <c r="AB63" s="40"/>
      <c r="AC63" s="40"/>
      <c r="AD63" s="40">
        <f t="shared" si="94"/>
        <v>6</v>
      </c>
      <c r="AE63" s="236" t="s">
        <v>228</v>
      </c>
      <c r="AF63" s="40"/>
      <c r="AG63" s="40"/>
      <c r="AH63" s="40"/>
      <c r="AI63" s="505">
        <v>6</v>
      </c>
      <c r="AJ63" s="40"/>
      <c r="AK63" s="40"/>
      <c r="AL63" s="40"/>
      <c r="AM63" s="40">
        <f t="shared" si="95"/>
        <v>6</v>
      </c>
      <c r="AN63" s="40"/>
      <c r="AO63" s="40"/>
      <c r="AP63" s="40"/>
      <c r="AQ63" s="40"/>
      <c r="AR63" s="40">
        <f t="shared" si="96"/>
        <v>0</v>
      </c>
      <c r="AS63" s="40"/>
      <c r="AT63" s="40"/>
      <c r="AU63" s="40"/>
      <c r="AV63" s="40"/>
      <c r="AW63" s="40"/>
      <c r="AX63" s="40"/>
      <c r="AY63" s="40"/>
      <c r="AZ63" s="40"/>
      <c r="BA63" s="40">
        <f t="shared" si="97"/>
        <v>0</v>
      </c>
      <c r="BB63" s="53"/>
      <c r="BC63" s="54"/>
      <c r="BD63" s="54"/>
      <c r="BE63" s="53"/>
      <c r="BF63" s="54"/>
    </row>
    <row r="64" spans="1:58" ht="12.95" customHeight="1">
      <c r="A64" s="43"/>
      <c r="B64" s="44"/>
      <c r="C64" s="447"/>
      <c r="D64" s="44"/>
      <c r="E64" s="45"/>
      <c r="F64" s="45"/>
      <c r="G64" s="46"/>
      <c r="H64" s="46"/>
      <c r="I64" s="48"/>
      <c r="J64" s="85"/>
      <c r="K64" s="85"/>
      <c r="L64" s="603"/>
      <c r="M64" s="38"/>
      <c r="N64" s="49"/>
      <c r="O64" s="50"/>
      <c r="P64" s="51"/>
      <c r="Q64" s="50"/>
      <c r="R64" s="503"/>
      <c r="S64" s="503"/>
      <c r="T64" s="40"/>
      <c r="U64" s="40"/>
      <c r="V64" s="40"/>
      <c r="W64" s="40"/>
      <c r="X64" s="504"/>
      <c r="Y64" s="214"/>
      <c r="Z64" s="40"/>
      <c r="AA64" s="52"/>
      <c r="AB64" s="52"/>
      <c r="AC64" s="40"/>
      <c r="AD64" s="40"/>
      <c r="AE64" s="233"/>
      <c r="AF64" s="40"/>
      <c r="AG64" s="40"/>
      <c r="AH64" s="40"/>
      <c r="AI64" s="505"/>
      <c r="AJ64" s="40"/>
      <c r="AK64" s="40"/>
      <c r="AL64" s="40"/>
      <c r="AM64" s="40"/>
      <c r="AN64" s="40"/>
      <c r="AO64" s="40"/>
      <c r="AP64" s="40"/>
      <c r="AQ64" s="40"/>
      <c r="AR64" s="40"/>
      <c r="AS64" s="40"/>
      <c r="AT64" s="40"/>
      <c r="AU64" s="40"/>
      <c r="AV64" s="40"/>
      <c r="AW64" s="40"/>
      <c r="AX64" s="40"/>
      <c r="AY64" s="40"/>
      <c r="AZ64" s="40"/>
      <c r="BA64" s="40"/>
      <c r="BB64" s="36"/>
      <c r="BC64" s="54"/>
      <c r="BD64" s="54"/>
      <c r="BE64" s="54"/>
      <c r="BF64" s="54"/>
    </row>
    <row r="65" spans="1:58" ht="12.75" customHeight="1">
      <c r="A65" s="43">
        <v>46092</v>
      </c>
      <c r="B65" s="44" t="s">
        <v>586</v>
      </c>
      <c r="C65" s="447">
        <f t="shared" ref="C65" si="98">(M65*E65*O65*Q65)/100000000</f>
        <v>51.81416063999999</v>
      </c>
      <c r="D65" s="44" t="s">
        <v>425</v>
      </c>
      <c r="E65" s="45">
        <v>22</v>
      </c>
      <c r="F65" s="45">
        <v>1</v>
      </c>
      <c r="G65" s="502">
        <v>735</v>
      </c>
      <c r="H65" s="47">
        <f t="shared" ref="H65" si="99">+N65</f>
        <v>0.14000000000000001</v>
      </c>
      <c r="I65" s="48">
        <v>0.88</v>
      </c>
      <c r="J65" s="85">
        <f t="shared" ref="J65" si="100">E65*G65*(1-H65)*1440/1000000*2.75</f>
        <v>55.068551999999997</v>
      </c>
      <c r="K65" s="85">
        <f t="shared" ref="K65" si="101">(IF(G65&lt;L65,L65,G65)*(1-IF(H65&lt;N65,H65,N65))*E65*O65*Q65)/100000000</f>
        <v>51.81416063999999</v>
      </c>
      <c r="L65" s="603">
        <v>740</v>
      </c>
      <c r="M65" s="38">
        <v>636.4</v>
      </c>
      <c r="N65" s="49">
        <f t="shared" ref="N65" si="102">1-(M65/L65)</f>
        <v>0.14000000000000001</v>
      </c>
      <c r="O65" s="50">
        <f>+'Trim Rwd'!H38</f>
        <v>257</v>
      </c>
      <c r="P65" s="51">
        <f t="shared" ref="P65" si="103">O65*(Q65-R65-S65)</f>
        <v>358258</v>
      </c>
      <c r="Q65" s="50">
        <v>1440</v>
      </c>
      <c r="R65" s="503">
        <v>0</v>
      </c>
      <c r="S65" s="503">
        <v>46</v>
      </c>
      <c r="T65" s="40">
        <f t="shared" ref="T65" si="104">E65*M65*O65*Q65/100000000</f>
        <v>51.81416063999999</v>
      </c>
      <c r="U65" s="40">
        <f t="shared" ref="U65" si="105">E65*M65*O65*(Q65-R65-S65)/100000000</f>
        <v>50.158986063999997</v>
      </c>
      <c r="V65" s="40">
        <f t="shared" ref="V65" si="106">E65*G65*(1-N65)*O65/100*(R65+S65)/1000000</f>
        <v>1.6439909640000001</v>
      </c>
      <c r="W65" s="40">
        <f>+'11'!K14/1000</f>
        <v>52.383000000000003</v>
      </c>
      <c r="X65" s="504">
        <f>SUM(W65:W68)/SUM(K65:K68)</f>
        <v>1.0109784536307025</v>
      </c>
      <c r="Y65" s="214">
        <v>0</v>
      </c>
      <c r="Z65" s="40">
        <v>0</v>
      </c>
      <c r="AA65" s="52">
        <f>SUM(U65:U68)-SUM(W65:W68)-SUM(Z65:Z68)-SUM(Y65:Y68)</f>
        <v>-2.2240139360000057</v>
      </c>
      <c r="AB65" s="52">
        <f>(SUM(K65:K68)-SUM(W65:W68)-SUM(Y65:Y68)-SUM(Z65:Z68)-SUM(AC65:AC68)-SUM(V65:V68))-AA65</f>
        <v>1.1183611999992848E-2</v>
      </c>
      <c r="AC65" s="40">
        <f>K65-T65</f>
        <v>0</v>
      </c>
      <c r="AD65" s="40">
        <f>+AM65+BA65</f>
        <v>0</v>
      </c>
      <c r="AE65" s="233" t="s">
        <v>391</v>
      </c>
      <c r="AF65" s="40">
        <v>0</v>
      </c>
      <c r="AG65" s="40"/>
      <c r="AH65" s="40"/>
      <c r="AI65" s="505"/>
      <c r="AJ65" s="40"/>
      <c r="AK65" s="40"/>
      <c r="AL65" s="40"/>
      <c r="AM65" s="40">
        <f>SUM(AF65:AL65)+AT65</f>
        <v>0</v>
      </c>
      <c r="AN65" s="40"/>
      <c r="AO65" s="40"/>
      <c r="AP65" s="40"/>
      <c r="AQ65" s="40"/>
      <c r="AR65" s="40">
        <f>SUM(AN65:AQ65)</f>
        <v>0</v>
      </c>
      <c r="AS65" s="40"/>
      <c r="AT65" s="40"/>
      <c r="AU65" s="40"/>
      <c r="AV65" s="40"/>
      <c r="AW65" s="40"/>
      <c r="AX65" s="40"/>
      <c r="AY65" s="40"/>
      <c r="AZ65" s="40"/>
      <c r="BA65" s="40">
        <f>+AR65+AS65+AU65+AV65+AX65</f>
        <v>0</v>
      </c>
      <c r="BB65" s="36">
        <v>0</v>
      </c>
      <c r="BC65" s="54"/>
      <c r="BD65" s="54"/>
      <c r="BE65" s="36"/>
      <c r="BF65" s="54"/>
    </row>
    <row r="66" spans="1:58" ht="12.95" customHeight="1">
      <c r="A66" s="43"/>
      <c r="B66" s="44"/>
      <c r="C66" s="447"/>
      <c r="D66" s="44"/>
      <c r="E66" s="45"/>
      <c r="F66" s="45"/>
      <c r="G66" s="502"/>
      <c r="H66" s="47"/>
      <c r="I66" s="48"/>
      <c r="J66" s="85"/>
      <c r="K66" s="85"/>
      <c r="L66" s="603"/>
      <c r="M66" s="38"/>
      <c r="N66" s="49"/>
      <c r="O66" s="50"/>
      <c r="P66" s="51"/>
      <c r="Q66" s="50"/>
      <c r="R66" s="503"/>
      <c r="S66" s="503"/>
      <c r="T66" s="40"/>
      <c r="U66" s="40"/>
      <c r="V66" s="40"/>
      <c r="W66" s="40"/>
      <c r="X66" s="41"/>
      <c r="Y66" s="214"/>
      <c r="Z66" s="40"/>
      <c r="AA66" s="40"/>
      <c r="AB66" s="40"/>
      <c r="AC66" s="40">
        <f>K66-T66</f>
        <v>0</v>
      </c>
      <c r="AD66" s="40">
        <f t="shared" ref="AD66:AD68" si="107">+AM66+BA66</f>
        <v>5</v>
      </c>
      <c r="AE66" s="233" t="s">
        <v>474</v>
      </c>
      <c r="AF66" s="40"/>
      <c r="AG66" s="40">
        <v>5</v>
      </c>
      <c r="AH66" s="40"/>
      <c r="AI66" s="505"/>
      <c r="AJ66" s="40"/>
      <c r="AK66" s="40"/>
      <c r="AL66" s="40"/>
      <c r="AM66" s="40">
        <f t="shared" ref="AM66:AM68" si="108">SUM(AF66:AL66)+AT66</f>
        <v>5</v>
      </c>
      <c r="AN66" s="86"/>
      <c r="AO66" s="40"/>
      <c r="AP66" s="40"/>
      <c r="AQ66" s="40"/>
      <c r="AR66" s="40">
        <f t="shared" ref="AR66:AR68" si="109">SUM(AN66:AQ66)</f>
        <v>0</v>
      </c>
      <c r="AS66" s="40"/>
      <c r="AT66" s="40"/>
      <c r="AU66" s="40"/>
      <c r="AV66" s="40"/>
      <c r="AW66" s="40"/>
      <c r="AX66" s="40"/>
      <c r="AY66" s="40"/>
      <c r="AZ66" s="40"/>
      <c r="BA66" s="40">
        <f t="shared" ref="BA66:BA68" si="110">+AR66+AS66+AU66+AV66+AX66</f>
        <v>0</v>
      </c>
      <c r="BB66" s="53"/>
      <c r="BC66" s="54">
        <v>4</v>
      </c>
      <c r="BD66" s="54"/>
      <c r="BE66" s="53"/>
      <c r="BF66" s="54"/>
    </row>
    <row r="67" spans="1:58" ht="12.95" customHeight="1">
      <c r="A67" s="43"/>
      <c r="B67" s="44"/>
      <c r="C67" s="447"/>
      <c r="D67" s="44"/>
      <c r="E67" s="45"/>
      <c r="F67" s="45"/>
      <c r="G67" s="502"/>
      <c r="H67" s="47"/>
      <c r="I67" s="48"/>
      <c r="J67" s="85"/>
      <c r="K67" s="85"/>
      <c r="L67" s="603"/>
      <c r="M67" s="38"/>
      <c r="N67" s="49"/>
      <c r="O67" s="50"/>
      <c r="P67" s="51"/>
      <c r="Q67" s="50"/>
      <c r="R67" s="503"/>
      <c r="S67" s="503"/>
      <c r="T67" s="40"/>
      <c r="U67" s="40"/>
      <c r="V67" s="40"/>
      <c r="W67" s="40"/>
      <c r="X67" s="41"/>
      <c r="Y67" s="214"/>
      <c r="Z67" s="40"/>
      <c r="AA67" s="40"/>
      <c r="AB67" s="40"/>
      <c r="AC67" s="40"/>
      <c r="AD67" s="40">
        <f t="shared" si="107"/>
        <v>29</v>
      </c>
      <c r="AE67" s="233" t="s">
        <v>592</v>
      </c>
      <c r="AF67" s="36"/>
      <c r="AG67" s="36"/>
      <c r="AH67" s="36">
        <v>29</v>
      </c>
      <c r="AJ67" s="40"/>
      <c r="AK67" s="40"/>
      <c r="AL67" s="40"/>
      <c r="AM67" s="40">
        <f t="shared" si="108"/>
        <v>29</v>
      </c>
      <c r="AN67" s="40"/>
      <c r="AO67" s="40"/>
      <c r="AP67" s="40"/>
      <c r="AQ67" s="40"/>
      <c r="AR67" s="40">
        <f t="shared" si="109"/>
        <v>0</v>
      </c>
      <c r="AS67" s="40"/>
      <c r="AT67" s="40"/>
      <c r="AU67" s="40"/>
      <c r="AV67" s="40"/>
      <c r="AW67" s="40"/>
      <c r="AX67" s="40"/>
      <c r="AY67" s="40"/>
      <c r="AZ67" s="40"/>
      <c r="BA67" s="40">
        <f t="shared" si="110"/>
        <v>0</v>
      </c>
      <c r="BB67" s="36"/>
      <c r="BC67" s="506"/>
      <c r="BD67" s="506"/>
      <c r="BE67" s="36"/>
      <c r="BF67" s="506"/>
    </row>
    <row r="68" spans="1:58" ht="12.95" customHeight="1">
      <c r="A68" s="43"/>
      <c r="B68" s="44"/>
      <c r="C68" s="447"/>
      <c r="D68" s="44"/>
      <c r="E68" s="45"/>
      <c r="F68" s="45"/>
      <c r="G68" s="46"/>
      <c r="H68" s="47"/>
      <c r="I68" s="48"/>
      <c r="J68" s="85"/>
      <c r="K68" s="85"/>
      <c r="L68" s="603"/>
      <c r="M68" s="38"/>
      <c r="N68" s="49"/>
      <c r="O68" s="50"/>
      <c r="P68" s="51"/>
      <c r="Q68" s="37"/>
      <c r="R68" s="503"/>
      <c r="S68" s="503"/>
      <c r="T68" s="40"/>
      <c r="U68" s="40"/>
      <c r="V68" s="40"/>
      <c r="W68" s="40"/>
      <c r="X68" s="41"/>
      <c r="Y68" s="214"/>
      <c r="Z68" s="40"/>
      <c r="AA68" s="40"/>
      <c r="AB68" s="40"/>
      <c r="AC68" s="40"/>
      <c r="AD68" s="40">
        <f t="shared" si="107"/>
        <v>12</v>
      </c>
      <c r="AE68" s="236" t="s">
        <v>228</v>
      </c>
      <c r="AF68" s="40"/>
      <c r="AG68" s="40"/>
      <c r="AH68" s="40"/>
      <c r="AI68" s="505">
        <v>12</v>
      </c>
      <c r="AJ68" s="40"/>
      <c r="AK68" s="40"/>
      <c r="AL68" s="40"/>
      <c r="AM68" s="40">
        <f t="shared" si="108"/>
        <v>12</v>
      </c>
      <c r="AN68" s="40"/>
      <c r="AO68" s="40"/>
      <c r="AP68" s="40"/>
      <c r="AQ68" s="40"/>
      <c r="AR68" s="40">
        <f t="shared" si="109"/>
        <v>0</v>
      </c>
      <c r="AS68" s="40"/>
      <c r="AT68" s="40"/>
      <c r="AU68" s="40"/>
      <c r="AV68" s="40"/>
      <c r="AW68" s="40"/>
      <c r="AX68" s="40"/>
      <c r="AY68" s="40"/>
      <c r="AZ68" s="40"/>
      <c r="BA68" s="40">
        <f t="shared" si="110"/>
        <v>0</v>
      </c>
      <c r="BB68" s="53"/>
      <c r="BC68" s="54"/>
      <c r="BD68" s="54"/>
      <c r="BE68" s="53"/>
      <c r="BF68" s="54"/>
    </row>
    <row r="69" spans="1:58" ht="12.95" customHeight="1">
      <c r="A69" s="43"/>
      <c r="B69" s="44"/>
      <c r="C69" s="447"/>
      <c r="D69" s="44"/>
      <c r="E69" s="45"/>
      <c r="F69" s="45"/>
      <c r="G69" s="46"/>
      <c r="H69" s="46"/>
      <c r="I69" s="48"/>
      <c r="J69" s="85"/>
      <c r="K69" s="85"/>
      <c r="L69" s="603"/>
      <c r="M69" s="38"/>
      <c r="N69" s="49"/>
      <c r="O69" s="50"/>
      <c r="P69" s="51"/>
      <c r="Q69" s="50"/>
      <c r="R69" s="503"/>
      <c r="S69" s="503"/>
      <c r="T69" s="40"/>
      <c r="U69" s="40"/>
      <c r="V69" s="40"/>
      <c r="W69" s="40"/>
      <c r="X69" s="504"/>
      <c r="Y69" s="214"/>
      <c r="Z69" s="40"/>
      <c r="AA69" s="52"/>
      <c r="AB69" s="52"/>
      <c r="AC69" s="40"/>
      <c r="AD69" s="40"/>
      <c r="AE69" s="236"/>
      <c r="AF69" s="40"/>
      <c r="AG69" s="40"/>
      <c r="AH69" s="40"/>
      <c r="AI69" s="40"/>
      <c r="AJ69" s="40"/>
      <c r="AK69" s="40"/>
      <c r="AL69" s="40"/>
      <c r="AM69" s="40"/>
      <c r="AN69" s="40"/>
      <c r="AO69" s="40"/>
      <c r="AP69" s="40"/>
      <c r="AQ69" s="40"/>
      <c r="AR69" s="40"/>
      <c r="AS69" s="40"/>
      <c r="AT69" s="40"/>
      <c r="AU69" s="40"/>
      <c r="AV69" s="40"/>
      <c r="AW69" s="40"/>
      <c r="AX69" s="40"/>
      <c r="AY69" s="40"/>
      <c r="AZ69" s="40"/>
      <c r="BA69" s="40"/>
      <c r="BB69" s="36"/>
      <c r="BC69" s="54"/>
      <c r="BD69" s="506"/>
      <c r="BE69" s="36"/>
      <c r="BF69" s="506"/>
    </row>
    <row r="70" spans="1:58" ht="12.75" customHeight="1">
      <c r="A70" s="43">
        <v>46093</v>
      </c>
      <c r="B70" s="44" t="s">
        <v>586</v>
      </c>
      <c r="C70" s="447">
        <f t="shared" ref="C70" si="111">(M70*E70*O70*Q70)/100000000</f>
        <v>48.575775599999993</v>
      </c>
      <c r="D70" s="44" t="s">
        <v>425</v>
      </c>
      <c r="E70" s="45">
        <v>22</v>
      </c>
      <c r="F70" s="45">
        <v>1</v>
      </c>
      <c r="G70" s="502">
        <v>735</v>
      </c>
      <c r="H70" s="47">
        <f t="shared" ref="H70" si="112">+N70</f>
        <v>0.14000000000000001</v>
      </c>
      <c r="I70" s="48">
        <v>0.88</v>
      </c>
      <c r="J70" s="85">
        <f t="shared" ref="J70" si="113">E70*G70*(1-H70)*1440/1000000*2.75</f>
        <v>55.068551999999997</v>
      </c>
      <c r="K70" s="85">
        <f t="shared" ref="K70" si="114">(IF(G70&lt;L70,L70,G70)*(1-IF(H70&lt;N70,H70,N70))*E70*O70*Q70)/100000000</f>
        <v>48.575775599999993</v>
      </c>
      <c r="L70" s="603">
        <v>740</v>
      </c>
      <c r="M70" s="38">
        <v>636.4</v>
      </c>
      <c r="N70" s="49">
        <f t="shared" ref="N70" si="115">1-(M70/L70)</f>
        <v>0.14000000000000001</v>
      </c>
      <c r="O70" s="50">
        <f>+'Trim Rwd'!H40</f>
        <v>257</v>
      </c>
      <c r="P70" s="51">
        <f t="shared" ref="P70" si="116">O70*(Q70-R70-S70)</f>
        <v>336670</v>
      </c>
      <c r="Q70" s="50">
        <v>1350</v>
      </c>
      <c r="R70" s="503">
        <v>0</v>
      </c>
      <c r="S70" s="503">
        <v>40</v>
      </c>
      <c r="T70" s="40">
        <f t="shared" ref="T70" si="117">E70*M70*O70*Q70/100000000</f>
        <v>48.575775599999993</v>
      </c>
      <c r="U70" s="40">
        <f t="shared" ref="U70" si="118">E70*M70*O70*(Q70-R70-S70)/100000000</f>
        <v>47.136493359999989</v>
      </c>
      <c r="V70" s="40">
        <f t="shared" ref="V70" si="119">E70*G70*(1-N70)*O70/100*(R70+S70)/1000000</f>
        <v>1.42955736</v>
      </c>
      <c r="W70" s="40">
        <f>+'12'!K14/1000</f>
        <v>52.134999999999998</v>
      </c>
      <c r="X70" s="504">
        <f>SUM(W70:W73)/SUM(K70:K73)</f>
        <v>1.0062673505638271</v>
      </c>
      <c r="Y70" s="214">
        <v>0</v>
      </c>
      <c r="Z70" s="40">
        <v>0</v>
      </c>
      <c r="AA70" s="52">
        <f>SUM(U70:U73)-SUM(W70:W73)-SUM(Z70:Z73)-SUM(Y70:Y73)</f>
        <v>-2.2128032400000066</v>
      </c>
      <c r="AB70" s="52">
        <f>(SUM(K70:K73)-SUM(W70:W73)-SUM(Y70:Y73)-SUM(Z70:Z73)-SUM(AC70:AC73)-SUM(V70:V73))-AA70</f>
        <v>-4.2036370000015921E-3</v>
      </c>
      <c r="AC70" s="40">
        <f>K70-T70</f>
        <v>0</v>
      </c>
      <c r="AD70" s="40">
        <f>+AM70+BA70</f>
        <v>0</v>
      </c>
      <c r="AE70" s="233" t="s">
        <v>391</v>
      </c>
      <c r="AF70" s="40">
        <v>0</v>
      </c>
      <c r="AG70" s="40"/>
      <c r="AH70" s="40"/>
      <c r="AI70" s="505"/>
      <c r="AJ70" s="40"/>
      <c r="AK70" s="40"/>
      <c r="AL70" s="40"/>
      <c r="AM70" s="40">
        <f>SUM(AF70:AL70)+AT70</f>
        <v>0</v>
      </c>
      <c r="AN70" s="40"/>
      <c r="AO70" s="40"/>
      <c r="AP70" s="40"/>
      <c r="AQ70" s="40"/>
      <c r="AR70" s="40">
        <f>SUM(AN70:AQ70)</f>
        <v>0</v>
      </c>
      <c r="AS70" s="40"/>
      <c r="AT70" s="40"/>
      <c r="AU70" s="40"/>
      <c r="AV70" s="40"/>
      <c r="AW70" s="40"/>
      <c r="AX70" s="40"/>
      <c r="AY70" s="40"/>
      <c r="AZ70" s="40"/>
      <c r="BA70" s="40">
        <f>+AR70+AS70+AU70+AV70+AX70</f>
        <v>0</v>
      </c>
      <c r="BB70" s="36">
        <v>0</v>
      </c>
      <c r="BC70" s="54"/>
      <c r="BD70" s="54"/>
      <c r="BE70" s="36"/>
      <c r="BF70" s="54"/>
    </row>
    <row r="71" spans="1:58" ht="12.95" customHeight="1">
      <c r="A71" s="43"/>
      <c r="B71" s="44" t="s">
        <v>575</v>
      </c>
      <c r="C71" s="447">
        <f t="shared" ref="C71" si="120">(M71*E71*O71*Q71)/100000000</f>
        <v>3.0952259999999998</v>
      </c>
      <c r="D71" s="44" t="s">
        <v>425</v>
      </c>
      <c r="E71" s="45">
        <v>15.5</v>
      </c>
      <c r="F71" s="45">
        <v>1</v>
      </c>
      <c r="G71" s="502">
        <v>1045</v>
      </c>
      <c r="H71" s="47">
        <f t="shared" ref="H71" si="121">+N71</f>
        <v>0.14000000000000001</v>
      </c>
      <c r="I71" s="48">
        <v>0.88</v>
      </c>
      <c r="J71" s="85">
        <f t="shared" ref="J71" si="122">E71*G71*(1-H71)*1440/1000000*2.75</f>
        <v>55.162205999999998</v>
      </c>
      <c r="K71" s="85">
        <f t="shared" ref="K71" si="123">(IF(G71&lt;L71,L71,G71)*(1-IF(H71&lt;N71,H71,N71))*E71*O71*Q71)/100000000</f>
        <v>3.2345111700000002</v>
      </c>
      <c r="L71" s="603">
        <v>1000</v>
      </c>
      <c r="M71" s="38">
        <v>860</v>
      </c>
      <c r="N71" s="49">
        <f t="shared" ref="N71" si="124">1-(M71/L71)</f>
        <v>0.14000000000000001</v>
      </c>
      <c r="O71" s="50">
        <f>+'Trim Rwd'!H41</f>
        <v>258</v>
      </c>
      <c r="P71" s="51">
        <f t="shared" ref="P71" si="125">O71*(Q71-R71-S71)</f>
        <v>20898</v>
      </c>
      <c r="Q71" s="50">
        <v>90</v>
      </c>
      <c r="R71" s="503">
        <v>0</v>
      </c>
      <c r="S71" s="503">
        <v>9</v>
      </c>
      <c r="T71" s="40">
        <f t="shared" ref="T71" si="126">E71*M71*O71*Q71/100000000</f>
        <v>3.0952259999999998</v>
      </c>
      <c r="U71" s="40">
        <f t="shared" ref="U71" si="127">E71*M71*O71*(Q71-R71-S71)/100000000</f>
        <v>2.7857034000000001</v>
      </c>
      <c r="V71" s="40">
        <f t="shared" ref="V71" si="128">E71*G71*(1-N71)*O71/100*(R71+S71)/1000000</f>
        <v>0.32345111700000007</v>
      </c>
      <c r="W71" s="40">
        <f>+'11'!K20/1000</f>
        <v>0</v>
      </c>
      <c r="X71" s="41"/>
      <c r="Y71" s="214"/>
      <c r="Z71" s="40"/>
      <c r="AA71" s="40"/>
      <c r="AB71" s="40"/>
      <c r="AC71" s="40">
        <f>K71-T71</f>
        <v>0.1392851700000004</v>
      </c>
      <c r="AD71" s="40">
        <f t="shared" ref="AD71:AD73" si="129">+AM71+BA71</f>
        <v>10</v>
      </c>
      <c r="AE71" s="233" t="s">
        <v>452</v>
      </c>
      <c r="AF71" s="40"/>
      <c r="AG71" s="40">
        <v>10</v>
      </c>
      <c r="AH71" s="40"/>
      <c r="AI71" s="505"/>
      <c r="AJ71" s="40"/>
      <c r="AK71" s="40"/>
      <c r="AL71" s="40"/>
      <c r="AM71" s="40">
        <f t="shared" ref="AM71:AM73" si="130">SUM(AF71:AL71)+AT71</f>
        <v>10</v>
      </c>
      <c r="AN71" s="86"/>
      <c r="AO71" s="40"/>
      <c r="AP71" s="40"/>
      <c r="AQ71" s="40"/>
      <c r="AR71" s="40">
        <f t="shared" ref="AR71:AR73" si="131">SUM(AN71:AQ71)</f>
        <v>0</v>
      </c>
      <c r="AS71" s="40"/>
      <c r="AT71" s="40"/>
      <c r="AU71" s="40"/>
      <c r="AV71" s="40"/>
      <c r="AW71" s="40"/>
      <c r="AX71" s="40"/>
      <c r="AY71" s="40"/>
      <c r="AZ71" s="40"/>
      <c r="BA71" s="40">
        <f t="shared" ref="BA71:BA73" si="132">+AR71+AS71+AU71+AV71+AX71</f>
        <v>0</v>
      </c>
      <c r="BB71" s="53"/>
      <c r="BC71" s="54">
        <v>5</v>
      </c>
      <c r="BD71" s="54"/>
      <c r="BE71" s="53"/>
      <c r="BF71" s="54"/>
    </row>
    <row r="72" spans="1:58" ht="12.95" customHeight="1">
      <c r="A72" s="43"/>
      <c r="B72" s="44"/>
      <c r="C72" s="447"/>
      <c r="D72" s="44"/>
      <c r="E72" s="45"/>
      <c r="F72" s="45"/>
      <c r="G72" s="502"/>
      <c r="H72" s="47"/>
      <c r="I72" s="48"/>
      <c r="J72" s="85"/>
      <c r="K72" s="85"/>
      <c r="L72" s="603"/>
      <c r="M72" s="38"/>
      <c r="N72" s="49"/>
      <c r="O72" s="50"/>
      <c r="P72" s="51"/>
      <c r="Q72" s="50"/>
      <c r="R72" s="503"/>
      <c r="S72" s="503"/>
      <c r="T72" s="40"/>
      <c r="U72" s="40"/>
      <c r="V72" s="40"/>
      <c r="W72" s="40"/>
      <c r="X72" s="41"/>
      <c r="Y72" s="214"/>
      <c r="Z72" s="40"/>
      <c r="AA72" s="40"/>
      <c r="AB72" s="40"/>
      <c r="AC72" s="40"/>
      <c r="AD72" s="40">
        <f t="shared" si="129"/>
        <v>31</v>
      </c>
      <c r="AE72" s="233" t="s">
        <v>596</v>
      </c>
      <c r="AF72" s="36"/>
      <c r="AG72" s="36"/>
      <c r="AH72" s="36">
        <v>31</v>
      </c>
      <c r="AJ72" s="40"/>
      <c r="AK72" s="40"/>
      <c r="AL72" s="40"/>
      <c r="AM72" s="40">
        <f t="shared" si="130"/>
        <v>31</v>
      </c>
      <c r="AN72" s="40"/>
      <c r="AO72" s="40"/>
      <c r="AP72" s="40"/>
      <c r="AQ72" s="40"/>
      <c r="AR72" s="40">
        <f t="shared" si="131"/>
        <v>0</v>
      </c>
      <c r="AS72" s="40"/>
      <c r="AT72" s="40"/>
      <c r="AU72" s="40"/>
      <c r="AV72" s="40"/>
      <c r="AW72" s="40"/>
      <c r="AX72" s="40"/>
      <c r="AY72" s="40"/>
      <c r="AZ72" s="40"/>
      <c r="BA72" s="40">
        <f t="shared" si="132"/>
        <v>0</v>
      </c>
      <c r="BB72" s="36"/>
      <c r="BC72" s="506"/>
      <c r="BD72" s="506"/>
      <c r="BE72" s="36"/>
      <c r="BF72" s="506"/>
    </row>
    <row r="73" spans="1:58" ht="12.95" customHeight="1">
      <c r="A73" s="43"/>
      <c r="B73" s="44"/>
      <c r="C73" s="447"/>
      <c r="D73" s="44"/>
      <c r="E73" s="45"/>
      <c r="F73" s="45"/>
      <c r="G73" s="46"/>
      <c r="H73" s="47"/>
      <c r="I73" s="48"/>
      <c r="J73" s="85"/>
      <c r="K73" s="85"/>
      <c r="L73" s="603"/>
      <c r="M73" s="38"/>
      <c r="N73" s="49"/>
      <c r="O73" s="50"/>
      <c r="P73" s="51"/>
      <c r="Q73" s="37"/>
      <c r="R73" s="503"/>
      <c r="S73" s="503"/>
      <c r="T73" s="40"/>
      <c r="U73" s="40"/>
      <c r="V73" s="40"/>
      <c r="W73" s="40"/>
      <c r="X73" s="41"/>
      <c r="Y73" s="214"/>
      <c r="Z73" s="40"/>
      <c r="AA73" s="40"/>
      <c r="AB73" s="40"/>
      <c r="AC73" s="40"/>
      <c r="AD73" s="40">
        <f t="shared" si="129"/>
        <v>8</v>
      </c>
      <c r="AE73" s="236" t="s">
        <v>228</v>
      </c>
      <c r="AF73" s="40"/>
      <c r="AG73" s="40"/>
      <c r="AH73" s="40"/>
      <c r="AI73" s="505">
        <v>8</v>
      </c>
      <c r="AJ73" s="40"/>
      <c r="AK73" s="40"/>
      <c r="AL73" s="40"/>
      <c r="AM73" s="40">
        <f t="shared" si="130"/>
        <v>8</v>
      </c>
      <c r="AN73" s="40"/>
      <c r="AO73" s="40"/>
      <c r="AP73" s="40"/>
      <c r="AQ73" s="40"/>
      <c r="AR73" s="40">
        <f t="shared" si="131"/>
        <v>0</v>
      </c>
      <c r="AS73" s="40"/>
      <c r="AT73" s="40"/>
      <c r="AU73" s="40"/>
      <c r="AV73" s="40"/>
      <c r="AW73" s="40"/>
      <c r="AX73" s="40"/>
      <c r="AY73" s="40"/>
      <c r="AZ73" s="40"/>
      <c r="BA73" s="40">
        <f t="shared" si="132"/>
        <v>0</v>
      </c>
      <c r="BB73" s="53"/>
      <c r="BC73" s="54"/>
      <c r="BD73" s="54"/>
      <c r="BE73" s="53"/>
      <c r="BF73" s="54"/>
    </row>
    <row r="74" spans="1:58" ht="12.95" customHeight="1">
      <c r="A74" s="43"/>
      <c r="B74" s="44"/>
      <c r="C74" s="447"/>
      <c r="D74" s="44"/>
      <c r="E74" s="45"/>
      <c r="F74" s="45"/>
      <c r="G74" s="46"/>
      <c r="H74" s="46"/>
      <c r="I74" s="48"/>
      <c r="J74" s="85"/>
      <c r="K74" s="85"/>
      <c r="L74" s="603"/>
      <c r="M74" s="38"/>
      <c r="N74" s="49"/>
      <c r="O74" s="50"/>
      <c r="P74" s="51"/>
      <c r="Q74" s="50"/>
      <c r="R74" s="503"/>
      <c r="S74" s="503"/>
      <c r="T74" s="40"/>
      <c r="U74" s="40"/>
      <c r="V74" s="40"/>
      <c r="W74" s="40"/>
      <c r="X74" s="504"/>
      <c r="Y74" s="214"/>
      <c r="Z74" s="40"/>
      <c r="AA74" s="52"/>
      <c r="AB74" s="52"/>
      <c r="AC74" s="40"/>
      <c r="AD74" s="40"/>
      <c r="AE74" s="236"/>
      <c r="AF74" s="40"/>
      <c r="AG74" s="40"/>
      <c r="AH74" s="40"/>
      <c r="AI74" s="40"/>
      <c r="AJ74" s="40"/>
      <c r="AK74" s="40"/>
      <c r="AL74" s="40"/>
      <c r="AM74" s="40"/>
      <c r="AN74" s="40"/>
      <c r="AO74" s="40"/>
      <c r="AP74" s="40"/>
      <c r="AQ74" s="40"/>
      <c r="AR74" s="40"/>
      <c r="AS74" s="40"/>
      <c r="AT74" s="40"/>
      <c r="AU74" s="40"/>
      <c r="AV74" s="40"/>
      <c r="AW74" s="40"/>
      <c r="AX74" s="40"/>
      <c r="AY74" s="40"/>
      <c r="AZ74" s="40"/>
      <c r="BA74" s="40"/>
      <c r="BB74" s="36"/>
      <c r="BC74" s="54"/>
      <c r="BD74" s="506"/>
      <c r="BE74" s="36"/>
      <c r="BF74" s="506"/>
    </row>
    <row r="75" spans="1:58" ht="12.75" customHeight="1">
      <c r="A75" s="43">
        <v>46094</v>
      </c>
      <c r="B75" s="44" t="s">
        <v>575</v>
      </c>
      <c r="C75" s="447">
        <f t="shared" ref="C75:C76" si="133">(M75*E75*O75*Q75)/100000000</f>
        <v>34.118697525999991</v>
      </c>
      <c r="D75" s="44" t="s">
        <v>425</v>
      </c>
      <c r="E75" s="45">
        <v>15.5</v>
      </c>
      <c r="F75" s="45">
        <v>1</v>
      </c>
      <c r="G75" s="502">
        <v>1045</v>
      </c>
      <c r="H75" s="47">
        <f t="shared" ref="H75:H76" si="134">+N75</f>
        <v>0.14000000000000001</v>
      </c>
      <c r="I75" s="48">
        <v>0.88</v>
      </c>
      <c r="J75" s="85">
        <f t="shared" ref="J75:J76" si="135">E75*G75*(1-H75)*1440/1000000*2.75</f>
        <v>55.162205999999998</v>
      </c>
      <c r="K75" s="85">
        <f t="shared" ref="K75:K76" si="136">(IF(G75&lt;L75,L75,G75)*(1-IF(H75&lt;N75,H75,N75))*E75*O75*Q75)/100000000</f>
        <v>34.860378281666662</v>
      </c>
      <c r="L75" s="603">
        <v>1022.7668393782384</v>
      </c>
      <c r="M75" s="38">
        <v>879.57948186528495</v>
      </c>
      <c r="N75" s="49">
        <f t="shared" ref="N75:N76" si="137">1-(M75/L75)</f>
        <v>0.14000000000000001</v>
      </c>
      <c r="O75" s="50">
        <f>+'Trim Rwd'!H44</f>
        <v>259.33333333333331</v>
      </c>
      <c r="P75" s="51">
        <f t="shared" ref="P75:P76" si="138">O75*(Q75-R75-S75)</f>
        <v>241439.33333333331</v>
      </c>
      <c r="Q75" s="50">
        <v>965</v>
      </c>
      <c r="R75" s="503">
        <v>0</v>
      </c>
      <c r="S75" s="503">
        <v>34</v>
      </c>
      <c r="T75" s="40">
        <f t="shared" ref="T75:T76" si="139">E75*M75*O75*Q75/100000000</f>
        <v>34.118697525999991</v>
      </c>
      <c r="U75" s="40">
        <f t="shared" ref="U75:U76" si="140">E75*M75*O75*(Q75-R75-S75)/100000000</f>
        <v>32.916587975861134</v>
      </c>
      <c r="V75" s="40">
        <f t="shared" ref="V75:V76" si="141">E75*G75*(1-N75)*O75/100*(R75+S75)/1000000</f>
        <v>1.2282413073333331</v>
      </c>
      <c r="W75" s="40">
        <f>+'13'!K13/1000</f>
        <v>34.816000000000003</v>
      </c>
      <c r="X75" s="504">
        <f>SUM(W75:W78)/SUM(K75:K78)</f>
        <v>0.93731013283192754</v>
      </c>
      <c r="Y75" s="214">
        <v>0</v>
      </c>
      <c r="Z75" s="40">
        <v>0</v>
      </c>
      <c r="AA75" s="52">
        <f>SUM(U75:U78)-SUM(W75:W78)-SUM(Z75:Z78)-SUM(Y75:Y78)</f>
        <v>0.95324401586113083</v>
      </c>
      <c r="AB75" s="52">
        <f>(SUM(K75:K78)-SUM(W75:W78)-SUM(Y75:Y78)-SUM(Z75:Z78)-SUM(AC75:AC78)-SUM(V75:V78))-AA75</f>
        <v>-2.3700537194473181E-2</v>
      </c>
      <c r="AC75" s="40">
        <f>K75-T75</f>
        <v>0.74168075566667113</v>
      </c>
      <c r="AD75" s="40">
        <f>+AM75+BA75</f>
        <v>2</v>
      </c>
      <c r="AE75" s="233" t="s">
        <v>453</v>
      </c>
      <c r="AF75" s="40">
        <v>2</v>
      </c>
      <c r="AG75" s="40"/>
      <c r="AH75" s="40"/>
      <c r="AI75" s="505"/>
      <c r="AJ75" s="40"/>
      <c r="AK75" s="40"/>
      <c r="AL75" s="40"/>
      <c r="AM75" s="40">
        <f>SUM(AF75:AL75)+AT75</f>
        <v>2</v>
      </c>
      <c r="AN75" s="40"/>
      <c r="AO75" s="40"/>
      <c r="AP75" s="40"/>
      <c r="AQ75" s="40"/>
      <c r="AR75" s="40">
        <f>SUM(AN75:AQ75)</f>
        <v>0</v>
      </c>
      <c r="AS75" s="40"/>
      <c r="AT75" s="40"/>
      <c r="AU75" s="40"/>
      <c r="AV75" s="40"/>
      <c r="AW75" s="40"/>
      <c r="AX75" s="40"/>
      <c r="AY75" s="40"/>
      <c r="AZ75" s="40"/>
      <c r="BA75" s="40">
        <f>+AR75+AS75+AU75+AV75+AX75</f>
        <v>0</v>
      </c>
      <c r="BB75" s="36">
        <v>1</v>
      </c>
      <c r="BC75" s="54"/>
      <c r="BD75" s="54"/>
      <c r="BE75" s="36"/>
      <c r="BF75" s="54"/>
    </row>
    <row r="76" spans="1:58" ht="12.95" customHeight="1">
      <c r="A76" s="43"/>
      <c r="B76" s="44" t="s">
        <v>586</v>
      </c>
      <c r="C76" s="447">
        <f t="shared" si="133"/>
        <v>17.091476599999996</v>
      </c>
      <c r="D76" s="44" t="s">
        <v>425</v>
      </c>
      <c r="E76" s="45">
        <v>22</v>
      </c>
      <c r="F76" s="45">
        <v>1</v>
      </c>
      <c r="G76" s="502">
        <v>735</v>
      </c>
      <c r="H76" s="47">
        <f t="shared" si="134"/>
        <v>0.14000000000000001</v>
      </c>
      <c r="I76" s="48">
        <v>0.88</v>
      </c>
      <c r="J76" s="85">
        <f t="shared" si="135"/>
        <v>55.068551999999997</v>
      </c>
      <c r="K76" s="85">
        <f t="shared" si="136"/>
        <v>17.091476599999996</v>
      </c>
      <c r="L76" s="603">
        <v>740</v>
      </c>
      <c r="M76" s="38">
        <v>636.4</v>
      </c>
      <c r="N76" s="49">
        <f t="shared" si="137"/>
        <v>0.14000000000000001</v>
      </c>
      <c r="O76" s="50">
        <f>+'Trim Rwd'!H43</f>
        <v>257</v>
      </c>
      <c r="P76" s="51">
        <f t="shared" si="138"/>
        <v>119505</v>
      </c>
      <c r="Q76" s="50">
        <v>475</v>
      </c>
      <c r="R76" s="503">
        <v>0</v>
      </c>
      <c r="S76" s="503">
        <v>10</v>
      </c>
      <c r="T76" s="40">
        <f t="shared" si="139"/>
        <v>17.091476599999996</v>
      </c>
      <c r="U76" s="40">
        <f t="shared" si="140"/>
        <v>16.731656039999997</v>
      </c>
      <c r="V76" s="40">
        <f t="shared" si="141"/>
        <v>0.35738934</v>
      </c>
      <c r="W76" s="40">
        <f>+'13'!K14/1000</f>
        <v>13.879</v>
      </c>
      <c r="X76" s="41"/>
      <c r="Y76" s="214"/>
      <c r="Z76" s="40"/>
      <c r="AA76" s="40"/>
      <c r="AB76" s="40"/>
      <c r="AC76" s="40">
        <f>K76-T76</f>
        <v>0</v>
      </c>
      <c r="AD76" s="40">
        <f t="shared" ref="AD76:AD78" si="142">+AM76+BA76</f>
        <v>11</v>
      </c>
      <c r="AE76" s="233" t="s">
        <v>457</v>
      </c>
      <c r="AF76" s="40"/>
      <c r="AG76" s="40">
        <v>11</v>
      </c>
      <c r="AH76" s="40"/>
      <c r="AI76" s="505"/>
      <c r="AJ76" s="40"/>
      <c r="AK76" s="40"/>
      <c r="AL76" s="40"/>
      <c r="AM76" s="40">
        <f t="shared" ref="AM76:AM78" si="143">SUM(AF76:AL76)+AT76</f>
        <v>11</v>
      </c>
      <c r="AN76" s="86"/>
      <c r="AO76" s="40"/>
      <c r="AP76" s="40"/>
      <c r="AQ76" s="40"/>
      <c r="AR76" s="40">
        <f t="shared" ref="AR76:AR78" si="144">SUM(AN76:AQ76)</f>
        <v>0</v>
      </c>
      <c r="AS76" s="40"/>
      <c r="AT76" s="40"/>
      <c r="AU76" s="40"/>
      <c r="AV76" s="40"/>
      <c r="AW76" s="40"/>
      <c r="AX76" s="40"/>
      <c r="AY76" s="40"/>
      <c r="AZ76" s="40"/>
      <c r="BA76" s="40">
        <f t="shared" ref="BA76:BA78" si="145">+AR76+AS76+AU76+AV76+AX76</f>
        <v>0</v>
      </c>
      <c r="BB76" s="53"/>
      <c r="BC76" s="54">
        <v>7</v>
      </c>
      <c r="BD76" s="54"/>
      <c r="BE76" s="53"/>
      <c r="BF76" s="54"/>
    </row>
    <row r="77" spans="1:58" ht="12.95" customHeight="1">
      <c r="A77" s="43"/>
      <c r="B77" s="44"/>
      <c r="C77" s="447"/>
      <c r="D77" s="44"/>
      <c r="E77" s="45"/>
      <c r="F77" s="45"/>
      <c r="G77" s="502"/>
      <c r="H77" s="47"/>
      <c r="I77" s="48"/>
      <c r="J77" s="85"/>
      <c r="K77" s="85"/>
      <c r="L77" s="603"/>
      <c r="M77" s="38"/>
      <c r="N77" s="49"/>
      <c r="O77" s="50"/>
      <c r="P77" s="51"/>
      <c r="Q77" s="50"/>
      <c r="R77" s="503"/>
      <c r="S77" s="503"/>
      <c r="T77" s="40"/>
      <c r="U77" s="40"/>
      <c r="V77" s="40"/>
      <c r="W77" s="40"/>
      <c r="X77" s="41"/>
      <c r="Y77" s="214"/>
      <c r="Z77" s="40"/>
      <c r="AA77" s="40"/>
      <c r="AB77" s="40"/>
      <c r="AC77" s="40"/>
      <c r="AD77" s="40">
        <f t="shared" si="142"/>
        <v>19</v>
      </c>
      <c r="AE77" s="233" t="s">
        <v>490</v>
      </c>
      <c r="AF77" s="36"/>
      <c r="AG77" s="36"/>
      <c r="AH77" s="36">
        <v>19</v>
      </c>
      <c r="AJ77" s="40"/>
      <c r="AK77" s="40"/>
      <c r="AL77" s="40"/>
      <c r="AM77" s="40">
        <f t="shared" si="143"/>
        <v>19</v>
      </c>
      <c r="AN77" s="40"/>
      <c r="AO77" s="40"/>
      <c r="AP77" s="40"/>
      <c r="AQ77" s="40"/>
      <c r="AR77" s="40">
        <f t="shared" si="144"/>
        <v>0</v>
      </c>
      <c r="AS77" s="40"/>
      <c r="AT77" s="40"/>
      <c r="AU77" s="40"/>
      <c r="AV77" s="40"/>
      <c r="AW77" s="40"/>
      <c r="AX77" s="40"/>
      <c r="AY77" s="40"/>
      <c r="AZ77" s="40"/>
      <c r="BA77" s="40">
        <f t="shared" si="145"/>
        <v>0</v>
      </c>
      <c r="BB77" s="36"/>
      <c r="BC77" s="506"/>
      <c r="BD77" s="506"/>
      <c r="BE77" s="36"/>
      <c r="BF77" s="506"/>
    </row>
    <row r="78" spans="1:58" ht="12.95" customHeight="1">
      <c r="A78" s="43"/>
      <c r="B78" s="44"/>
      <c r="C78" s="447"/>
      <c r="D78" s="44"/>
      <c r="E78" s="45"/>
      <c r="F78" s="45"/>
      <c r="G78" s="46"/>
      <c r="H78" s="47"/>
      <c r="I78" s="48"/>
      <c r="J78" s="85"/>
      <c r="K78" s="85"/>
      <c r="L78" s="603"/>
      <c r="M78" s="38"/>
      <c r="N78" s="49"/>
      <c r="O78" s="50"/>
      <c r="P78" s="51"/>
      <c r="Q78" s="37"/>
      <c r="R78" s="503"/>
      <c r="S78" s="503"/>
      <c r="T78" s="40"/>
      <c r="U78" s="40"/>
      <c r="V78" s="40"/>
      <c r="W78" s="40"/>
      <c r="X78" s="41"/>
      <c r="Y78" s="214"/>
      <c r="Z78" s="40"/>
      <c r="AA78" s="40"/>
      <c r="AB78" s="40"/>
      <c r="AC78" s="40"/>
      <c r="AD78" s="40">
        <f t="shared" si="142"/>
        <v>12</v>
      </c>
      <c r="AE78" s="236" t="s">
        <v>228</v>
      </c>
      <c r="AF78" s="40"/>
      <c r="AG78" s="40"/>
      <c r="AH78" s="40"/>
      <c r="AI78" s="505">
        <v>12</v>
      </c>
      <c r="AJ78" s="40"/>
      <c r="AK78" s="40"/>
      <c r="AL78" s="40"/>
      <c r="AM78" s="40">
        <f t="shared" si="143"/>
        <v>12</v>
      </c>
      <c r="AN78" s="40"/>
      <c r="AO78" s="40"/>
      <c r="AP78" s="40"/>
      <c r="AQ78" s="40"/>
      <c r="AR78" s="40">
        <f t="shared" si="144"/>
        <v>0</v>
      </c>
      <c r="AS78" s="40"/>
      <c r="AT78" s="40"/>
      <c r="AU78" s="40"/>
      <c r="AV78" s="40"/>
      <c r="AW78" s="40"/>
      <c r="AX78" s="40"/>
      <c r="AY78" s="40"/>
      <c r="AZ78" s="40"/>
      <c r="BA78" s="40">
        <f t="shared" si="145"/>
        <v>0</v>
      </c>
      <c r="BB78" s="53"/>
      <c r="BC78" s="54"/>
      <c r="BD78" s="54"/>
      <c r="BE78" s="53"/>
      <c r="BF78" s="54"/>
    </row>
    <row r="79" spans="1:58" ht="12.95" customHeight="1">
      <c r="A79" s="43"/>
      <c r="B79" s="44"/>
      <c r="C79" s="447"/>
      <c r="D79" s="44"/>
      <c r="E79" s="45"/>
      <c r="F79" s="45"/>
      <c r="G79" s="46"/>
      <c r="H79" s="46"/>
      <c r="I79" s="48"/>
      <c r="J79" s="85"/>
      <c r="K79" s="85"/>
      <c r="L79" s="603"/>
      <c r="M79" s="38"/>
      <c r="N79" s="49"/>
      <c r="O79" s="50"/>
      <c r="P79" s="51"/>
      <c r="Q79" s="50"/>
      <c r="R79" s="503"/>
      <c r="S79" s="503"/>
      <c r="T79" s="40"/>
      <c r="U79" s="40"/>
      <c r="V79" s="40"/>
      <c r="W79" s="40"/>
      <c r="X79" s="41"/>
      <c r="Y79" s="214"/>
      <c r="Z79" s="40"/>
      <c r="AA79" s="40"/>
      <c r="AB79" s="40"/>
      <c r="AC79" s="40"/>
      <c r="AD79" s="40"/>
      <c r="AE79" s="233"/>
      <c r="AF79" s="40"/>
      <c r="AG79" s="40"/>
      <c r="AH79" s="40"/>
      <c r="AI79" s="505"/>
      <c r="AJ79" s="40"/>
      <c r="AK79" s="40"/>
      <c r="AL79" s="40"/>
      <c r="AM79" s="40"/>
      <c r="AN79" s="86"/>
      <c r="AO79" s="40"/>
      <c r="AP79" s="40"/>
      <c r="AQ79" s="40"/>
      <c r="AR79" s="40"/>
      <c r="AS79" s="40"/>
      <c r="AT79" s="40"/>
      <c r="AU79" s="40"/>
      <c r="AV79" s="40"/>
      <c r="AW79" s="40"/>
      <c r="AX79" s="40"/>
      <c r="AY79" s="40"/>
      <c r="AZ79" s="40"/>
      <c r="BA79" s="40"/>
      <c r="BB79" s="53"/>
      <c r="BC79" s="54"/>
      <c r="BD79" s="54"/>
      <c r="BE79" s="54"/>
      <c r="BF79" s="54"/>
    </row>
    <row r="80" spans="1:58" ht="12.75" customHeight="1">
      <c r="A80" s="43">
        <v>46095</v>
      </c>
      <c r="B80" s="44" t="s">
        <v>586</v>
      </c>
      <c r="C80" s="447">
        <f t="shared" ref="C80" si="146">(M80*E80*O80*Q80)/100000000</f>
        <v>52.047557759999997</v>
      </c>
      <c r="D80" s="44" t="s">
        <v>425</v>
      </c>
      <c r="E80" s="45">
        <v>22</v>
      </c>
      <c r="F80" s="45">
        <v>1</v>
      </c>
      <c r="G80" s="502">
        <v>735</v>
      </c>
      <c r="H80" s="47">
        <f t="shared" ref="H80" si="147">+N80</f>
        <v>0.14000000000000001</v>
      </c>
      <c r="I80" s="48">
        <v>0.88</v>
      </c>
      <c r="J80" s="85">
        <f t="shared" ref="J80" si="148">E80*G80*(1-H80)*1440/1000000*2.75</f>
        <v>55.068551999999997</v>
      </c>
      <c r="K80" s="85">
        <f t="shared" ref="K80" si="149">(IF(G80&lt;L80,L80,G80)*(1-IF(H80&lt;N80,H80,N80))*E80*O80*Q80)/100000000</f>
        <v>52.047557759999997</v>
      </c>
      <c r="L80" s="603">
        <v>743.33333333333337</v>
      </c>
      <c r="M80" s="38">
        <v>639.26666666666665</v>
      </c>
      <c r="N80" s="49">
        <f t="shared" ref="N80" si="150">1-(M80/L80)</f>
        <v>0.14000000000000001</v>
      </c>
      <c r="O80" s="50">
        <f>+'Trim Rwd'!H47</f>
        <v>257</v>
      </c>
      <c r="P80" s="51">
        <f t="shared" ref="P80" si="151">O80*(Q80-R80-S80)</f>
        <v>358001</v>
      </c>
      <c r="Q80" s="50">
        <v>1440</v>
      </c>
      <c r="R80" s="503">
        <v>0</v>
      </c>
      <c r="S80" s="503">
        <v>47</v>
      </c>
      <c r="T80" s="40">
        <f t="shared" ref="T80" si="152">E80*M80*O80*Q80/100000000</f>
        <v>52.047557759999997</v>
      </c>
      <c r="U80" s="40">
        <f t="shared" ref="U80" si="153">E80*M80*O80*(Q80-R80-S80)/100000000</f>
        <v>50.348783305333335</v>
      </c>
      <c r="V80" s="40">
        <f t="shared" ref="V80" si="154">E80*G80*(1-N80)*O80/100*(R80+S80)/1000000</f>
        <v>1.6797298979999999</v>
      </c>
      <c r="W80" s="40">
        <f>+'14'!K14/1000</f>
        <v>51.557000000000002</v>
      </c>
      <c r="X80" s="504">
        <f>SUM(W80:W83)/SUM(K80:K83)</f>
        <v>0.99057481693450367</v>
      </c>
      <c r="Y80" s="214">
        <v>0</v>
      </c>
      <c r="Z80" s="40">
        <v>0</v>
      </c>
      <c r="AA80" s="52">
        <f>SUM(U80:U83)-SUM(W80:W83)-SUM(Z80:Z83)-SUM(Y80:Y83)</f>
        <v>-1.2082166946666675</v>
      </c>
      <c r="AB80" s="52">
        <f>(SUM(K80:K83)-SUM(W80:W83)-SUM(Y80:Y83)-SUM(Z80:Z83)-SUM(AC80:AC83)-SUM(V80:V83))-AA80</f>
        <v>1.9044556666661938E-2</v>
      </c>
      <c r="AC80" s="40">
        <f>K80-T80</f>
        <v>0</v>
      </c>
      <c r="AD80" s="40">
        <f>+AM80+BA80</f>
        <v>4</v>
      </c>
      <c r="AE80" s="233" t="s">
        <v>486</v>
      </c>
      <c r="AF80" s="40">
        <v>4</v>
      </c>
      <c r="AG80" s="40"/>
      <c r="AH80" s="40"/>
      <c r="AI80" s="505"/>
      <c r="AJ80" s="40"/>
      <c r="AK80" s="40"/>
      <c r="AL80" s="40"/>
      <c r="AM80" s="40">
        <f>SUM(AF80:AL80)+AT80</f>
        <v>4</v>
      </c>
      <c r="AN80" s="40"/>
      <c r="AO80" s="40"/>
      <c r="AP80" s="40"/>
      <c r="AQ80" s="40"/>
      <c r="AR80" s="40">
        <f>SUM(AN80:AQ80)</f>
        <v>0</v>
      </c>
      <c r="AS80" s="40"/>
      <c r="AT80" s="40"/>
      <c r="AU80" s="40"/>
      <c r="AV80" s="40"/>
      <c r="AW80" s="40"/>
      <c r="AX80" s="40"/>
      <c r="AY80" s="40"/>
      <c r="AZ80" s="40"/>
      <c r="BA80" s="40">
        <f>+AR80+AS80+AU80+AV80+AX80</f>
        <v>0</v>
      </c>
      <c r="BB80" s="36">
        <v>2</v>
      </c>
      <c r="BC80" s="54"/>
      <c r="BD80" s="54"/>
      <c r="BE80" s="36"/>
      <c r="BF80" s="54"/>
    </row>
    <row r="81" spans="1:58" ht="12.95" customHeight="1">
      <c r="A81" s="43"/>
      <c r="B81" s="44"/>
      <c r="C81" s="447"/>
      <c r="D81" s="44"/>
      <c r="E81" s="45"/>
      <c r="F81" s="45"/>
      <c r="G81" s="502"/>
      <c r="H81" s="47"/>
      <c r="I81" s="48"/>
      <c r="J81" s="85"/>
      <c r="K81" s="85"/>
      <c r="L81" s="603"/>
      <c r="M81" s="38"/>
      <c r="N81" s="49"/>
      <c r="O81" s="50"/>
      <c r="P81" s="51"/>
      <c r="Q81" s="50"/>
      <c r="R81" s="503"/>
      <c r="S81" s="503"/>
      <c r="T81" s="40"/>
      <c r="U81" s="40"/>
      <c r="V81" s="40"/>
      <c r="W81" s="40"/>
      <c r="X81" s="41"/>
      <c r="Y81" s="214"/>
      <c r="Z81" s="40"/>
      <c r="AA81" s="40"/>
      <c r="AB81" s="40"/>
      <c r="AC81" s="40">
        <f>K81-T81</f>
        <v>0</v>
      </c>
      <c r="AD81" s="40">
        <f t="shared" ref="AD81:AD83" si="155">+AM81+BA81</f>
        <v>6</v>
      </c>
      <c r="AE81" s="233" t="s">
        <v>399</v>
      </c>
      <c r="AF81" s="40"/>
      <c r="AG81" s="40">
        <v>6</v>
      </c>
      <c r="AH81" s="40"/>
      <c r="AI81" s="505"/>
      <c r="AJ81" s="40"/>
      <c r="AK81" s="40"/>
      <c r="AL81" s="40"/>
      <c r="AM81" s="40">
        <f t="shared" ref="AM81:AM83" si="156">SUM(AF81:AL81)+AT81</f>
        <v>6</v>
      </c>
      <c r="AN81" s="86"/>
      <c r="AO81" s="40"/>
      <c r="AP81" s="40"/>
      <c r="AQ81" s="40"/>
      <c r="AR81" s="40">
        <f t="shared" ref="AR81:AR83" si="157">SUM(AN81:AQ81)</f>
        <v>0</v>
      </c>
      <c r="AS81" s="40"/>
      <c r="AT81" s="40"/>
      <c r="AU81" s="40"/>
      <c r="AV81" s="40"/>
      <c r="AW81" s="40"/>
      <c r="AX81" s="40"/>
      <c r="AY81" s="40"/>
      <c r="AZ81" s="40"/>
      <c r="BA81" s="40">
        <f t="shared" ref="BA81:BA83" si="158">+AR81+AS81+AU81+AV81+AX81</f>
        <v>0</v>
      </c>
      <c r="BB81" s="53"/>
      <c r="BC81" s="54">
        <v>6</v>
      </c>
      <c r="BD81" s="54"/>
      <c r="BE81" s="53"/>
      <c r="BF81" s="54"/>
    </row>
    <row r="82" spans="1:58" ht="12.95" customHeight="1">
      <c r="A82" s="43"/>
      <c r="B82" s="44"/>
      <c r="C82" s="447"/>
      <c r="D82" s="44"/>
      <c r="E82" s="45"/>
      <c r="F82" s="45"/>
      <c r="G82" s="502"/>
      <c r="H82" s="47"/>
      <c r="I82" s="48"/>
      <c r="J82" s="85"/>
      <c r="K82" s="85"/>
      <c r="L82" s="603"/>
      <c r="M82" s="38"/>
      <c r="N82" s="49"/>
      <c r="O82" s="50"/>
      <c r="P82" s="51"/>
      <c r="Q82" s="50"/>
      <c r="R82" s="503"/>
      <c r="S82" s="503"/>
      <c r="T82" s="40"/>
      <c r="U82" s="40"/>
      <c r="V82" s="40"/>
      <c r="W82" s="40"/>
      <c r="X82" s="41"/>
      <c r="Y82" s="214"/>
      <c r="Z82" s="40"/>
      <c r="AA82" s="40"/>
      <c r="AB82" s="40"/>
      <c r="AC82" s="40"/>
      <c r="AD82" s="40">
        <f t="shared" si="155"/>
        <v>18</v>
      </c>
      <c r="AE82" s="233" t="s">
        <v>618</v>
      </c>
      <c r="AF82" s="36"/>
      <c r="AG82" s="36"/>
      <c r="AH82" s="36">
        <v>18</v>
      </c>
      <c r="AJ82" s="40"/>
      <c r="AK82" s="40"/>
      <c r="AL82" s="40"/>
      <c r="AM82" s="40">
        <f t="shared" si="156"/>
        <v>18</v>
      </c>
      <c r="AN82" s="40"/>
      <c r="AO82" s="40"/>
      <c r="AP82" s="40"/>
      <c r="AQ82" s="40"/>
      <c r="AR82" s="40">
        <f t="shared" si="157"/>
        <v>0</v>
      </c>
      <c r="AS82" s="40"/>
      <c r="AT82" s="40"/>
      <c r="AU82" s="40"/>
      <c r="AV82" s="40"/>
      <c r="AW82" s="40"/>
      <c r="AX82" s="40"/>
      <c r="AY82" s="40"/>
      <c r="AZ82" s="40"/>
      <c r="BA82" s="40">
        <f t="shared" si="158"/>
        <v>0</v>
      </c>
      <c r="BB82" s="36"/>
      <c r="BC82" s="506"/>
      <c r="BD82" s="506"/>
      <c r="BE82" s="36"/>
      <c r="BF82" s="506"/>
    </row>
    <row r="83" spans="1:58" ht="12.95" customHeight="1">
      <c r="A83" s="43"/>
      <c r="B83" s="44"/>
      <c r="C83" s="447"/>
      <c r="D83" s="44"/>
      <c r="E83" s="45"/>
      <c r="F83" s="45"/>
      <c r="G83" s="46"/>
      <c r="H83" s="47"/>
      <c r="I83" s="48"/>
      <c r="J83" s="85"/>
      <c r="K83" s="85"/>
      <c r="L83" s="603"/>
      <c r="M83" s="38"/>
      <c r="N83" s="49"/>
      <c r="O83" s="50"/>
      <c r="P83" s="51"/>
      <c r="Q83" s="37"/>
      <c r="R83" s="503"/>
      <c r="S83" s="503"/>
      <c r="T83" s="40"/>
      <c r="U83" s="40"/>
      <c r="V83" s="40"/>
      <c r="W83" s="40"/>
      <c r="X83" s="41"/>
      <c r="Y83" s="214"/>
      <c r="Z83" s="40"/>
      <c r="AA83" s="40"/>
      <c r="AB83" s="40"/>
      <c r="AC83" s="40"/>
      <c r="AD83" s="40">
        <f t="shared" si="155"/>
        <v>19</v>
      </c>
      <c r="AE83" s="236" t="s">
        <v>228</v>
      </c>
      <c r="AF83" s="40"/>
      <c r="AG83" s="40"/>
      <c r="AH83" s="40"/>
      <c r="AI83" s="505">
        <v>19</v>
      </c>
      <c r="AJ83" s="40"/>
      <c r="AK83" s="40"/>
      <c r="AL83" s="40"/>
      <c r="AM83" s="40">
        <f t="shared" si="156"/>
        <v>19</v>
      </c>
      <c r="AN83" s="40"/>
      <c r="AO83" s="40"/>
      <c r="AP83" s="40"/>
      <c r="AQ83" s="40"/>
      <c r="AR83" s="40">
        <f t="shared" si="157"/>
        <v>0</v>
      </c>
      <c r="AS83" s="40"/>
      <c r="AT83" s="40"/>
      <c r="AU83" s="40"/>
      <c r="AV83" s="40"/>
      <c r="AW83" s="40"/>
      <c r="AX83" s="40"/>
      <c r="AY83" s="40"/>
      <c r="AZ83" s="40"/>
      <c r="BA83" s="40">
        <f t="shared" si="158"/>
        <v>0</v>
      </c>
      <c r="BB83" s="53"/>
      <c r="BC83" s="54"/>
      <c r="BD83" s="54"/>
      <c r="BE83" s="53"/>
      <c r="BF83" s="54"/>
    </row>
    <row r="84" spans="1:58" ht="12.95" customHeight="1">
      <c r="A84" s="43"/>
      <c r="B84" s="44"/>
      <c r="C84" s="447"/>
      <c r="D84" s="44"/>
      <c r="E84" s="45"/>
      <c r="F84" s="45"/>
      <c r="G84" s="46"/>
      <c r="H84" s="46"/>
      <c r="I84" s="48"/>
      <c r="J84" s="85"/>
      <c r="K84" s="85"/>
      <c r="L84" s="603"/>
      <c r="M84" s="38"/>
      <c r="N84" s="49"/>
      <c r="O84" s="50"/>
      <c r="P84" s="51"/>
      <c r="Q84" s="50"/>
      <c r="R84" s="503"/>
      <c r="S84" s="503"/>
      <c r="T84" s="40"/>
      <c r="U84" s="40"/>
      <c r="V84" s="40"/>
      <c r="W84" s="40"/>
      <c r="X84" s="41"/>
      <c r="Y84" s="214"/>
      <c r="Z84" s="40"/>
      <c r="AA84" s="40"/>
      <c r="AB84" s="40"/>
      <c r="AC84" s="40"/>
      <c r="AD84" s="40"/>
      <c r="AE84" s="233"/>
      <c r="AF84" s="40"/>
      <c r="AG84" s="40"/>
      <c r="AH84" s="40"/>
      <c r="AI84" s="505"/>
      <c r="AJ84" s="40"/>
      <c r="AK84" s="40"/>
      <c r="AL84" s="40"/>
      <c r="AM84" s="40"/>
      <c r="AN84" s="86"/>
      <c r="AO84" s="40"/>
      <c r="AP84" s="40"/>
      <c r="AQ84" s="40"/>
      <c r="AR84" s="40"/>
      <c r="AS84" s="40"/>
      <c r="AT84" s="40"/>
      <c r="AU84" s="40"/>
      <c r="AV84" s="40"/>
      <c r="AW84" s="40"/>
      <c r="AX84" s="40"/>
      <c r="AY84" s="40"/>
      <c r="AZ84" s="40"/>
      <c r="BA84" s="40"/>
      <c r="BB84" s="53"/>
      <c r="BC84" s="54"/>
      <c r="BD84" s="54"/>
      <c r="BE84" s="54"/>
      <c r="BF84" s="54"/>
    </row>
    <row r="85" spans="1:58" ht="12.75" customHeight="1">
      <c r="A85" s="43">
        <v>46096</v>
      </c>
      <c r="B85" s="44" t="s">
        <v>586</v>
      </c>
      <c r="C85" s="447">
        <f t="shared" ref="C85" si="159">(M85*E85*O85*Q85)/100000000</f>
        <v>51.718660446315795</v>
      </c>
      <c r="D85" s="44" t="s">
        <v>425</v>
      </c>
      <c r="E85" s="45">
        <v>22</v>
      </c>
      <c r="F85" s="45">
        <v>1</v>
      </c>
      <c r="G85" s="502">
        <v>735</v>
      </c>
      <c r="H85" s="47">
        <f t="shared" ref="H85" si="160">+N85</f>
        <v>0.14000000000000001</v>
      </c>
      <c r="I85" s="48">
        <v>0.88</v>
      </c>
      <c r="J85" s="85">
        <f t="shared" ref="J85" si="161">E85*G85*(1-H85)*1440/1000000*2.75</f>
        <v>55.068551999999997</v>
      </c>
      <c r="K85" s="85">
        <f t="shared" ref="K85" si="162">(IF(G85&lt;L85,L85,G85)*(1-IF(H85&lt;N85,H85,N85))*E85*O85*Q85)/100000000</f>
        <v>51.718660446315795</v>
      </c>
      <c r="L85" s="603">
        <v>740</v>
      </c>
      <c r="M85" s="38">
        <v>636.4</v>
      </c>
      <c r="N85" s="49">
        <f t="shared" ref="N85" si="163">1-(M85/L85)</f>
        <v>0.14000000000000001</v>
      </c>
      <c r="O85" s="50">
        <f>+'Trim Rwd'!H49</f>
        <v>256.5263157894737</v>
      </c>
      <c r="P85" s="51">
        <f t="shared" ref="P85" si="164">O85*(Q85-R85-S85)</f>
        <v>356315.05263157899</v>
      </c>
      <c r="Q85" s="50">
        <v>1440</v>
      </c>
      <c r="R85" s="503">
        <v>0</v>
      </c>
      <c r="S85" s="503">
        <v>51</v>
      </c>
      <c r="T85" s="40">
        <f t="shared" ref="T85" si="165">E85*M85*O85*Q85/100000000</f>
        <v>51.718660446315795</v>
      </c>
      <c r="U85" s="40">
        <f t="shared" ref="U85" si="166">E85*M85*O85*(Q85-R85-S85)/100000000</f>
        <v>49.886957888842105</v>
      </c>
      <c r="V85" s="40">
        <f t="shared" ref="V85" si="167">E85*G85*(1-N85)*O85/100*(R85+S85)/1000000</f>
        <v>1.8193261888421055</v>
      </c>
      <c r="W85" s="40">
        <f>+'15'!K14/1000</f>
        <v>52.259</v>
      </c>
      <c r="X85" s="504">
        <f>SUM(W85:W88)/SUM(K85:K88)</f>
        <v>1.0104476710924306</v>
      </c>
      <c r="Y85" s="214">
        <v>0</v>
      </c>
      <c r="Z85" s="40">
        <f>+'15'!D16/1000</f>
        <v>0.95</v>
      </c>
      <c r="AA85" s="52">
        <f>SUM(U85:U88)-SUM(W85:W88)-SUM(Z85:Z88)-SUM(Y85:Y88)</f>
        <v>-3.3220421111578959</v>
      </c>
      <c r="AB85" s="52">
        <f>(SUM(K85:K88)-SUM(W85:W88)-SUM(Y85:Y88)-SUM(Z85:Z88)-SUM(AC85:AC88)-SUM(V85:V88))-AA85</f>
        <v>1.2376368631584977E-2</v>
      </c>
      <c r="AC85" s="40">
        <f>K85-T85</f>
        <v>0</v>
      </c>
      <c r="AD85" s="40">
        <f>+AM85+BA85</f>
        <v>4</v>
      </c>
      <c r="AE85" s="233" t="s">
        <v>486</v>
      </c>
      <c r="AF85" s="40">
        <v>4</v>
      </c>
      <c r="AG85" s="40"/>
      <c r="AH85" s="40"/>
      <c r="AI85" s="505"/>
      <c r="AJ85" s="40"/>
      <c r="AK85" s="40"/>
      <c r="AL85" s="40"/>
      <c r="AM85" s="40">
        <f>SUM(AF85:AL85)+AT85</f>
        <v>4</v>
      </c>
      <c r="AN85" s="40"/>
      <c r="AO85" s="40"/>
      <c r="AP85" s="40"/>
      <c r="AQ85" s="40"/>
      <c r="AR85" s="40">
        <f>SUM(AN85:AQ85)</f>
        <v>0</v>
      </c>
      <c r="AS85" s="40"/>
      <c r="AT85" s="40"/>
      <c r="AU85" s="40"/>
      <c r="AV85" s="40"/>
      <c r="AW85" s="40"/>
      <c r="AX85" s="40"/>
      <c r="AY85" s="40"/>
      <c r="AZ85" s="40"/>
      <c r="BA85" s="40">
        <f>+AR85+AS85+AU85+AV85+AX85</f>
        <v>0</v>
      </c>
      <c r="BB85" s="36">
        <v>2</v>
      </c>
      <c r="BC85" s="54"/>
      <c r="BD85" s="54"/>
      <c r="BE85" s="36"/>
      <c r="BF85" s="54"/>
    </row>
    <row r="86" spans="1:58" ht="12.95" customHeight="1">
      <c r="A86" s="43"/>
      <c r="B86" s="44"/>
      <c r="C86" s="447"/>
      <c r="D86" s="44"/>
      <c r="E86" s="45"/>
      <c r="F86" s="45"/>
      <c r="G86" s="502"/>
      <c r="H86" s="47"/>
      <c r="I86" s="48"/>
      <c r="J86" s="85"/>
      <c r="K86" s="85"/>
      <c r="L86" s="603"/>
      <c r="M86" s="38"/>
      <c r="N86" s="49"/>
      <c r="O86" s="50"/>
      <c r="P86" s="51"/>
      <c r="Q86" s="50"/>
      <c r="R86" s="503"/>
      <c r="S86" s="503"/>
      <c r="T86" s="40"/>
      <c r="U86" s="40"/>
      <c r="V86" s="40"/>
      <c r="W86" s="40"/>
      <c r="X86" s="41"/>
      <c r="Y86" s="214"/>
      <c r="Z86" s="40"/>
      <c r="AA86" s="40"/>
      <c r="AB86" s="40"/>
      <c r="AC86" s="40">
        <f>K86-T86</f>
        <v>0</v>
      </c>
      <c r="AD86" s="40">
        <f t="shared" ref="AD86:AD88" si="168">+AM86+BA86</f>
        <v>14</v>
      </c>
      <c r="AE86" s="233" t="s">
        <v>399</v>
      </c>
      <c r="AF86" s="40"/>
      <c r="AG86" s="40">
        <v>14</v>
      </c>
      <c r="AH86" s="40"/>
      <c r="AI86" s="505"/>
      <c r="AJ86" s="40"/>
      <c r="AK86" s="40"/>
      <c r="AL86" s="40"/>
      <c r="AM86" s="40">
        <f t="shared" ref="AM86:AM88" si="169">SUM(AF86:AL86)+AT86</f>
        <v>14</v>
      </c>
      <c r="AN86" s="86"/>
      <c r="AO86" s="40"/>
      <c r="AP86" s="40"/>
      <c r="AQ86" s="40"/>
      <c r="AR86" s="40">
        <f t="shared" ref="AR86:AR88" si="170">SUM(AN86:AQ86)</f>
        <v>0</v>
      </c>
      <c r="AS86" s="40"/>
      <c r="AT86" s="40"/>
      <c r="AU86" s="40"/>
      <c r="AV86" s="40"/>
      <c r="AW86" s="40"/>
      <c r="AX86" s="40"/>
      <c r="AY86" s="40"/>
      <c r="AZ86" s="40"/>
      <c r="BA86" s="40">
        <f t="shared" ref="BA86:BA88" si="171">+AR86+AS86+AU86+AV86+AX86</f>
        <v>0</v>
      </c>
      <c r="BB86" s="53"/>
      <c r="BC86" s="54">
        <v>6</v>
      </c>
      <c r="BD86" s="54"/>
      <c r="BE86" s="53"/>
      <c r="BF86" s="54"/>
    </row>
    <row r="87" spans="1:58" ht="12.95" customHeight="1">
      <c r="A87" s="43"/>
      <c r="B87" s="44"/>
      <c r="C87" s="447"/>
      <c r="D87" s="44"/>
      <c r="E87" s="45"/>
      <c r="F87" s="45"/>
      <c r="G87" s="502"/>
      <c r="H87" s="47"/>
      <c r="I87" s="48"/>
      <c r="J87" s="85"/>
      <c r="K87" s="85"/>
      <c r="L87" s="603"/>
      <c r="M87" s="38"/>
      <c r="N87" s="49"/>
      <c r="O87" s="50"/>
      <c r="P87" s="51"/>
      <c r="Q87" s="50"/>
      <c r="R87" s="503"/>
      <c r="S87" s="503"/>
      <c r="T87" s="40"/>
      <c r="U87" s="40"/>
      <c r="V87" s="40"/>
      <c r="W87" s="40"/>
      <c r="X87" s="41"/>
      <c r="Y87" s="214"/>
      <c r="Z87" s="40"/>
      <c r="AA87" s="40"/>
      <c r="AB87" s="40"/>
      <c r="AC87" s="40"/>
      <c r="AD87" s="40">
        <f t="shared" si="168"/>
        <v>25</v>
      </c>
      <c r="AE87" s="233" t="s">
        <v>475</v>
      </c>
      <c r="AF87" s="36"/>
      <c r="AG87" s="36"/>
      <c r="AH87" s="36">
        <v>25</v>
      </c>
      <c r="AJ87" s="40"/>
      <c r="AK87" s="40"/>
      <c r="AL87" s="40"/>
      <c r="AM87" s="40">
        <f t="shared" si="169"/>
        <v>25</v>
      </c>
      <c r="AN87" s="40"/>
      <c r="AO87" s="40"/>
      <c r="AP87" s="40"/>
      <c r="AQ87" s="40"/>
      <c r="AR87" s="40">
        <f t="shared" si="170"/>
        <v>0</v>
      </c>
      <c r="AS87" s="40"/>
      <c r="AT87" s="40"/>
      <c r="AU87" s="40"/>
      <c r="AV87" s="40"/>
      <c r="AW87" s="40"/>
      <c r="AX87" s="40"/>
      <c r="AY87" s="40"/>
      <c r="AZ87" s="40"/>
      <c r="BA87" s="40">
        <f t="shared" si="171"/>
        <v>0</v>
      </c>
      <c r="BB87" s="36"/>
      <c r="BC87" s="506"/>
      <c r="BD87" s="506"/>
      <c r="BE87" s="36"/>
      <c r="BF87" s="506"/>
    </row>
    <row r="88" spans="1:58" ht="12.95" customHeight="1">
      <c r="A88" s="43"/>
      <c r="B88" s="44"/>
      <c r="C88" s="447"/>
      <c r="D88" s="44"/>
      <c r="E88" s="45"/>
      <c r="F88" s="45"/>
      <c r="G88" s="46"/>
      <c r="H88" s="47"/>
      <c r="I88" s="48"/>
      <c r="J88" s="85"/>
      <c r="K88" s="85"/>
      <c r="L88" s="603"/>
      <c r="M88" s="38"/>
      <c r="N88" s="49"/>
      <c r="O88" s="50"/>
      <c r="P88" s="51"/>
      <c r="Q88" s="37"/>
      <c r="R88" s="503"/>
      <c r="S88" s="503"/>
      <c r="T88" s="40"/>
      <c r="U88" s="40"/>
      <c r="V88" s="40"/>
      <c r="W88" s="40"/>
      <c r="X88" s="41"/>
      <c r="Y88" s="214"/>
      <c r="Z88" s="40"/>
      <c r="AA88" s="40"/>
      <c r="AB88" s="40"/>
      <c r="AC88" s="40"/>
      <c r="AD88" s="40">
        <f t="shared" si="168"/>
        <v>8</v>
      </c>
      <c r="AE88" s="236" t="s">
        <v>228</v>
      </c>
      <c r="AF88" s="40"/>
      <c r="AG88" s="40"/>
      <c r="AH88" s="40"/>
      <c r="AI88" s="505">
        <v>8</v>
      </c>
      <c r="AJ88" s="40"/>
      <c r="AK88" s="40"/>
      <c r="AL88" s="40"/>
      <c r="AM88" s="40">
        <f t="shared" si="169"/>
        <v>8</v>
      </c>
      <c r="AN88" s="40"/>
      <c r="AO88" s="40"/>
      <c r="AP88" s="40"/>
      <c r="AQ88" s="40"/>
      <c r="AR88" s="40">
        <f t="shared" si="170"/>
        <v>0</v>
      </c>
      <c r="AS88" s="40"/>
      <c r="AT88" s="40"/>
      <c r="AU88" s="40"/>
      <c r="AV88" s="40"/>
      <c r="AW88" s="40"/>
      <c r="AX88" s="40"/>
      <c r="AY88" s="40"/>
      <c r="AZ88" s="40"/>
      <c r="BA88" s="40">
        <f t="shared" si="171"/>
        <v>0</v>
      </c>
      <c r="BB88" s="53"/>
      <c r="BC88" s="54"/>
      <c r="BD88" s="54"/>
      <c r="BE88" s="53"/>
      <c r="BF88" s="54"/>
    </row>
    <row r="89" spans="1:58" ht="12.95" customHeight="1">
      <c r="A89" s="43"/>
      <c r="B89" s="44"/>
      <c r="C89" s="447"/>
      <c r="D89" s="44"/>
      <c r="E89" s="45"/>
      <c r="F89" s="45"/>
      <c r="G89" s="46"/>
      <c r="H89" s="46"/>
      <c r="I89" s="48"/>
      <c r="J89" s="85"/>
      <c r="K89" s="85"/>
      <c r="L89" s="603"/>
      <c r="M89" s="38"/>
      <c r="N89" s="49"/>
      <c r="O89" s="50"/>
      <c r="P89" s="51"/>
      <c r="Q89" s="50"/>
      <c r="R89" s="503"/>
      <c r="S89" s="503"/>
      <c r="T89" s="40"/>
      <c r="U89" s="40"/>
      <c r="V89" s="40"/>
      <c r="W89" s="40"/>
      <c r="X89" s="41"/>
      <c r="Y89" s="214"/>
      <c r="Z89" s="40"/>
      <c r="AA89" s="40"/>
      <c r="AB89" s="40"/>
      <c r="AC89" s="40"/>
      <c r="AD89" s="40"/>
      <c r="AE89" s="233"/>
      <c r="AF89" s="36"/>
      <c r="AG89" s="36"/>
      <c r="AH89" s="36"/>
      <c r="AJ89" s="40"/>
      <c r="AK89" s="40"/>
      <c r="AL89" s="40"/>
      <c r="AM89" s="40"/>
      <c r="AN89" s="40"/>
      <c r="AO89" s="40"/>
      <c r="AP89" s="40"/>
      <c r="AQ89" s="40"/>
      <c r="AR89" s="40"/>
      <c r="AS89" s="40"/>
      <c r="AT89" s="40"/>
      <c r="AU89" s="40"/>
      <c r="AV89" s="40"/>
      <c r="AW89" s="40"/>
      <c r="AX89" s="40"/>
      <c r="AY89" s="40"/>
      <c r="AZ89" s="40"/>
      <c r="BA89" s="40"/>
      <c r="BB89" s="36"/>
      <c r="BC89" s="506"/>
      <c r="BD89" s="54"/>
      <c r="BE89" s="54"/>
      <c r="BF89" s="54"/>
    </row>
    <row r="90" spans="1:58" ht="12.75" customHeight="1">
      <c r="A90" s="43">
        <v>46097</v>
      </c>
      <c r="B90" s="44" t="s">
        <v>586</v>
      </c>
      <c r="C90" s="447">
        <f t="shared" ref="C90" si="172">(M90*E90*O90*Q90)/100000000</f>
        <v>51.612549119999997</v>
      </c>
      <c r="D90" s="44" t="s">
        <v>425</v>
      </c>
      <c r="E90" s="45">
        <v>22</v>
      </c>
      <c r="F90" s="45">
        <v>1</v>
      </c>
      <c r="G90" s="502">
        <v>735</v>
      </c>
      <c r="H90" s="47">
        <f t="shared" ref="H90" si="173">+N90</f>
        <v>0.14000000000000001</v>
      </c>
      <c r="I90" s="48">
        <v>0.88</v>
      </c>
      <c r="J90" s="85">
        <f t="shared" ref="J90" si="174">E90*G90*(1-H90)*1440/1000000*2.75</f>
        <v>55.068551999999997</v>
      </c>
      <c r="K90" s="85">
        <f t="shared" ref="K90" si="175">(IF(G90&lt;L90,L90,G90)*(1-IF(H90&lt;N90,H90,N90))*E90*O90*Q90)/100000000</f>
        <v>51.612549119999997</v>
      </c>
      <c r="L90" s="603">
        <v>740</v>
      </c>
      <c r="M90" s="38">
        <v>636.4</v>
      </c>
      <c r="N90" s="49">
        <f t="shared" ref="N90" si="176">1-(M90/L90)</f>
        <v>0.14000000000000001</v>
      </c>
      <c r="O90" s="50">
        <f>+'Trim Rwd'!H52</f>
        <v>256</v>
      </c>
      <c r="P90" s="51">
        <f t="shared" ref="P90" si="177">O90*(Q90-R90-S90)</f>
        <v>358144</v>
      </c>
      <c r="Q90" s="50">
        <v>1440</v>
      </c>
      <c r="R90" s="503">
        <v>0</v>
      </c>
      <c r="S90" s="503">
        <v>41</v>
      </c>
      <c r="T90" s="40">
        <f t="shared" ref="T90" si="178">E90*M90*O90*Q90/100000000</f>
        <v>51.612549119999997</v>
      </c>
      <c r="U90" s="40">
        <f t="shared" ref="U90" si="179">E90*M90*O90*(Q90-R90-S90)/100000000</f>
        <v>50.143025152</v>
      </c>
      <c r="V90" s="40">
        <f t="shared" ref="V90" si="180">E90*G90*(1-N90)*O90/100*(R90+S90)/1000000</f>
        <v>1.4595947519999999</v>
      </c>
      <c r="W90" s="40">
        <f>+'16'!K14/1000</f>
        <v>53.363</v>
      </c>
      <c r="X90" s="504">
        <f>SUM(W90:W93)/SUM(K90:K93)</f>
        <v>1.0339152184855311</v>
      </c>
      <c r="Y90" s="214">
        <v>0</v>
      </c>
      <c r="Z90" s="40">
        <v>0</v>
      </c>
      <c r="AA90" s="52">
        <f>SUM(U90:U93)-SUM(W90:W93)-SUM(Z90:Z93)-SUM(Y90:Y93)</f>
        <v>-3.2199748479999997</v>
      </c>
      <c r="AB90" s="52">
        <f>(SUM(K90:K93)-SUM(W90:W93)-SUM(Y90:Y93)-SUM(Z90:Z93)-SUM(AC90:AC93)-SUM(V90:V93))-AA90</f>
        <v>9.9292159999970764E-3</v>
      </c>
      <c r="AC90" s="40">
        <f>K90-T90</f>
        <v>0</v>
      </c>
      <c r="AD90" s="40">
        <f>+AM90+BA90</f>
        <v>0</v>
      </c>
      <c r="AE90" s="233" t="s">
        <v>391</v>
      </c>
      <c r="AF90" s="40">
        <v>0</v>
      </c>
      <c r="AG90" s="40"/>
      <c r="AH90" s="40"/>
      <c r="AI90" s="505"/>
      <c r="AJ90" s="40"/>
      <c r="AK90" s="40"/>
      <c r="AL90" s="40"/>
      <c r="AM90" s="40">
        <f>SUM(AF90:AL90)+AT90</f>
        <v>0</v>
      </c>
      <c r="AN90" s="40"/>
      <c r="AO90" s="40"/>
      <c r="AP90" s="40"/>
      <c r="AQ90" s="40"/>
      <c r="AR90" s="40">
        <f>SUM(AN90:AQ90)</f>
        <v>0</v>
      </c>
      <c r="AS90" s="40"/>
      <c r="AT90" s="40"/>
      <c r="AU90" s="40"/>
      <c r="AV90" s="40"/>
      <c r="AW90" s="40"/>
      <c r="AX90" s="40"/>
      <c r="AY90" s="40"/>
      <c r="AZ90" s="40"/>
      <c r="BA90" s="40">
        <f>+AR90+AS90+AU90+AV90+AX90</f>
        <v>0</v>
      </c>
      <c r="BB90" s="36">
        <v>0</v>
      </c>
      <c r="BC90" s="54"/>
      <c r="BD90" s="54"/>
      <c r="BE90" s="36"/>
      <c r="BF90" s="54"/>
    </row>
    <row r="91" spans="1:58" ht="12.95" customHeight="1">
      <c r="A91" s="43"/>
      <c r="B91" s="44"/>
      <c r="C91" s="447"/>
      <c r="D91" s="44"/>
      <c r="E91" s="45"/>
      <c r="F91" s="45"/>
      <c r="G91" s="502"/>
      <c r="H91" s="47"/>
      <c r="I91" s="48"/>
      <c r="J91" s="85"/>
      <c r="K91" s="85"/>
      <c r="L91" s="603"/>
      <c r="M91" s="38"/>
      <c r="N91" s="49"/>
      <c r="O91" s="50"/>
      <c r="P91" s="51"/>
      <c r="Q91" s="50"/>
      <c r="R91" s="503"/>
      <c r="S91" s="503"/>
      <c r="T91" s="40"/>
      <c r="U91" s="40"/>
      <c r="V91" s="40"/>
      <c r="W91" s="40"/>
      <c r="X91" s="41"/>
      <c r="Y91" s="214"/>
      <c r="Z91" s="40"/>
      <c r="AA91" s="40"/>
      <c r="AB91" s="40"/>
      <c r="AC91" s="40">
        <f>K91-T91</f>
        <v>0</v>
      </c>
      <c r="AD91" s="40">
        <f t="shared" ref="AD91:AD93" si="181">+AM91+BA91</f>
        <v>7</v>
      </c>
      <c r="AE91" s="233" t="s">
        <v>474</v>
      </c>
      <c r="AF91" s="40"/>
      <c r="AG91" s="40">
        <v>7</v>
      </c>
      <c r="AH91" s="40"/>
      <c r="AI91" s="505"/>
      <c r="AJ91" s="40"/>
      <c r="AK91" s="40"/>
      <c r="AL91" s="40"/>
      <c r="AM91" s="40">
        <f t="shared" ref="AM91:AM93" si="182">SUM(AF91:AL91)+AT91</f>
        <v>7</v>
      </c>
      <c r="AN91" s="86"/>
      <c r="AO91" s="40"/>
      <c r="AP91" s="40"/>
      <c r="AQ91" s="40"/>
      <c r="AR91" s="40">
        <f t="shared" ref="AR91:AR93" si="183">SUM(AN91:AQ91)</f>
        <v>0</v>
      </c>
      <c r="AS91" s="40"/>
      <c r="AT91" s="40"/>
      <c r="AU91" s="40"/>
      <c r="AV91" s="40"/>
      <c r="AW91" s="40"/>
      <c r="AX91" s="40"/>
      <c r="AY91" s="40"/>
      <c r="AZ91" s="40"/>
      <c r="BA91" s="40">
        <f t="shared" ref="BA91:BA93" si="184">+AR91+AS91+AU91+AV91+AX91</f>
        <v>0</v>
      </c>
      <c r="BB91" s="53"/>
      <c r="BC91" s="54">
        <v>4</v>
      </c>
      <c r="BD91" s="54"/>
      <c r="BE91" s="53"/>
      <c r="BF91" s="54"/>
    </row>
    <row r="92" spans="1:58" ht="12.95" customHeight="1">
      <c r="A92" s="43"/>
      <c r="B92" s="44"/>
      <c r="C92" s="447"/>
      <c r="D92" s="44"/>
      <c r="E92" s="45"/>
      <c r="F92" s="45"/>
      <c r="G92" s="502"/>
      <c r="H92" s="47"/>
      <c r="I92" s="48"/>
      <c r="J92" s="85"/>
      <c r="K92" s="85"/>
      <c r="L92" s="603"/>
      <c r="M92" s="38"/>
      <c r="N92" s="49"/>
      <c r="O92" s="50"/>
      <c r="P92" s="51"/>
      <c r="Q92" s="50"/>
      <c r="R92" s="503"/>
      <c r="S92" s="503"/>
      <c r="T92" s="40"/>
      <c r="U92" s="40"/>
      <c r="V92" s="40"/>
      <c r="W92" s="40"/>
      <c r="X92" s="41"/>
      <c r="Y92" s="214"/>
      <c r="Z92" s="40"/>
      <c r="AA92" s="40"/>
      <c r="AB92" s="40"/>
      <c r="AC92" s="40"/>
      <c r="AD92" s="40">
        <f t="shared" si="181"/>
        <v>26</v>
      </c>
      <c r="AE92" s="233" t="s">
        <v>462</v>
      </c>
      <c r="AF92" s="36"/>
      <c r="AG92" s="36"/>
      <c r="AH92" s="36">
        <v>26</v>
      </c>
      <c r="AJ92" s="40"/>
      <c r="AK92" s="40"/>
      <c r="AL92" s="40"/>
      <c r="AM92" s="40">
        <f t="shared" si="182"/>
        <v>26</v>
      </c>
      <c r="AN92" s="40"/>
      <c r="AO92" s="40"/>
      <c r="AP92" s="40"/>
      <c r="AQ92" s="40"/>
      <c r="AR92" s="40">
        <f t="shared" si="183"/>
        <v>0</v>
      </c>
      <c r="AS92" s="40"/>
      <c r="AT92" s="40"/>
      <c r="AU92" s="40"/>
      <c r="AV92" s="40"/>
      <c r="AW92" s="40"/>
      <c r="AX92" s="40"/>
      <c r="AY92" s="40"/>
      <c r="AZ92" s="40"/>
      <c r="BA92" s="40">
        <f t="shared" si="184"/>
        <v>0</v>
      </c>
      <c r="BB92" s="36"/>
      <c r="BC92" s="506"/>
      <c r="BD92" s="506"/>
      <c r="BE92" s="36"/>
      <c r="BF92" s="506"/>
    </row>
    <row r="93" spans="1:58" ht="12.95" customHeight="1">
      <c r="A93" s="43"/>
      <c r="B93" s="44"/>
      <c r="C93" s="447"/>
      <c r="D93" s="44"/>
      <c r="E93" s="45"/>
      <c r="F93" s="45"/>
      <c r="G93" s="46"/>
      <c r="H93" s="47"/>
      <c r="I93" s="48"/>
      <c r="J93" s="85"/>
      <c r="K93" s="85"/>
      <c r="L93" s="603"/>
      <c r="M93" s="38"/>
      <c r="N93" s="49"/>
      <c r="O93" s="50"/>
      <c r="P93" s="51"/>
      <c r="Q93" s="37"/>
      <c r="R93" s="503"/>
      <c r="S93" s="503"/>
      <c r="T93" s="40"/>
      <c r="U93" s="40"/>
      <c r="V93" s="40"/>
      <c r="W93" s="40"/>
      <c r="X93" s="41"/>
      <c r="Y93" s="214"/>
      <c r="Z93" s="40"/>
      <c r="AA93" s="40"/>
      <c r="AB93" s="40"/>
      <c r="AC93" s="40"/>
      <c r="AD93" s="40">
        <f t="shared" si="181"/>
        <v>8</v>
      </c>
      <c r="AE93" s="236" t="s">
        <v>228</v>
      </c>
      <c r="AF93" s="40"/>
      <c r="AG93" s="40"/>
      <c r="AH93" s="40"/>
      <c r="AI93" s="505">
        <v>8</v>
      </c>
      <c r="AJ93" s="40"/>
      <c r="AK93" s="40"/>
      <c r="AL93" s="40"/>
      <c r="AM93" s="40">
        <f t="shared" si="182"/>
        <v>8</v>
      </c>
      <c r="AN93" s="40"/>
      <c r="AO93" s="40"/>
      <c r="AP93" s="40"/>
      <c r="AQ93" s="40"/>
      <c r="AR93" s="40">
        <f t="shared" si="183"/>
        <v>0</v>
      </c>
      <c r="AS93" s="40"/>
      <c r="AT93" s="40"/>
      <c r="AU93" s="40"/>
      <c r="AV93" s="40"/>
      <c r="AW93" s="40"/>
      <c r="AX93" s="40"/>
      <c r="AY93" s="40"/>
      <c r="AZ93" s="40"/>
      <c r="BA93" s="40">
        <f t="shared" si="184"/>
        <v>0</v>
      </c>
      <c r="BB93" s="53"/>
      <c r="BC93" s="54"/>
      <c r="BD93" s="54"/>
      <c r="BE93" s="53"/>
      <c r="BF93" s="54"/>
    </row>
    <row r="94" spans="1:58" ht="12.95" customHeight="1">
      <c r="A94" s="43"/>
      <c r="B94" s="44"/>
      <c r="C94" s="447"/>
      <c r="D94" s="44"/>
      <c r="E94" s="45"/>
      <c r="F94" s="45"/>
      <c r="G94" s="46"/>
      <c r="H94" s="46"/>
      <c r="I94" s="48"/>
      <c r="J94" s="85"/>
      <c r="K94" s="85"/>
      <c r="L94" s="603"/>
      <c r="M94" s="38"/>
      <c r="N94" s="49"/>
      <c r="O94" s="50"/>
      <c r="P94" s="51"/>
      <c r="Q94" s="50"/>
      <c r="R94" s="503"/>
      <c r="S94" s="503"/>
      <c r="T94" s="40"/>
      <c r="U94" s="40"/>
      <c r="V94" s="40"/>
      <c r="W94" s="40"/>
      <c r="X94" s="41"/>
      <c r="Y94" s="214"/>
      <c r="Z94" s="40"/>
      <c r="AA94" s="40"/>
      <c r="AB94" s="40"/>
      <c r="AC94" s="40"/>
      <c r="AD94" s="40"/>
      <c r="AE94" s="233"/>
      <c r="AF94" s="36"/>
      <c r="AG94" s="36"/>
      <c r="AH94" s="36"/>
      <c r="AJ94" s="40"/>
      <c r="AK94" s="40"/>
      <c r="AL94" s="40"/>
      <c r="AM94" s="40"/>
      <c r="AN94" s="40"/>
      <c r="AO94" s="40"/>
      <c r="AP94" s="40"/>
      <c r="AQ94" s="40"/>
      <c r="AR94" s="40"/>
      <c r="AS94" s="40"/>
      <c r="AT94" s="40"/>
      <c r="AU94" s="40"/>
      <c r="AV94" s="40"/>
      <c r="AW94" s="40"/>
      <c r="AX94" s="40"/>
      <c r="AY94" s="40"/>
      <c r="AZ94" s="40"/>
      <c r="BA94" s="40"/>
      <c r="BB94" s="36"/>
      <c r="BC94" s="506"/>
      <c r="BD94" s="54"/>
      <c r="BE94" s="54"/>
      <c r="BF94" s="54"/>
    </row>
    <row r="95" spans="1:58" ht="12.75" customHeight="1">
      <c r="A95" s="43">
        <v>46098</v>
      </c>
      <c r="B95" s="44" t="s">
        <v>586</v>
      </c>
      <c r="C95" s="447">
        <f t="shared" ref="C95" si="185">(M95*E95*O95*Q95)/100000000</f>
        <v>51.612549119999997</v>
      </c>
      <c r="D95" s="44" t="s">
        <v>425</v>
      </c>
      <c r="E95" s="45">
        <v>22</v>
      </c>
      <c r="F95" s="45">
        <v>1</v>
      </c>
      <c r="G95" s="502">
        <v>735</v>
      </c>
      <c r="H95" s="47">
        <f t="shared" ref="H95" si="186">+N95</f>
        <v>0.14000000000000001</v>
      </c>
      <c r="I95" s="48">
        <v>0.88</v>
      </c>
      <c r="J95" s="85">
        <f t="shared" ref="J95" si="187">E95*G95*(1-H95)*1440/1000000*2.75</f>
        <v>55.068551999999997</v>
      </c>
      <c r="K95" s="85">
        <f t="shared" ref="K95" si="188">(IF(G95&lt;L95,L95,G95)*(1-IF(H95&lt;N95,H95,N95))*E95*O95*Q95)/100000000</f>
        <v>51.612549119999997</v>
      </c>
      <c r="L95" s="603">
        <v>740</v>
      </c>
      <c r="M95" s="38">
        <v>636.4</v>
      </c>
      <c r="N95" s="49">
        <f t="shared" ref="N95" si="189">1-(M95/L95)</f>
        <v>0.14000000000000001</v>
      </c>
      <c r="O95" s="50">
        <f>+'Trim Rwd'!H54</f>
        <v>256</v>
      </c>
      <c r="P95" s="51">
        <f t="shared" ref="P95" si="190">O95*(Q95-R95-S95)</f>
        <v>359168</v>
      </c>
      <c r="Q95" s="50">
        <v>1440</v>
      </c>
      <c r="R95" s="503">
        <v>0</v>
      </c>
      <c r="S95" s="503">
        <v>37</v>
      </c>
      <c r="T95" s="40">
        <f t="shared" ref="T95" si="191">E95*M95*O95*Q95/100000000</f>
        <v>51.612549119999997</v>
      </c>
      <c r="U95" s="40">
        <f t="shared" ref="U95" si="192">E95*M95*O95*(Q95-R95-S95)/100000000</f>
        <v>50.286393343999997</v>
      </c>
      <c r="V95" s="40">
        <f t="shared" ref="V95" si="193">E95*G95*(1-N95)*O95/100*(R95+S95)/1000000</f>
        <v>1.3171952639999998</v>
      </c>
      <c r="W95" s="40">
        <f>+'17'!K14/1000</f>
        <v>53.381999999999998</v>
      </c>
      <c r="X95" s="504">
        <f>SUM(W95:W98)/SUM(K95:K98)</f>
        <v>1.0342833460111804</v>
      </c>
      <c r="Y95" s="214">
        <v>0</v>
      </c>
      <c r="Z95" s="40">
        <v>0</v>
      </c>
      <c r="AA95" s="52">
        <f>SUM(U95:U98)-SUM(W95:W98)-SUM(Z95:Z98)-SUM(Y95:Y98)</f>
        <v>-3.0956066560000011</v>
      </c>
      <c r="AB95" s="52">
        <f>(SUM(K95:K98)-SUM(W95:W98)-SUM(Y95:Y98)-SUM(Z95:Z98)-SUM(AC95:AC98)-SUM(V95:V98))-AA95</f>
        <v>8.9605120000006977E-3</v>
      </c>
      <c r="AC95" s="40">
        <f>K95-T95</f>
        <v>0</v>
      </c>
      <c r="AD95" s="40">
        <f>+AM95+BA95</f>
        <v>1</v>
      </c>
      <c r="AE95" s="233" t="s">
        <v>453</v>
      </c>
      <c r="AF95" s="40">
        <v>1</v>
      </c>
      <c r="AG95" s="40"/>
      <c r="AH95" s="40"/>
      <c r="AI95" s="505"/>
      <c r="AJ95" s="40"/>
      <c r="AK95" s="40"/>
      <c r="AL95" s="40"/>
      <c r="AM95" s="40">
        <f>SUM(AF95:AL95)+AT95</f>
        <v>1</v>
      </c>
      <c r="AN95" s="40"/>
      <c r="AO95" s="40"/>
      <c r="AP95" s="40"/>
      <c r="AQ95" s="40"/>
      <c r="AR95" s="40">
        <f>SUM(AN95:AQ95)</f>
        <v>0</v>
      </c>
      <c r="AS95" s="40"/>
      <c r="AT95" s="40"/>
      <c r="AU95" s="40"/>
      <c r="AV95" s="40"/>
      <c r="AW95" s="40"/>
      <c r="AX95" s="40"/>
      <c r="AY95" s="40"/>
      <c r="AZ95" s="40"/>
      <c r="BA95" s="40">
        <f>+AR95+AS95+AU95+AV95+AX95</f>
        <v>0</v>
      </c>
      <c r="BB95" s="36">
        <v>1</v>
      </c>
      <c r="BC95" s="54"/>
      <c r="BD95" s="54"/>
      <c r="BE95" s="36"/>
      <c r="BF95" s="54"/>
    </row>
    <row r="96" spans="1:58" ht="12.95" customHeight="1">
      <c r="A96" s="43"/>
      <c r="B96" s="44"/>
      <c r="C96" s="447"/>
      <c r="D96" s="44"/>
      <c r="E96" s="45"/>
      <c r="F96" s="45"/>
      <c r="G96" s="502"/>
      <c r="H96" s="47"/>
      <c r="I96" s="48"/>
      <c r="J96" s="85"/>
      <c r="K96" s="85"/>
      <c r="L96" s="603"/>
      <c r="M96" s="38"/>
      <c r="N96" s="49"/>
      <c r="O96" s="50"/>
      <c r="P96" s="51"/>
      <c r="Q96" s="50"/>
      <c r="R96" s="503"/>
      <c r="S96" s="503"/>
      <c r="T96" s="40"/>
      <c r="U96" s="40"/>
      <c r="V96" s="40"/>
      <c r="W96" s="40"/>
      <c r="X96" s="41"/>
      <c r="Y96" s="214"/>
      <c r="Z96" s="40"/>
      <c r="AA96" s="40"/>
      <c r="AB96" s="40"/>
      <c r="AC96" s="40">
        <f>K96-T96</f>
        <v>0</v>
      </c>
      <c r="AD96" s="40">
        <f t="shared" ref="AD96:AD98" si="194">+AM96+BA96</f>
        <v>10</v>
      </c>
      <c r="AE96" s="233" t="s">
        <v>452</v>
      </c>
      <c r="AF96" s="40"/>
      <c r="AG96" s="40">
        <v>10</v>
      </c>
      <c r="AH96" s="40"/>
      <c r="AI96" s="505"/>
      <c r="AJ96" s="40"/>
      <c r="AK96" s="40"/>
      <c r="AL96" s="40"/>
      <c r="AM96" s="40">
        <f t="shared" ref="AM96:AM98" si="195">SUM(AF96:AL96)+AT96</f>
        <v>10</v>
      </c>
      <c r="AN96" s="86"/>
      <c r="AO96" s="40"/>
      <c r="AP96" s="40"/>
      <c r="AQ96" s="40"/>
      <c r="AR96" s="40">
        <f t="shared" ref="AR96:AR98" si="196">SUM(AN96:AQ96)</f>
        <v>0</v>
      </c>
      <c r="AS96" s="40"/>
      <c r="AT96" s="40"/>
      <c r="AU96" s="40"/>
      <c r="AV96" s="40"/>
      <c r="AW96" s="40"/>
      <c r="AX96" s="40"/>
      <c r="AY96" s="40"/>
      <c r="AZ96" s="40"/>
      <c r="BA96" s="40">
        <f t="shared" ref="BA96:BA98" si="197">+AR96+AS96+AU96+AV96+AX96</f>
        <v>0</v>
      </c>
      <c r="BB96" s="53"/>
      <c r="BC96" s="54">
        <v>5</v>
      </c>
      <c r="BD96" s="54"/>
      <c r="BE96" s="53"/>
      <c r="BF96" s="54"/>
    </row>
    <row r="97" spans="1:58" ht="12.95" customHeight="1">
      <c r="A97" s="43"/>
      <c r="B97" s="44"/>
      <c r="C97" s="447"/>
      <c r="D97" s="44"/>
      <c r="E97" s="45"/>
      <c r="F97" s="45"/>
      <c r="G97" s="502"/>
      <c r="H97" s="47"/>
      <c r="I97" s="48"/>
      <c r="J97" s="85"/>
      <c r="K97" s="85"/>
      <c r="L97" s="603"/>
      <c r="M97" s="38"/>
      <c r="N97" s="49"/>
      <c r="O97" s="50"/>
      <c r="P97" s="51"/>
      <c r="Q97" s="50"/>
      <c r="R97" s="503"/>
      <c r="S97" s="503"/>
      <c r="T97" s="40"/>
      <c r="U97" s="40"/>
      <c r="V97" s="40"/>
      <c r="W97" s="40"/>
      <c r="X97" s="41"/>
      <c r="Y97" s="214"/>
      <c r="Z97" s="40"/>
      <c r="AA97" s="40"/>
      <c r="AB97" s="40"/>
      <c r="AC97" s="40"/>
      <c r="AD97" s="40">
        <f t="shared" si="194"/>
        <v>19</v>
      </c>
      <c r="AE97" s="233" t="s">
        <v>462</v>
      </c>
      <c r="AF97" s="36"/>
      <c r="AG97" s="36"/>
      <c r="AH97" s="36">
        <v>19</v>
      </c>
      <c r="AJ97" s="40"/>
      <c r="AK97" s="40"/>
      <c r="AL97" s="40"/>
      <c r="AM97" s="40">
        <f t="shared" si="195"/>
        <v>19</v>
      </c>
      <c r="AN97" s="40"/>
      <c r="AO97" s="40"/>
      <c r="AP97" s="40"/>
      <c r="AQ97" s="40"/>
      <c r="AR97" s="40">
        <f t="shared" si="196"/>
        <v>0</v>
      </c>
      <c r="AS97" s="40"/>
      <c r="AT97" s="40"/>
      <c r="AU97" s="40"/>
      <c r="AV97" s="40"/>
      <c r="AW97" s="40"/>
      <c r="AX97" s="40"/>
      <c r="AY97" s="40"/>
      <c r="AZ97" s="40"/>
      <c r="BA97" s="40">
        <f t="shared" si="197"/>
        <v>0</v>
      </c>
      <c r="BB97" s="36"/>
      <c r="BC97" s="506"/>
      <c r="BD97" s="506"/>
      <c r="BE97" s="36"/>
      <c r="BF97" s="506"/>
    </row>
    <row r="98" spans="1:58" ht="12.95" customHeight="1">
      <c r="A98" s="43"/>
      <c r="B98" s="44"/>
      <c r="C98" s="447"/>
      <c r="D98" s="44"/>
      <c r="E98" s="45"/>
      <c r="F98" s="45"/>
      <c r="G98" s="46"/>
      <c r="H98" s="47"/>
      <c r="I98" s="48"/>
      <c r="J98" s="85"/>
      <c r="K98" s="85"/>
      <c r="L98" s="603"/>
      <c r="M98" s="38"/>
      <c r="N98" s="49"/>
      <c r="O98" s="50"/>
      <c r="P98" s="51"/>
      <c r="Q98" s="37"/>
      <c r="R98" s="503"/>
      <c r="S98" s="503"/>
      <c r="T98" s="40"/>
      <c r="U98" s="40"/>
      <c r="V98" s="40"/>
      <c r="W98" s="40"/>
      <c r="X98" s="41"/>
      <c r="Y98" s="214"/>
      <c r="Z98" s="40"/>
      <c r="AA98" s="40"/>
      <c r="AB98" s="40"/>
      <c r="AC98" s="40"/>
      <c r="AD98" s="40">
        <f t="shared" si="194"/>
        <v>7</v>
      </c>
      <c r="AE98" s="236" t="s">
        <v>228</v>
      </c>
      <c r="AF98" s="40"/>
      <c r="AG98" s="40"/>
      <c r="AH98" s="40"/>
      <c r="AI98" s="505">
        <v>7</v>
      </c>
      <c r="AJ98" s="40"/>
      <c r="AK98" s="40"/>
      <c r="AL98" s="40"/>
      <c r="AM98" s="40">
        <f t="shared" si="195"/>
        <v>7</v>
      </c>
      <c r="AN98" s="40"/>
      <c r="AO98" s="40"/>
      <c r="AP98" s="40"/>
      <c r="AQ98" s="40"/>
      <c r="AR98" s="40">
        <f t="shared" si="196"/>
        <v>0</v>
      </c>
      <c r="AS98" s="40"/>
      <c r="AT98" s="40"/>
      <c r="AU98" s="40"/>
      <c r="AV98" s="40"/>
      <c r="AW98" s="40"/>
      <c r="AX98" s="40"/>
      <c r="AY98" s="40"/>
      <c r="AZ98" s="40"/>
      <c r="BA98" s="40">
        <f t="shared" si="197"/>
        <v>0</v>
      </c>
      <c r="BB98" s="53"/>
      <c r="BC98" s="54"/>
      <c r="BD98" s="54"/>
      <c r="BE98" s="53"/>
      <c r="BF98" s="54"/>
    </row>
    <row r="99" spans="1:58" ht="12.95" customHeight="1">
      <c r="A99" s="43"/>
      <c r="B99" s="44"/>
      <c r="C99" s="447"/>
      <c r="D99" s="44"/>
      <c r="E99" s="45"/>
      <c r="F99" s="45"/>
      <c r="G99" s="46"/>
      <c r="H99" s="46"/>
      <c r="I99" s="48"/>
      <c r="J99" s="85"/>
      <c r="K99" s="85"/>
      <c r="L99" s="603"/>
      <c r="M99" s="38"/>
      <c r="N99" s="49"/>
      <c r="O99" s="50"/>
      <c r="P99" s="51"/>
      <c r="Q99" s="50"/>
      <c r="R99" s="503"/>
      <c r="S99" s="503"/>
      <c r="T99" s="40"/>
      <c r="U99" s="40"/>
      <c r="V99" s="40"/>
      <c r="W99" s="40"/>
      <c r="X99" s="41"/>
      <c r="Y99" s="214"/>
      <c r="Z99" s="40"/>
      <c r="AA99" s="40"/>
      <c r="AB99" s="40"/>
      <c r="AC99" s="40"/>
      <c r="AD99" s="40"/>
      <c r="AE99" s="233"/>
      <c r="AF99" s="40"/>
      <c r="AG99" s="40"/>
      <c r="AH99" s="40"/>
      <c r="AI99" s="505"/>
      <c r="AJ99" s="40"/>
      <c r="AK99" s="40"/>
      <c r="AL99" s="40"/>
      <c r="AM99" s="40"/>
      <c r="AN99" s="86"/>
      <c r="AO99" s="40"/>
      <c r="AP99" s="40"/>
      <c r="AQ99" s="40"/>
      <c r="AR99" s="40"/>
      <c r="AS99" s="40"/>
      <c r="AT99" s="40"/>
      <c r="AU99" s="40"/>
      <c r="AV99" s="40"/>
      <c r="AW99" s="40"/>
      <c r="AX99" s="40"/>
      <c r="AY99" s="40"/>
      <c r="AZ99" s="40"/>
      <c r="BA99" s="40"/>
      <c r="BB99" s="53"/>
      <c r="BC99" s="54"/>
      <c r="BD99" s="54"/>
      <c r="BE99" s="54"/>
      <c r="BF99" s="54"/>
    </row>
    <row r="100" spans="1:58" ht="12.75" customHeight="1">
      <c r="A100" s="43">
        <v>46099</v>
      </c>
      <c r="B100" s="44" t="s">
        <v>586</v>
      </c>
      <c r="C100" s="447">
        <f t="shared" ref="C100" si="198">(M100*E100*O100*Q100)/100000000</f>
        <v>8.7096176639999996</v>
      </c>
      <c r="D100" s="44" t="s">
        <v>425</v>
      </c>
      <c r="E100" s="45">
        <v>22</v>
      </c>
      <c r="F100" s="45">
        <v>1</v>
      </c>
      <c r="G100" s="502">
        <v>735</v>
      </c>
      <c r="H100" s="47">
        <f t="shared" ref="H100" si="199">+N100</f>
        <v>0.14000000000000001</v>
      </c>
      <c r="I100" s="48">
        <v>0.88</v>
      </c>
      <c r="J100" s="85">
        <f t="shared" ref="J100" si="200">E100*G100*(1-H100)*1440/1000000*2.75</f>
        <v>55.068551999999997</v>
      </c>
      <c r="K100" s="85">
        <f t="shared" ref="K100:K101" si="201">(IF(G100&lt;L100,L100,G100)*(1-IF(H100&lt;N100,H100,N100))*E100*O100*Q100)/100000000</f>
        <v>8.7096176639999996</v>
      </c>
      <c r="L100" s="603">
        <v>740</v>
      </c>
      <c r="M100" s="38">
        <v>636.4</v>
      </c>
      <c r="N100" s="49">
        <f t="shared" ref="N100" si="202">1-(M100/L100)</f>
        <v>0.14000000000000001</v>
      </c>
      <c r="O100" s="50">
        <f>+'Trim Rwd'!H56</f>
        <v>256</v>
      </c>
      <c r="P100" s="51">
        <f t="shared" ref="P100" si="203">O100*(Q100-R100-S100)</f>
        <v>61184</v>
      </c>
      <c r="Q100" s="50">
        <v>243</v>
      </c>
      <c r="R100" s="503">
        <v>0</v>
      </c>
      <c r="S100" s="503">
        <v>4</v>
      </c>
      <c r="T100" s="40">
        <f t="shared" ref="T100" si="204">E100*M100*O100*Q100/100000000</f>
        <v>8.7096176639999996</v>
      </c>
      <c r="U100" s="40">
        <f t="shared" ref="U100" si="205">E100*M100*O100*(Q100-R100-S100)/100000000</f>
        <v>8.5662494719999991</v>
      </c>
      <c r="V100" s="40">
        <f t="shared" ref="V100" si="206">E100*G100*(1-N100)*O100/100*(R100+S100)/1000000</f>
        <v>0.14239948799999999</v>
      </c>
      <c r="W100" s="40">
        <f>+'18'!K14/1000</f>
        <v>12.789</v>
      </c>
      <c r="X100" s="504">
        <f>SUM(W100:W103)/SUM(K100:K103)</f>
        <v>0.88917135028025607</v>
      </c>
      <c r="Y100" s="214">
        <v>0</v>
      </c>
      <c r="Z100" s="40">
        <v>0</v>
      </c>
      <c r="AA100" s="52">
        <f>SUM(U100:U103)-SUM(W100:W103)-SUM(Z100:Z103)-SUM(Y100:Y103)</f>
        <v>9.5341066476990477E-2</v>
      </c>
      <c r="AB100" s="52">
        <f>(SUM(K100:K103)-SUM(W100:W103)-SUM(Y100:Y103)-SUM(Z100:Z103)-SUM(AC100:AC103)-SUM(V100:V103))-AA100</f>
        <v>-0.11596957047698586</v>
      </c>
      <c r="AC100" s="40">
        <f>K100-T100</f>
        <v>0</v>
      </c>
      <c r="AD100" s="40">
        <f>+AM100+BA100</f>
        <v>6</v>
      </c>
      <c r="AE100" s="233" t="s">
        <v>486</v>
      </c>
      <c r="AF100" s="40">
        <v>6</v>
      </c>
      <c r="AG100" s="40"/>
      <c r="AH100" s="40"/>
      <c r="AI100" s="505"/>
      <c r="AJ100" s="40"/>
      <c r="AK100" s="40"/>
      <c r="AL100" s="40"/>
      <c r="AM100" s="40">
        <f>SUM(AF100:AL100)+AT100</f>
        <v>6</v>
      </c>
      <c r="AN100" s="40"/>
      <c r="AO100" s="40"/>
      <c r="AP100" s="40"/>
      <c r="AQ100" s="40"/>
      <c r="AR100" s="40">
        <f>SUM(AN100:AQ100)</f>
        <v>0</v>
      </c>
      <c r="AS100" s="40"/>
      <c r="AT100" s="40"/>
      <c r="AU100" s="40"/>
      <c r="AV100" s="40"/>
      <c r="AW100" s="40"/>
      <c r="AX100" s="40"/>
      <c r="AY100" s="40"/>
      <c r="AZ100" s="40"/>
      <c r="BA100" s="40">
        <f>+AR100+AS100+AU100+AV100+AX100</f>
        <v>0</v>
      </c>
      <c r="BB100" s="36">
        <v>2</v>
      </c>
      <c r="BC100" s="54"/>
      <c r="BD100" s="54"/>
      <c r="BE100" s="36"/>
      <c r="BF100" s="54"/>
    </row>
    <row r="101" spans="1:58" ht="12.95" customHeight="1">
      <c r="A101" s="43"/>
      <c r="B101" s="44" t="s">
        <v>423</v>
      </c>
      <c r="C101" s="447">
        <f>(M101*E101*O101*Q101)/100000000</f>
        <v>22.36198692</v>
      </c>
      <c r="D101" s="44" t="s">
        <v>425</v>
      </c>
      <c r="E101" s="45">
        <v>14</v>
      </c>
      <c r="F101" s="45">
        <v>1</v>
      </c>
      <c r="G101" s="502">
        <v>1275</v>
      </c>
      <c r="H101" s="47">
        <f>+N101</f>
        <v>0.21999999999999997</v>
      </c>
      <c r="I101" s="48">
        <v>0.88</v>
      </c>
      <c r="J101" s="85">
        <f>E101*G101*(1-H101)*1440/1000000*2.75</f>
        <v>55.135079999999995</v>
      </c>
      <c r="K101" s="85">
        <f t="shared" si="201"/>
        <v>26.554224059999999</v>
      </c>
      <c r="L101" s="603">
        <v>1073.7099023709902</v>
      </c>
      <c r="M101" s="38">
        <v>837.49372384937237</v>
      </c>
      <c r="N101" s="49">
        <f>1-(M101/L101)</f>
        <v>0.21999999999999997</v>
      </c>
      <c r="O101" s="50">
        <f>+'Trim Rwd'!H57</f>
        <v>266</v>
      </c>
      <c r="P101" s="51">
        <f>O101*(Q101-R101-S101)</f>
        <v>185402</v>
      </c>
      <c r="Q101" s="50">
        <v>717</v>
      </c>
      <c r="R101" s="503">
        <v>0</v>
      </c>
      <c r="S101" s="503">
        <v>20</v>
      </c>
      <c r="T101" s="40">
        <f>E101*M101*O101*Q101/100000000</f>
        <v>22.36198692</v>
      </c>
      <c r="U101" s="40">
        <f>E101*M101*O101*(Q101-R101-S101)/100000000</f>
        <v>21.73822159447699</v>
      </c>
      <c r="V101" s="40">
        <f>E101*G101*(1-N101)*O101/100*(R101+S101)/1000000</f>
        <v>0.74070360000000002</v>
      </c>
      <c r="W101" s="40">
        <f>+('18'!C8+'18'!C16+'18'!C25)/1000</f>
        <v>24.158000000000001</v>
      </c>
      <c r="X101" s="41"/>
      <c r="Y101" s="214"/>
      <c r="Z101" s="40"/>
      <c r="AA101" s="40"/>
      <c r="AB101" s="40"/>
      <c r="AC101" s="40">
        <f>K101-T101</f>
        <v>4.1922371399999996</v>
      </c>
      <c r="AD101" s="40">
        <f t="shared" ref="AD101:AD103" si="207">+AM101+BA101</f>
        <v>12</v>
      </c>
      <c r="AE101" s="233" t="s">
        <v>399</v>
      </c>
      <c r="AF101" s="40"/>
      <c r="AG101" s="40">
        <v>12</v>
      </c>
      <c r="AH101" s="40"/>
      <c r="AI101" s="505"/>
      <c r="AJ101" s="40"/>
      <c r="AK101" s="40"/>
      <c r="AL101" s="40"/>
      <c r="AM101" s="40">
        <f t="shared" ref="AM101:AM103" si="208">SUM(AF101:AL101)+AT101</f>
        <v>12</v>
      </c>
      <c r="AN101" s="86"/>
      <c r="AO101" s="40"/>
      <c r="AP101" s="40"/>
      <c r="AQ101" s="40"/>
      <c r="AR101" s="40">
        <f t="shared" ref="AR101:AR103" si="209">SUM(AN101:AQ101)</f>
        <v>0</v>
      </c>
      <c r="AS101" s="40"/>
      <c r="AT101" s="40"/>
      <c r="AU101" s="40"/>
      <c r="AV101" s="40"/>
      <c r="AW101" s="40"/>
      <c r="AX101" s="40"/>
      <c r="AY101" s="40"/>
      <c r="AZ101" s="40"/>
      <c r="BA101" s="40">
        <f t="shared" ref="BA101:BA103" si="210">+AR101+AS101+AU101+AV101+AX101</f>
        <v>0</v>
      </c>
      <c r="BB101" s="53"/>
      <c r="BC101" s="54">
        <v>6</v>
      </c>
      <c r="BD101" s="54"/>
      <c r="BE101" s="53"/>
      <c r="BF101" s="54"/>
    </row>
    <row r="102" spans="1:58" ht="12.95" customHeight="1">
      <c r="A102" s="43"/>
      <c r="B102" s="44" t="s">
        <v>423</v>
      </c>
      <c r="C102" s="447">
        <f>(M102*E102*O102*Q102)/100000000</f>
        <v>16.576560000000001</v>
      </c>
      <c r="D102" s="44" t="s">
        <v>425</v>
      </c>
      <c r="E102" s="45">
        <v>14</v>
      </c>
      <c r="F102" s="45">
        <v>1</v>
      </c>
      <c r="G102" s="598">
        <f>+L102</f>
        <v>1150</v>
      </c>
      <c r="H102" s="47">
        <f>+N102</f>
        <v>0.21999999999999997</v>
      </c>
      <c r="I102" s="48">
        <v>0.88</v>
      </c>
      <c r="J102" s="85">
        <f>E102*G102*(1-H102)*1440/1000000*2.75</f>
        <v>49.729680000000002</v>
      </c>
      <c r="K102" s="85">
        <f t="shared" ref="K102" si="211">(IF(G102&lt;L102,L102,G102)*(1-IF(H102&lt;N102,H102,N102))*E102*O102*Q102)/100000000</f>
        <v>16.576560000000001</v>
      </c>
      <c r="L102" s="603">
        <v>1150</v>
      </c>
      <c r="M102" s="38">
        <f t="shared" ref="M102" si="212">+L102-L102*0.22</f>
        <v>897</v>
      </c>
      <c r="N102" s="49">
        <f>1-(M102/L102)</f>
        <v>0.21999999999999997</v>
      </c>
      <c r="O102" s="50">
        <f>+'Trim Rwd'!H58</f>
        <v>275</v>
      </c>
      <c r="P102" s="51">
        <f>O102*(Q102-R102-S102)</f>
        <v>126500</v>
      </c>
      <c r="Q102" s="50">
        <v>480</v>
      </c>
      <c r="R102" s="503">
        <v>0</v>
      </c>
      <c r="S102" s="503">
        <v>20</v>
      </c>
      <c r="T102" s="40">
        <f>E102*M102*O102*Q102/100000000</f>
        <v>16.576560000000001</v>
      </c>
      <c r="U102" s="40">
        <f>E102*M102*O102*(Q102-R102-S102)/100000000</f>
        <v>15.885870000000001</v>
      </c>
      <c r="V102" s="40">
        <f>E102*G102*(1-N102)*O102/100*(R102+S102)/1000000</f>
        <v>0.69069000000000003</v>
      </c>
      <c r="W102" s="40">
        <f>+'18'!C26/1000</f>
        <v>9.1479999999999997</v>
      </c>
      <c r="X102" s="41"/>
      <c r="Y102" s="214"/>
      <c r="Z102" s="40"/>
      <c r="AA102" s="40"/>
      <c r="AB102" s="40"/>
      <c r="AC102" s="40">
        <f>K102-T102</f>
        <v>0</v>
      </c>
      <c r="AD102" s="40">
        <f t="shared" si="207"/>
        <v>26</v>
      </c>
      <c r="AE102" s="233" t="s">
        <v>634</v>
      </c>
      <c r="AF102" s="36"/>
      <c r="AG102" s="36"/>
      <c r="AH102" s="36">
        <v>26</v>
      </c>
      <c r="AJ102" s="40"/>
      <c r="AK102" s="40"/>
      <c r="AL102" s="40"/>
      <c r="AM102" s="40">
        <f t="shared" si="208"/>
        <v>26</v>
      </c>
      <c r="AN102" s="40"/>
      <c r="AO102" s="40"/>
      <c r="AP102" s="40"/>
      <c r="AQ102" s="40"/>
      <c r="AR102" s="40">
        <f t="shared" si="209"/>
        <v>0</v>
      </c>
      <c r="AS102" s="40"/>
      <c r="AT102" s="40"/>
      <c r="AU102" s="40"/>
      <c r="AV102" s="40"/>
      <c r="AW102" s="40"/>
      <c r="AX102" s="40"/>
      <c r="AY102" s="40"/>
      <c r="AZ102" s="40"/>
      <c r="BA102" s="40">
        <f t="shared" si="210"/>
        <v>0</v>
      </c>
      <c r="BB102" s="36"/>
      <c r="BC102" s="506"/>
      <c r="BD102" s="506"/>
      <c r="BE102" s="36"/>
      <c r="BF102" s="506"/>
    </row>
    <row r="103" spans="1:58" ht="12.95" customHeight="1">
      <c r="A103" s="43"/>
      <c r="B103" s="44"/>
      <c r="C103" s="447"/>
      <c r="D103" s="44"/>
      <c r="E103" s="45"/>
      <c r="F103" s="45"/>
      <c r="G103" s="46"/>
      <c r="H103" s="47"/>
      <c r="I103" s="48"/>
      <c r="J103" s="85"/>
      <c r="K103" s="85"/>
      <c r="L103" s="603"/>
      <c r="M103" s="38"/>
      <c r="N103" s="49"/>
      <c r="O103" s="50"/>
      <c r="P103" s="51"/>
      <c r="Q103" s="37"/>
      <c r="R103" s="503"/>
      <c r="S103" s="503"/>
      <c r="T103" s="40"/>
      <c r="U103" s="40"/>
      <c r="V103" s="40"/>
      <c r="W103" s="40"/>
      <c r="X103" s="41"/>
      <c r="Y103" s="214"/>
      <c r="Z103" s="40"/>
      <c r="AA103" s="40"/>
      <c r="AB103" s="40"/>
      <c r="AC103" s="40"/>
      <c r="AD103" s="40">
        <f t="shared" si="207"/>
        <v>0</v>
      </c>
      <c r="AE103" s="236" t="s">
        <v>228</v>
      </c>
      <c r="AF103" s="40"/>
      <c r="AG103" s="40"/>
      <c r="AH103" s="40"/>
      <c r="AI103" s="505">
        <v>0</v>
      </c>
      <c r="AJ103" s="40"/>
      <c r="AK103" s="40"/>
      <c r="AL103" s="40"/>
      <c r="AM103" s="40">
        <f t="shared" si="208"/>
        <v>0</v>
      </c>
      <c r="AN103" s="40"/>
      <c r="AO103" s="40"/>
      <c r="AP103" s="40"/>
      <c r="AQ103" s="40"/>
      <c r="AR103" s="40">
        <f t="shared" si="209"/>
        <v>0</v>
      </c>
      <c r="AS103" s="40"/>
      <c r="AT103" s="40"/>
      <c r="AU103" s="40"/>
      <c r="AV103" s="40"/>
      <c r="AW103" s="40"/>
      <c r="AX103" s="40"/>
      <c r="AY103" s="40"/>
      <c r="AZ103" s="40"/>
      <c r="BA103" s="40">
        <f t="shared" si="210"/>
        <v>0</v>
      </c>
      <c r="BB103" s="53"/>
      <c r="BC103" s="54"/>
      <c r="BD103" s="54"/>
      <c r="BE103" s="53"/>
      <c r="BF103" s="54"/>
    </row>
    <row r="104" spans="1:58" ht="12.95" customHeight="1">
      <c r="A104" s="43"/>
      <c r="B104" s="44"/>
      <c r="C104" s="447"/>
      <c r="D104" s="44"/>
      <c r="E104" s="45"/>
      <c r="F104" s="45"/>
      <c r="G104" s="46"/>
      <c r="H104" s="46"/>
      <c r="I104" s="48"/>
      <c r="J104" s="85"/>
      <c r="K104" s="85"/>
      <c r="L104" s="603"/>
      <c r="M104" s="38"/>
      <c r="N104" s="49"/>
      <c r="O104" s="50"/>
      <c r="P104" s="51"/>
      <c r="Q104" s="50"/>
      <c r="R104" s="503"/>
      <c r="S104" s="503"/>
      <c r="T104" s="40"/>
      <c r="U104" s="40"/>
      <c r="V104" s="40"/>
      <c r="W104" s="40"/>
      <c r="X104" s="504"/>
      <c r="Y104" s="214"/>
      <c r="Z104" s="40"/>
      <c r="AA104" s="52"/>
      <c r="AB104" s="52"/>
      <c r="AC104" s="40"/>
      <c r="AD104" s="40"/>
      <c r="AE104" s="233"/>
      <c r="AF104" s="40"/>
      <c r="AG104" s="40"/>
      <c r="AH104" s="40"/>
      <c r="AI104" s="505"/>
      <c r="AJ104" s="40"/>
      <c r="AK104" s="40"/>
      <c r="AL104" s="40"/>
      <c r="AM104" s="40"/>
      <c r="AN104" s="40"/>
      <c r="AO104" s="40"/>
      <c r="AP104" s="40"/>
      <c r="AQ104" s="40"/>
      <c r="AR104" s="40"/>
      <c r="AS104" s="40"/>
      <c r="AT104" s="40"/>
      <c r="AU104" s="40"/>
      <c r="AV104" s="40"/>
      <c r="AW104" s="40"/>
      <c r="AX104" s="40"/>
      <c r="AY104" s="40"/>
      <c r="AZ104" s="40"/>
      <c r="BA104" s="40"/>
      <c r="BB104" s="36"/>
      <c r="BC104" s="54"/>
      <c r="BD104" s="54"/>
      <c r="BE104" s="54"/>
      <c r="BF104" s="54"/>
    </row>
    <row r="105" spans="1:58" ht="12.75" customHeight="1">
      <c r="A105" s="43">
        <v>46100</v>
      </c>
      <c r="B105" s="44" t="s">
        <v>423</v>
      </c>
      <c r="C105" s="447">
        <f>(M105*E105*O105*Q105)/100000000</f>
        <v>49.729680000000002</v>
      </c>
      <c r="D105" s="44" t="s">
        <v>425</v>
      </c>
      <c r="E105" s="45">
        <v>14</v>
      </c>
      <c r="F105" s="45">
        <v>1</v>
      </c>
      <c r="G105" s="598">
        <f>+L105</f>
        <v>1150</v>
      </c>
      <c r="H105" s="47">
        <f>+N105</f>
        <v>0.21999999999999997</v>
      </c>
      <c r="I105" s="48">
        <v>0.88</v>
      </c>
      <c r="J105" s="85">
        <f>E105*G105*(1-H105)*1440/1000000*2.75</f>
        <v>49.729680000000002</v>
      </c>
      <c r="K105" s="85">
        <f t="shared" ref="K105" si="213">(IF(G105&lt;L105,L105,G105)*(1-IF(H105&lt;N105,H105,N105))*E105*O105*Q105)/100000000</f>
        <v>49.729680000000002</v>
      </c>
      <c r="L105" s="38">
        <v>1150</v>
      </c>
      <c r="M105" s="38">
        <v>897</v>
      </c>
      <c r="N105" s="49">
        <f>1-(M105/L105)</f>
        <v>0.21999999999999997</v>
      </c>
      <c r="O105" s="50">
        <f>+'Trim Rwd'!H60</f>
        <v>275</v>
      </c>
      <c r="P105" s="51">
        <f>O105*(Q105-R105-S105)</f>
        <v>383075</v>
      </c>
      <c r="Q105" s="50">
        <v>1440</v>
      </c>
      <c r="R105" s="503">
        <v>0</v>
      </c>
      <c r="S105" s="503">
        <v>47</v>
      </c>
      <c r="T105" s="40">
        <f>E105*M105*O105*Q105/100000000</f>
        <v>49.729680000000002</v>
      </c>
      <c r="U105" s="40">
        <f>E105*M105*O105*(Q105-R105-S105)/100000000</f>
        <v>48.106558499999998</v>
      </c>
      <c r="V105" s="40">
        <f>E105*G105*(1-N105)*O105/100*(R105+S105)/1000000</f>
        <v>1.6231215000000001</v>
      </c>
      <c r="W105" s="40">
        <f>+'19'!K34/1000</f>
        <v>47.469000000000001</v>
      </c>
      <c r="X105" s="504">
        <f>SUM(W105:W108)/SUM(K105:K108)</f>
        <v>0.95454062845367194</v>
      </c>
      <c r="Y105" s="214">
        <v>0</v>
      </c>
      <c r="Z105" s="40">
        <v>0</v>
      </c>
      <c r="AA105" s="52">
        <f>SUM(U105:U108)-SUM(W105:W108)-SUM(Z105:Z108)-SUM(Y105:Y108)</f>
        <v>0.63755849999999725</v>
      </c>
      <c r="AB105" s="52">
        <f>(SUM(K105:K108)-SUM(W105:W108)-SUM(Y105:Y108)-SUM(Z105:Z108)-SUM(AC105:AC108)-SUM(V105:V108))-AA105</f>
        <v>3.3306690738754696E-15</v>
      </c>
      <c r="AC105" s="40">
        <f>K105-T105</f>
        <v>0</v>
      </c>
      <c r="AD105" s="40">
        <f>+AM105+BA105</f>
        <v>15</v>
      </c>
      <c r="AE105" s="233" t="s">
        <v>488</v>
      </c>
      <c r="AF105" s="40">
        <v>15</v>
      </c>
      <c r="AG105" s="40"/>
      <c r="AH105" s="40"/>
      <c r="AI105" s="505"/>
      <c r="AJ105" s="40"/>
      <c r="AK105" s="40"/>
      <c r="AL105" s="40"/>
      <c r="AM105" s="40">
        <f>SUM(AF105:AL105)+AT105</f>
        <v>15</v>
      </c>
      <c r="AN105" s="40"/>
      <c r="AO105" s="40"/>
      <c r="AP105" s="40"/>
      <c r="AQ105" s="40"/>
      <c r="AR105" s="40">
        <f>SUM(AN105:AQ105)</f>
        <v>0</v>
      </c>
      <c r="AS105" s="40"/>
      <c r="AT105" s="40"/>
      <c r="AU105" s="40"/>
      <c r="AV105" s="40"/>
      <c r="AW105" s="40"/>
      <c r="AX105" s="40"/>
      <c r="AY105" s="40"/>
      <c r="AZ105" s="40"/>
      <c r="BA105" s="40">
        <f>+AR105+AS105+AU105+AV105+AX105</f>
        <v>0</v>
      </c>
      <c r="BB105" s="36">
        <v>3</v>
      </c>
      <c r="BC105" s="54"/>
      <c r="BD105" s="54"/>
      <c r="BE105" s="36"/>
      <c r="BF105" s="54"/>
    </row>
    <row r="106" spans="1:58" ht="12.95" customHeight="1">
      <c r="A106" s="43"/>
      <c r="B106" s="44"/>
      <c r="C106" s="447"/>
      <c r="D106" s="44"/>
      <c r="E106" s="45"/>
      <c r="F106" s="45"/>
      <c r="G106" s="502"/>
      <c r="H106" s="47"/>
      <c r="I106" s="48"/>
      <c r="J106" s="85"/>
      <c r="K106" s="85"/>
      <c r="L106" s="38"/>
      <c r="M106" s="38"/>
      <c r="N106" s="49"/>
      <c r="O106" s="50"/>
      <c r="P106" s="51"/>
      <c r="Q106" s="50"/>
      <c r="R106" s="503"/>
      <c r="S106" s="503"/>
      <c r="T106" s="40"/>
      <c r="U106" s="40"/>
      <c r="V106" s="40"/>
      <c r="W106" s="40"/>
      <c r="X106" s="41"/>
      <c r="Y106" s="214"/>
      <c r="Z106" s="40"/>
      <c r="AA106" s="40"/>
      <c r="AB106" s="40"/>
      <c r="AC106" s="40"/>
      <c r="AD106" s="40">
        <f t="shared" ref="AD106:AD108" si="214">+AM106+BA106</f>
        <v>9</v>
      </c>
      <c r="AE106" s="233" t="s">
        <v>489</v>
      </c>
      <c r="AF106" s="40"/>
      <c r="AG106" s="40">
        <v>9</v>
      </c>
      <c r="AH106" s="40"/>
      <c r="AI106" s="505"/>
      <c r="AJ106" s="40"/>
      <c r="AK106" s="40"/>
      <c r="AL106" s="40"/>
      <c r="AM106" s="40">
        <f t="shared" ref="AM106:AM108" si="215">SUM(AF106:AL106)+AT106</f>
        <v>9</v>
      </c>
      <c r="AN106" s="86"/>
      <c r="AO106" s="40"/>
      <c r="AP106" s="40"/>
      <c r="AQ106" s="40"/>
      <c r="AR106" s="40">
        <f t="shared" ref="AR106:AR108" si="216">SUM(AN106:AQ106)</f>
        <v>0</v>
      </c>
      <c r="AS106" s="40"/>
      <c r="AT106" s="40"/>
      <c r="AU106" s="40"/>
      <c r="AV106" s="40"/>
      <c r="AW106" s="40"/>
      <c r="AX106" s="40"/>
      <c r="AY106" s="40"/>
      <c r="AZ106" s="40"/>
      <c r="BA106" s="40">
        <f t="shared" ref="BA106:BA108" si="217">+AR106+AS106+AU106+AV106+AX106</f>
        <v>0</v>
      </c>
      <c r="BB106" s="53"/>
      <c r="BC106" s="54">
        <v>8</v>
      </c>
      <c r="BD106" s="54"/>
      <c r="BE106" s="53"/>
      <c r="BF106" s="54"/>
    </row>
    <row r="107" spans="1:58" ht="12.95" customHeight="1">
      <c r="A107" s="43"/>
      <c r="B107" s="44"/>
      <c r="C107" s="447"/>
      <c r="D107" s="44"/>
      <c r="E107" s="45"/>
      <c r="F107" s="45"/>
      <c r="G107" s="502"/>
      <c r="H107" s="47"/>
      <c r="I107" s="48"/>
      <c r="J107" s="85"/>
      <c r="K107" s="85"/>
      <c r="L107" s="38"/>
      <c r="M107" s="38"/>
      <c r="N107" s="49"/>
      <c r="O107" s="50"/>
      <c r="P107" s="51"/>
      <c r="Q107" s="50"/>
      <c r="R107" s="503"/>
      <c r="S107" s="503"/>
      <c r="T107" s="40"/>
      <c r="U107" s="40"/>
      <c r="V107" s="40"/>
      <c r="W107" s="40"/>
      <c r="X107" s="41"/>
      <c r="Y107" s="214"/>
      <c r="Z107" s="40"/>
      <c r="AA107" s="40"/>
      <c r="AB107" s="40"/>
      <c r="AC107" s="40"/>
      <c r="AD107" s="40">
        <f t="shared" si="214"/>
        <v>23</v>
      </c>
      <c r="AE107" s="233" t="s">
        <v>587</v>
      </c>
      <c r="AF107" s="36"/>
      <c r="AG107" s="36"/>
      <c r="AH107" s="36">
        <v>23</v>
      </c>
      <c r="AJ107" s="40"/>
      <c r="AK107" s="40"/>
      <c r="AL107" s="40"/>
      <c r="AM107" s="40">
        <f t="shared" si="215"/>
        <v>23</v>
      </c>
      <c r="AN107" s="40"/>
      <c r="AO107" s="40"/>
      <c r="AP107" s="40"/>
      <c r="AQ107" s="40"/>
      <c r="AR107" s="40">
        <f t="shared" si="216"/>
        <v>0</v>
      </c>
      <c r="AS107" s="40"/>
      <c r="AT107" s="40"/>
      <c r="AU107" s="40"/>
      <c r="AV107" s="40"/>
      <c r="AW107" s="40"/>
      <c r="AX107" s="40"/>
      <c r="AY107" s="40"/>
      <c r="AZ107" s="40"/>
      <c r="BA107" s="40">
        <f t="shared" si="217"/>
        <v>0</v>
      </c>
      <c r="BB107" s="36"/>
      <c r="BC107" s="506"/>
      <c r="BD107" s="506"/>
      <c r="BE107" s="36"/>
      <c r="BF107" s="506"/>
    </row>
    <row r="108" spans="1:58" ht="12.95" customHeight="1">
      <c r="A108" s="43"/>
      <c r="B108" s="44"/>
      <c r="C108" s="447"/>
      <c r="D108" s="44"/>
      <c r="E108" s="45"/>
      <c r="F108" s="45"/>
      <c r="G108" s="46"/>
      <c r="H108" s="47"/>
      <c r="I108" s="48"/>
      <c r="J108" s="85"/>
      <c r="K108" s="85"/>
      <c r="L108" s="38"/>
      <c r="M108" s="38"/>
      <c r="N108" s="49"/>
      <c r="O108" s="50"/>
      <c r="P108" s="51"/>
      <c r="Q108" s="37"/>
      <c r="R108" s="503"/>
      <c r="S108" s="503"/>
      <c r="T108" s="40"/>
      <c r="U108" s="40"/>
      <c r="V108" s="40"/>
      <c r="W108" s="40"/>
      <c r="X108" s="41"/>
      <c r="Y108" s="214"/>
      <c r="Z108" s="40"/>
      <c r="AA108" s="40"/>
      <c r="AB108" s="40"/>
      <c r="AC108" s="40"/>
      <c r="AD108" s="40">
        <f t="shared" si="214"/>
        <v>0</v>
      </c>
      <c r="AE108" s="236" t="s">
        <v>228</v>
      </c>
      <c r="AF108" s="40"/>
      <c r="AG108" s="40"/>
      <c r="AH108" s="40"/>
      <c r="AI108" s="505">
        <v>0</v>
      </c>
      <c r="AJ108" s="40"/>
      <c r="AK108" s="40"/>
      <c r="AL108" s="40"/>
      <c r="AM108" s="40">
        <f t="shared" si="215"/>
        <v>0</v>
      </c>
      <c r="AN108" s="40"/>
      <c r="AO108" s="40"/>
      <c r="AP108" s="40"/>
      <c r="AQ108" s="40"/>
      <c r="AR108" s="40">
        <f t="shared" si="216"/>
        <v>0</v>
      </c>
      <c r="AS108" s="40"/>
      <c r="AT108" s="40"/>
      <c r="AU108" s="40"/>
      <c r="AV108" s="40"/>
      <c r="AW108" s="40"/>
      <c r="AX108" s="40"/>
      <c r="AY108" s="40"/>
      <c r="AZ108" s="40"/>
      <c r="BA108" s="40">
        <f t="shared" si="217"/>
        <v>0</v>
      </c>
      <c r="BB108" s="53"/>
      <c r="BC108" s="54"/>
      <c r="BD108" s="54"/>
      <c r="BE108" s="53"/>
      <c r="BF108" s="54"/>
    </row>
    <row r="109" spans="1:58" ht="12.95" customHeight="1">
      <c r="A109" s="43"/>
      <c r="B109" s="44"/>
      <c r="C109" s="447"/>
      <c r="D109" s="44"/>
      <c r="E109" s="45"/>
      <c r="F109" s="45"/>
      <c r="G109" s="46"/>
      <c r="H109" s="46"/>
      <c r="I109" s="48"/>
      <c r="J109" s="85"/>
      <c r="K109" s="85"/>
      <c r="L109" s="38"/>
      <c r="M109" s="38"/>
      <c r="N109" s="49"/>
      <c r="O109" s="50"/>
      <c r="P109" s="51"/>
      <c r="Q109" s="50"/>
      <c r="R109" s="503"/>
      <c r="S109" s="503"/>
      <c r="T109" s="40"/>
      <c r="U109" s="40"/>
      <c r="V109" s="40"/>
      <c r="W109" s="40"/>
      <c r="X109" s="41"/>
      <c r="Y109" s="214"/>
      <c r="Z109" s="40"/>
      <c r="AA109" s="40"/>
      <c r="AB109" s="40"/>
      <c r="AC109" s="40"/>
      <c r="AD109" s="40"/>
      <c r="AE109" s="233"/>
      <c r="AF109" s="40"/>
      <c r="AG109" s="40"/>
      <c r="AH109" s="40"/>
      <c r="AI109" s="505"/>
      <c r="AJ109" s="40"/>
      <c r="AK109" s="40"/>
      <c r="AL109" s="40"/>
      <c r="AM109" s="40"/>
      <c r="AN109" s="86"/>
      <c r="AO109" s="40"/>
      <c r="AP109" s="40"/>
      <c r="AQ109" s="40"/>
      <c r="AR109" s="40"/>
      <c r="AS109" s="40"/>
      <c r="AT109" s="40"/>
      <c r="AU109" s="40"/>
      <c r="AV109" s="40"/>
      <c r="AW109" s="40"/>
      <c r="AX109" s="40"/>
      <c r="AY109" s="40"/>
      <c r="AZ109" s="40"/>
      <c r="BA109" s="40"/>
      <c r="BB109" s="53"/>
      <c r="BC109" s="54"/>
      <c r="BD109" s="54"/>
      <c r="BE109" s="54"/>
      <c r="BF109" s="54"/>
    </row>
    <row r="110" spans="1:58" ht="12.75" customHeight="1">
      <c r="A110" s="43">
        <v>46101</v>
      </c>
      <c r="B110" s="44" t="s">
        <v>423</v>
      </c>
      <c r="C110" s="447">
        <f>(M110*E110*O110*Q110)/100000000</f>
        <v>50.99796156</v>
      </c>
      <c r="D110" s="44" t="s">
        <v>425</v>
      </c>
      <c r="E110" s="45">
        <v>14</v>
      </c>
      <c r="F110" s="45">
        <v>1</v>
      </c>
      <c r="G110" s="598">
        <f>+L110</f>
        <v>1196.7361111111111</v>
      </c>
      <c r="H110" s="47">
        <f>+N110</f>
        <v>0.21999999999999997</v>
      </c>
      <c r="I110" s="48">
        <v>0.88</v>
      </c>
      <c r="J110" s="85">
        <f>E110*G110*(1-H110)*1440/1000000*2.75</f>
        <v>51.750698999999997</v>
      </c>
      <c r="K110" s="85">
        <f t="shared" ref="K110" si="218">(IF(G110&lt;L110,L110,G110)*(1-IF(H110&lt;N110,H110,N110))*E110*O110*Q110)/100000000</f>
        <v>50.99796156</v>
      </c>
      <c r="L110" s="38">
        <v>1196.7361111111111</v>
      </c>
      <c r="M110" s="38">
        <v>933.45416666666665</v>
      </c>
      <c r="N110" s="49">
        <f>1-(M110/L110)</f>
        <v>0.21999999999999997</v>
      </c>
      <c r="O110" s="50">
        <f>+'Trim Rwd'!H62</f>
        <v>271</v>
      </c>
      <c r="P110" s="51">
        <f>O110*(Q110-R110-S110)</f>
        <v>372625</v>
      </c>
      <c r="Q110" s="50">
        <v>1440</v>
      </c>
      <c r="R110" s="503">
        <v>0</v>
      </c>
      <c r="S110" s="503">
        <v>65</v>
      </c>
      <c r="T110" s="40">
        <f>E110*M110*O110*Q110/100000000</f>
        <v>50.99796156</v>
      </c>
      <c r="U110" s="40">
        <f>E110*M110*O110*(Q110-R110-S110)/100000000</f>
        <v>48.695970239583332</v>
      </c>
      <c r="V110" s="40">
        <f>E110*G110*(1-N110)*O110/100*(R110+S110)/1000000</f>
        <v>2.3019913204166671</v>
      </c>
      <c r="W110" s="40">
        <f>+'20'!K7/1000</f>
        <v>45.683999999999997</v>
      </c>
      <c r="X110" s="504">
        <f>SUM(W110:W113)/SUM(K110:K113)</f>
        <v>0.89580051050181619</v>
      </c>
      <c r="Y110" s="214">
        <v>0</v>
      </c>
      <c r="Z110" s="40">
        <v>0</v>
      </c>
      <c r="AA110" s="52">
        <f>SUM(U110:U113)-SUM(W110:W113)-SUM(Z110:Z113)-SUM(Y110:Y113)</f>
        <v>3.0119702395833343</v>
      </c>
      <c r="AB110" s="52">
        <f>(SUM(K110:K113)-SUM(W110:W113)-SUM(Y110:Y113)-SUM(Z110:Z113)-SUM(AC110:AC113)-SUM(V110:V113))-AA110</f>
        <v>0</v>
      </c>
      <c r="AC110" s="40">
        <f>K110-T110</f>
        <v>0</v>
      </c>
      <c r="AD110" s="40">
        <f>+AM110+BA110</f>
        <v>5</v>
      </c>
      <c r="AE110" s="233" t="s">
        <v>453</v>
      </c>
      <c r="AF110" s="40">
        <v>5</v>
      </c>
      <c r="AG110" s="40"/>
      <c r="AH110" s="40"/>
      <c r="AI110" s="505"/>
      <c r="AJ110" s="40"/>
      <c r="AK110" s="40"/>
      <c r="AL110" s="40"/>
      <c r="AM110" s="40">
        <f>SUM(AF110:AL110)+AT110</f>
        <v>5</v>
      </c>
      <c r="AN110" s="40"/>
      <c r="AO110" s="40"/>
      <c r="AP110" s="40"/>
      <c r="AQ110" s="40"/>
      <c r="AR110" s="40">
        <f>SUM(AN110:AQ110)</f>
        <v>0</v>
      </c>
      <c r="AS110" s="40"/>
      <c r="AT110" s="40"/>
      <c r="AU110" s="40"/>
      <c r="AV110" s="40"/>
      <c r="AW110" s="40"/>
      <c r="AX110" s="40"/>
      <c r="AY110" s="40"/>
      <c r="AZ110" s="40"/>
      <c r="BA110" s="40">
        <f>+AR110+AS110+AU110+AV110+AX110</f>
        <v>0</v>
      </c>
      <c r="BB110" s="36">
        <v>1</v>
      </c>
      <c r="BC110" s="54"/>
      <c r="BD110" s="54"/>
      <c r="BE110" s="36"/>
      <c r="BF110" s="54"/>
    </row>
    <row r="111" spans="1:58" ht="12.95" customHeight="1">
      <c r="A111" s="43"/>
      <c r="B111" s="44"/>
      <c r="C111" s="447"/>
      <c r="D111" s="44"/>
      <c r="E111" s="45"/>
      <c r="F111" s="45"/>
      <c r="G111" s="502"/>
      <c r="H111" s="47"/>
      <c r="I111" s="48"/>
      <c r="J111" s="85"/>
      <c r="K111" s="85"/>
      <c r="L111" s="38"/>
      <c r="M111" s="38"/>
      <c r="N111" s="49"/>
      <c r="O111" s="50"/>
      <c r="P111" s="51"/>
      <c r="Q111" s="50"/>
      <c r="R111" s="503"/>
      <c r="S111" s="503"/>
      <c r="T111" s="40"/>
      <c r="U111" s="40"/>
      <c r="V111" s="40"/>
      <c r="W111" s="40"/>
      <c r="X111" s="41"/>
      <c r="Y111" s="214"/>
      <c r="Z111" s="40"/>
      <c r="AA111" s="40"/>
      <c r="AB111" s="40"/>
      <c r="AC111" s="40"/>
      <c r="AD111" s="40">
        <f t="shared" ref="AD111:AD113" si="219">+AM111+BA111</f>
        <v>22</v>
      </c>
      <c r="AE111" s="233" t="s">
        <v>461</v>
      </c>
      <c r="AF111" s="40"/>
      <c r="AG111" s="40">
        <v>22</v>
      </c>
      <c r="AH111" s="40"/>
      <c r="AI111" s="505"/>
      <c r="AJ111" s="40"/>
      <c r="AK111" s="40"/>
      <c r="AL111" s="40"/>
      <c r="AM111" s="40">
        <f t="shared" ref="AM111:AM113" si="220">SUM(AF111:AL111)+AT111</f>
        <v>22</v>
      </c>
      <c r="AN111" s="86"/>
      <c r="AO111" s="40"/>
      <c r="AP111" s="40"/>
      <c r="AQ111" s="40"/>
      <c r="AR111" s="40">
        <f t="shared" ref="AR111:AR113" si="221">SUM(AN111:AQ111)</f>
        <v>0</v>
      </c>
      <c r="AS111" s="40"/>
      <c r="AT111" s="40"/>
      <c r="AU111" s="40"/>
      <c r="AV111" s="40"/>
      <c r="AW111" s="40"/>
      <c r="AX111" s="40"/>
      <c r="AY111" s="40"/>
      <c r="AZ111" s="40"/>
      <c r="BA111" s="40">
        <f t="shared" ref="BA111:BA113" si="222">+AR111+AS111+AU111+AV111+AX111</f>
        <v>0</v>
      </c>
      <c r="BB111" s="53"/>
      <c r="BC111" s="54">
        <v>13</v>
      </c>
      <c r="BD111" s="54"/>
      <c r="BE111" s="53"/>
      <c r="BF111" s="54"/>
    </row>
    <row r="112" spans="1:58" ht="12.95" customHeight="1">
      <c r="A112" s="43"/>
      <c r="B112" s="44"/>
      <c r="C112" s="447"/>
      <c r="D112" s="44"/>
      <c r="E112" s="45"/>
      <c r="F112" s="45"/>
      <c r="G112" s="502"/>
      <c r="H112" s="47"/>
      <c r="I112" s="48"/>
      <c r="J112" s="85"/>
      <c r="K112" s="85"/>
      <c r="L112" s="38"/>
      <c r="M112" s="38"/>
      <c r="N112" s="49"/>
      <c r="O112" s="50"/>
      <c r="P112" s="51"/>
      <c r="Q112" s="50"/>
      <c r="R112" s="503"/>
      <c r="S112" s="503"/>
      <c r="T112" s="40"/>
      <c r="U112" s="40"/>
      <c r="V112" s="40"/>
      <c r="W112" s="40"/>
      <c r="X112" s="41"/>
      <c r="Y112" s="214"/>
      <c r="Z112" s="40"/>
      <c r="AA112" s="40"/>
      <c r="AB112" s="40"/>
      <c r="AC112" s="40"/>
      <c r="AD112" s="40">
        <f t="shared" si="219"/>
        <v>23</v>
      </c>
      <c r="AE112" s="233" t="s">
        <v>475</v>
      </c>
      <c r="AF112" s="36"/>
      <c r="AG112" s="36"/>
      <c r="AH112" s="36">
        <v>23</v>
      </c>
      <c r="AJ112" s="40"/>
      <c r="AK112" s="40"/>
      <c r="AL112" s="40"/>
      <c r="AM112" s="40">
        <f t="shared" si="220"/>
        <v>23</v>
      </c>
      <c r="AN112" s="40"/>
      <c r="AO112" s="40"/>
      <c r="AP112" s="40"/>
      <c r="AQ112" s="40"/>
      <c r="AR112" s="40">
        <f t="shared" si="221"/>
        <v>0</v>
      </c>
      <c r="AS112" s="40"/>
      <c r="AT112" s="40"/>
      <c r="AU112" s="40"/>
      <c r="AV112" s="40"/>
      <c r="AW112" s="40"/>
      <c r="AX112" s="40"/>
      <c r="AY112" s="40"/>
      <c r="AZ112" s="40"/>
      <c r="BA112" s="40">
        <f t="shared" si="222"/>
        <v>0</v>
      </c>
      <c r="BB112" s="36"/>
      <c r="BC112" s="506"/>
      <c r="BD112" s="506"/>
      <c r="BE112" s="36"/>
      <c r="BF112" s="506"/>
    </row>
    <row r="113" spans="1:58" ht="12.95" customHeight="1">
      <c r="A113" s="43"/>
      <c r="B113" s="44"/>
      <c r="C113" s="447"/>
      <c r="D113" s="44"/>
      <c r="E113" s="45"/>
      <c r="F113" s="45"/>
      <c r="G113" s="46"/>
      <c r="H113" s="47"/>
      <c r="I113" s="48"/>
      <c r="J113" s="85"/>
      <c r="K113" s="85"/>
      <c r="L113" s="38"/>
      <c r="M113" s="38"/>
      <c r="N113" s="49"/>
      <c r="O113" s="50"/>
      <c r="P113" s="51"/>
      <c r="Q113" s="37"/>
      <c r="R113" s="503"/>
      <c r="S113" s="503"/>
      <c r="T113" s="40"/>
      <c r="U113" s="40"/>
      <c r="V113" s="40"/>
      <c r="W113" s="40"/>
      <c r="X113" s="41"/>
      <c r="Y113" s="214"/>
      <c r="Z113" s="40"/>
      <c r="AA113" s="40"/>
      <c r="AB113" s="40"/>
      <c r="AC113" s="40"/>
      <c r="AD113" s="40">
        <f t="shared" si="219"/>
        <v>15</v>
      </c>
      <c r="AE113" s="236" t="s">
        <v>734</v>
      </c>
      <c r="AF113" s="40"/>
      <c r="AG113" s="40"/>
      <c r="AH113" s="40"/>
      <c r="AI113" s="505">
        <v>0</v>
      </c>
      <c r="AJ113" s="40">
        <v>15</v>
      </c>
      <c r="AK113" s="40"/>
      <c r="AL113" s="40"/>
      <c r="AM113" s="40">
        <f t="shared" si="220"/>
        <v>15</v>
      </c>
      <c r="AN113" s="40"/>
      <c r="AO113" s="40"/>
      <c r="AP113" s="40"/>
      <c r="AQ113" s="40"/>
      <c r="AR113" s="40">
        <f t="shared" si="221"/>
        <v>0</v>
      </c>
      <c r="AS113" s="40"/>
      <c r="AT113" s="40"/>
      <c r="AU113" s="40"/>
      <c r="AV113" s="40"/>
      <c r="AW113" s="40"/>
      <c r="AX113" s="40"/>
      <c r="AY113" s="40"/>
      <c r="AZ113" s="40"/>
      <c r="BA113" s="40">
        <f t="shared" si="222"/>
        <v>0</v>
      </c>
      <c r="BB113" s="53"/>
      <c r="BC113" s="54"/>
      <c r="BD113" s="54"/>
      <c r="BE113" s="53"/>
      <c r="BF113" s="54"/>
    </row>
    <row r="114" spans="1:58" ht="12.95" customHeight="1">
      <c r="A114" s="43"/>
      <c r="B114" s="44"/>
      <c r="C114" s="447"/>
      <c r="D114" s="44"/>
      <c r="E114" s="45"/>
      <c r="F114" s="45"/>
      <c r="G114" s="46"/>
      <c r="H114" s="46"/>
      <c r="I114" s="48"/>
      <c r="J114" s="85"/>
      <c r="K114" s="85"/>
      <c r="L114" s="38"/>
      <c r="M114" s="38"/>
      <c r="N114" s="49"/>
      <c r="O114" s="50"/>
      <c r="P114" s="51"/>
      <c r="Q114" s="50"/>
      <c r="R114" s="503"/>
      <c r="S114" s="503"/>
      <c r="T114" s="40"/>
      <c r="U114" s="40"/>
      <c r="V114" s="40"/>
      <c r="W114" s="40"/>
      <c r="X114" s="41"/>
      <c r="Y114" s="214"/>
      <c r="Z114" s="40"/>
      <c r="AA114" s="40"/>
      <c r="AB114" s="40"/>
      <c r="AC114" s="40"/>
      <c r="AD114" s="40"/>
      <c r="AE114" s="233"/>
      <c r="AF114" s="40"/>
      <c r="AG114" s="40"/>
      <c r="AH114" s="40"/>
      <c r="AI114" s="505"/>
      <c r="AJ114" s="40"/>
      <c r="AK114" s="40"/>
      <c r="AL114" s="40"/>
      <c r="AM114" s="40"/>
      <c r="AN114" s="86"/>
      <c r="AO114" s="40"/>
      <c r="AP114" s="40"/>
      <c r="AQ114" s="40"/>
      <c r="AR114" s="40"/>
      <c r="AS114" s="40"/>
      <c r="AT114" s="40"/>
      <c r="AU114" s="40"/>
      <c r="AV114" s="40"/>
      <c r="AW114" s="40"/>
      <c r="AX114" s="40"/>
      <c r="AY114" s="40"/>
      <c r="AZ114" s="40"/>
      <c r="BA114" s="40"/>
      <c r="BB114" s="53"/>
      <c r="BC114" s="54"/>
      <c r="BD114" s="54"/>
      <c r="BE114" s="54"/>
      <c r="BF114" s="54"/>
    </row>
    <row r="115" spans="1:58" ht="12.75" customHeight="1">
      <c r="A115" s="43">
        <v>46102</v>
      </c>
      <c r="B115" s="44" t="s">
        <v>423</v>
      </c>
      <c r="C115" s="447">
        <f>(M115*E115*O115*Q115)/100000000</f>
        <v>50.876729838805971</v>
      </c>
      <c r="D115" s="44" t="s">
        <v>425</v>
      </c>
      <c r="E115" s="45">
        <v>14</v>
      </c>
      <c r="F115" s="45">
        <v>1</v>
      </c>
      <c r="G115" s="598">
        <f>+L115</f>
        <v>1183.3333333333333</v>
      </c>
      <c r="H115" s="47">
        <f>+N115</f>
        <v>0.21999999999999997</v>
      </c>
      <c r="I115" s="48">
        <v>0.88</v>
      </c>
      <c r="J115" s="85">
        <f>E115*G115*(1-H115)*1440/1000000*2.75</f>
        <v>51.171119999999988</v>
      </c>
      <c r="K115" s="85">
        <f t="shared" ref="K115" si="223">(IF(G115&lt;L115,L115,G115)*(1-IF(H115&lt;N115,H115,N115))*E115*O115*Q115)/100000000</f>
        <v>50.876729838805971</v>
      </c>
      <c r="L115" s="38">
        <v>1183.3333333333333</v>
      </c>
      <c r="M115" s="38">
        <v>923</v>
      </c>
      <c r="N115" s="49">
        <f>1-(M115/L115)</f>
        <v>0.21999999999999997</v>
      </c>
      <c r="O115" s="50">
        <f>+'Trim Rwd'!H64</f>
        <v>273.41791044776119</v>
      </c>
      <c r="P115" s="51">
        <f>O115*(Q115-R115-S115)</f>
        <v>379777.4776119403</v>
      </c>
      <c r="Q115" s="50">
        <v>1440</v>
      </c>
      <c r="R115" s="503">
        <v>0</v>
      </c>
      <c r="S115" s="503">
        <v>51</v>
      </c>
      <c r="T115" s="40">
        <f>E115*M115*O115*Q115/100000000</f>
        <v>50.876729838805971</v>
      </c>
      <c r="U115" s="40">
        <f>E115*M115*O115*(Q115-R115-S115)/100000000</f>
        <v>49.074845657014926</v>
      </c>
      <c r="V115" s="40">
        <f>E115*G115*(1-N115)*O115/100*(R115+S115)/1000000</f>
        <v>1.8018841817910445</v>
      </c>
      <c r="W115" s="40">
        <f>+'21'!K7/1000</f>
        <v>47.493000000000002</v>
      </c>
      <c r="X115" s="504">
        <f>SUM(W115:W118)/SUM(K115:K118)</f>
        <v>0.93349160117942476</v>
      </c>
      <c r="Y115" s="214">
        <v>0</v>
      </c>
      <c r="Z115" s="40">
        <f>+'21'!D34/1000</f>
        <v>0.70399999999999996</v>
      </c>
      <c r="AA115" s="52">
        <f>SUM(U115:U118)-SUM(W115:W118)-SUM(Z115:Z118)-SUM(Y115:Y118)</f>
        <v>0.87784565701492379</v>
      </c>
      <c r="AB115" s="52">
        <f>(SUM(K115:K118)-SUM(W115:W118)-SUM(Y115:Y118)-SUM(Z115:Z118)-SUM(AC115:AC118)-SUM(V115:V118))-AA115</f>
        <v>1.3322676295501878E-15</v>
      </c>
      <c r="AC115" s="40">
        <f>K115-T115</f>
        <v>0</v>
      </c>
      <c r="AD115" s="40">
        <f>+AM115+BA115</f>
        <v>0</v>
      </c>
      <c r="AE115" s="233" t="s">
        <v>391</v>
      </c>
      <c r="AF115" s="40">
        <v>0</v>
      </c>
      <c r="AG115" s="40"/>
      <c r="AH115" s="40"/>
      <c r="AI115" s="505"/>
      <c r="AJ115" s="40"/>
      <c r="AK115" s="40"/>
      <c r="AL115" s="40"/>
      <c r="AM115" s="40">
        <f>SUM(AF115:AL115)+AT115</f>
        <v>0</v>
      </c>
      <c r="AN115" s="40"/>
      <c r="AO115" s="40"/>
      <c r="AP115" s="40"/>
      <c r="AQ115" s="40"/>
      <c r="AR115" s="40">
        <f>SUM(AN115:AQ115)</f>
        <v>0</v>
      </c>
      <c r="AS115" s="40"/>
      <c r="AT115" s="40"/>
      <c r="AU115" s="40"/>
      <c r="AV115" s="40"/>
      <c r="AW115" s="40"/>
      <c r="AX115" s="40"/>
      <c r="AY115" s="40"/>
      <c r="AZ115" s="40"/>
      <c r="BA115" s="40">
        <f>+AR115+AS115+AU115+AV115+AX115</f>
        <v>0</v>
      </c>
      <c r="BB115" s="36">
        <v>0</v>
      </c>
      <c r="BC115" s="54"/>
      <c r="BD115" s="54"/>
      <c r="BE115" s="36"/>
      <c r="BF115" s="54"/>
    </row>
    <row r="116" spans="1:58" ht="12.95" customHeight="1">
      <c r="A116" s="43"/>
      <c r="B116" s="44"/>
      <c r="C116" s="447"/>
      <c r="D116" s="44"/>
      <c r="E116" s="45"/>
      <c r="F116" s="45"/>
      <c r="G116" s="502"/>
      <c r="H116" s="47"/>
      <c r="I116" s="48"/>
      <c r="J116" s="85"/>
      <c r="K116" s="85"/>
      <c r="L116" s="38"/>
      <c r="M116" s="38"/>
      <c r="N116" s="49"/>
      <c r="O116" s="50"/>
      <c r="P116" s="51"/>
      <c r="Q116" s="50"/>
      <c r="R116" s="503"/>
      <c r="S116" s="503"/>
      <c r="T116" s="40"/>
      <c r="U116" s="40"/>
      <c r="V116" s="40"/>
      <c r="W116" s="40"/>
      <c r="X116" s="41"/>
      <c r="Y116" s="214"/>
      <c r="Z116" s="40"/>
      <c r="AA116" s="40"/>
      <c r="AB116" s="40"/>
      <c r="AC116" s="40"/>
      <c r="AD116" s="40">
        <f t="shared" ref="AD116:AD118" si="224">+AM116+BA116</f>
        <v>15</v>
      </c>
      <c r="AE116" s="233" t="s">
        <v>555</v>
      </c>
      <c r="AF116" s="40"/>
      <c r="AG116" s="40">
        <v>15</v>
      </c>
      <c r="AH116" s="40"/>
      <c r="AI116" s="505"/>
      <c r="AJ116" s="40"/>
      <c r="AK116" s="40"/>
      <c r="AL116" s="40"/>
      <c r="AM116" s="40">
        <f t="shared" ref="AM116:AM118" si="225">SUM(AF116:AL116)+AT116</f>
        <v>15</v>
      </c>
      <c r="AN116" s="86"/>
      <c r="AO116" s="40"/>
      <c r="AP116" s="40"/>
      <c r="AQ116" s="40"/>
      <c r="AR116" s="40">
        <f t="shared" ref="AR116:AR118" si="226">SUM(AN116:AQ116)</f>
        <v>0</v>
      </c>
      <c r="AS116" s="40"/>
      <c r="AT116" s="40"/>
      <c r="AU116" s="40"/>
      <c r="AV116" s="40"/>
      <c r="AW116" s="40"/>
      <c r="AX116" s="40"/>
      <c r="AY116" s="40"/>
      <c r="AZ116" s="40"/>
      <c r="BA116" s="40">
        <f t="shared" ref="BA116:BA118" si="227">+AR116+AS116+AU116+AV116+AX116</f>
        <v>0</v>
      </c>
      <c r="BB116" s="53"/>
      <c r="BC116" s="54">
        <v>10</v>
      </c>
      <c r="BD116" s="54"/>
      <c r="BE116" s="53"/>
      <c r="BF116" s="54"/>
    </row>
    <row r="117" spans="1:58" ht="12.95" customHeight="1">
      <c r="A117" s="43"/>
      <c r="B117" s="44"/>
      <c r="C117" s="447"/>
      <c r="D117" s="44"/>
      <c r="E117" s="45"/>
      <c r="F117" s="45"/>
      <c r="G117" s="502"/>
      <c r="H117" s="47"/>
      <c r="I117" s="48"/>
      <c r="J117" s="85"/>
      <c r="K117" s="85"/>
      <c r="L117" s="38"/>
      <c r="M117" s="38"/>
      <c r="N117" s="49"/>
      <c r="O117" s="50"/>
      <c r="P117" s="51"/>
      <c r="Q117" s="50"/>
      <c r="R117" s="503"/>
      <c r="S117" s="503"/>
      <c r="T117" s="40"/>
      <c r="U117" s="40"/>
      <c r="V117" s="40"/>
      <c r="W117" s="40"/>
      <c r="X117" s="41"/>
      <c r="Y117" s="214"/>
      <c r="Z117" s="40"/>
      <c r="AA117" s="40"/>
      <c r="AB117" s="40"/>
      <c r="AC117" s="40"/>
      <c r="AD117" s="40">
        <f t="shared" si="224"/>
        <v>23</v>
      </c>
      <c r="AE117" s="233" t="s">
        <v>475</v>
      </c>
      <c r="AF117" s="36"/>
      <c r="AG117" s="36"/>
      <c r="AH117" s="36">
        <v>23</v>
      </c>
      <c r="AJ117" s="40"/>
      <c r="AK117" s="40"/>
      <c r="AL117" s="40"/>
      <c r="AM117" s="40">
        <f t="shared" si="225"/>
        <v>23</v>
      </c>
      <c r="AN117" s="40"/>
      <c r="AO117" s="40"/>
      <c r="AP117" s="40"/>
      <c r="AQ117" s="40"/>
      <c r="AR117" s="40">
        <f t="shared" si="226"/>
        <v>0</v>
      </c>
      <c r="AS117" s="40"/>
      <c r="AT117" s="40"/>
      <c r="AU117" s="40"/>
      <c r="AV117" s="40"/>
      <c r="AW117" s="40"/>
      <c r="AX117" s="40"/>
      <c r="AY117" s="40"/>
      <c r="AZ117" s="40"/>
      <c r="BA117" s="40">
        <f t="shared" si="227"/>
        <v>0</v>
      </c>
      <c r="BB117" s="36"/>
      <c r="BC117" s="506"/>
      <c r="BD117" s="506"/>
      <c r="BE117" s="36"/>
      <c r="BF117" s="506"/>
    </row>
    <row r="118" spans="1:58" ht="12.95" customHeight="1">
      <c r="A118" s="43"/>
      <c r="B118" s="44"/>
      <c r="C118" s="447"/>
      <c r="D118" s="44"/>
      <c r="E118" s="45"/>
      <c r="F118" s="45"/>
      <c r="G118" s="46"/>
      <c r="H118" s="47"/>
      <c r="I118" s="48"/>
      <c r="J118" s="85"/>
      <c r="K118" s="85"/>
      <c r="L118" s="38"/>
      <c r="M118" s="38"/>
      <c r="N118" s="49"/>
      <c r="O118" s="50"/>
      <c r="P118" s="51"/>
      <c r="Q118" s="37"/>
      <c r="R118" s="503"/>
      <c r="S118" s="503"/>
      <c r="T118" s="40"/>
      <c r="U118" s="40"/>
      <c r="V118" s="40"/>
      <c r="W118" s="40"/>
      <c r="X118" s="41"/>
      <c r="Y118" s="214"/>
      <c r="Z118" s="40"/>
      <c r="AA118" s="40"/>
      <c r="AB118" s="40"/>
      <c r="AC118" s="40"/>
      <c r="AD118" s="40">
        <f t="shared" si="224"/>
        <v>13</v>
      </c>
      <c r="AE118" s="236" t="s">
        <v>228</v>
      </c>
      <c r="AF118" s="40"/>
      <c r="AG118" s="40"/>
      <c r="AH118" s="40"/>
      <c r="AI118" s="505">
        <v>13</v>
      </c>
      <c r="AJ118" s="40"/>
      <c r="AK118" s="40"/>
      <c r="AL118" s="40"/>
      <c r="AM118" s="40">
        <f t="shared" si="225"/>
        <v>13</v>
      </c>
      <c r="AN118" s="40"/>
      <c r="AO118" s="40"/>
      <c r="AP118" s="40"/>
      <c r="AQ118" s="40"/>
      <c r="AR118" s="40">
        <f t="shared" si="226"/>
        <v>0</v>
      </c>
      <c r="AS118" s="40"/>
      <c r="AT118" s="40"/>
      <c r="AU118" s="40"/>
      <c r="AV118" s="40"/>
      <c r="AW118" s="40"/>
      <c r="AX118" s="40"/>
      <c r="AY118" s="40"/>
      <c r="AZ118" s="40"/>
      <c r="BA118" s="40">
        <f t="shared" si="227"/>
        <v>0</v>
      </c>
      <c r="BB118" s="53"/>
      <c r="BC118" s="54"/>
      <c r="BD118" s="54"/>
      <c r="BE118" s="53"/>
      <c r="BF118" s="54"/>
    </row>
    <row r="119" spans="1:58" ht="12.95" customHeight="1">
      <c r="A119" s="43"/>
      <c r="B119" s="44"/>
      <c r="C119" s="447"/>
      <c r="D119" s="44"/>
      <c r="E119" s="45"/>
      <c r="F119" s="45"/>
      <c r="G119" s="46"/>
      <c r="H119" s="46"/>
      <c r="I119" s="48"/>
      <c r="J119" s="85"/>
      <c r="K119" s="85"/>
      <c r="L119" s="38"/>
      <c r="M119" s="38"/>
      <c r="N119" s="49"/>
      <c r="O119" s="50"/>
      <c r="P119" s="51"/>
      <c r="Q119" s="50"/>
      <c r="R119" s="503"/>
      <c r="S119" s="503"/>
      <c r="T119" s="40"/>
      <c r="U119" s="40"/>
      <c r="V119" s="40"/>
      <c r="W119" s="40"/>
      <c r="X119" s="504"/>
      <c r="Y119" s="214"/>
      <c r="Z119" s="40"/>
      <c r="AA119" s="52"/>
      <c r="AB119" s="52"/>
      <c r="AC119" s="40"/>
      <c r="AD119" s="40"/>
      <c r="AE119" s="233"/>
      <c r="AF119" s="40"/>
      <c r="AG119" s="40"/>
      <c r="AH119" s="40"/>
      <c r="AI119" s="505"/>
      <c r="AJ119" s="40"/>
      <c r="AK119" s="40"/>
      <c r="AL119" s="40"/>
      <c r="AM119" s="40"/>
      <c r="AN119" s="40"/>
      <c r="AO119" s="40"/>
      <c r="AP119" s="40"/>
      <c r="AQ119" s="40"/>
      <c r="AR119" s="40"/>
      <c r="AS119" s="40"/>
      <c r="AT119" s="40"/>
      <c r="AU119" s="40"/>
      <c r="AV119" s="40"/>
      <c r="AW119" s="40"/>
      <c r="AX119" s="40"/>
      <c r="AY119" s="40"/>
      <c r="AZ119" s="40"/>
      <c r="BA119" s="40"/>
      <c r="BB119" s="36"/>
      <c r="BC119" s="54"/>
      <c r="BD119" s="54"/>
      <c r="BE119" s="54"/>
      <c r="BF119" s="54"/>
    </row>
    <row r="120" spans="1:58" ht="12.75" customHeight="1">
      <c r="A120" s="43">
        <v>46103</v>
      </c>
      <c r="B120" s="44" t="s">
        <v>423</v>
      </c>
      <c r="C120" s="447">
        <f>(M120*E120*O120*Q120)/100000000</f>
        <v>22.979174400000002</v>
      </c>
      <c r="D120" s="44" t="s">
        <v>425</v>
      </c>
      <c r="E120" s="45">
        <v>14</v>
      </c>
      <c r="F120" s="45">
        <v>1</v>
      </c>
      <c r="G120" s="598">
        <f>+L120</f>
        <v>1200</v>
      </c>
      <c r="H120" s="47">
        <f>+N120</f>
        <v>0.21999999999999997</v>
      </c>
      <c r="I120" s="48">
        <v>0.88</v>
      </c>
      <c r="J120" s="85">
        <f>E120*G120*(1-H120)*1440/1000000*2.75</f>
        <v>51.891840000000002</v>
      </c>
      <c r="K120" s="85">
        <f t="shared" ref="K120" si="228">(IF(G120&lt;L120,L120,G120)*(1-IF(H120&lt;N120,H120,N120))*E120*O120*Q120)/100000000</f>
        <v>22.979174400000002</v>
      </c>
      <c r="L120" s="38">
        <v>1200</v>
      </c>
      <c r="M120" s="38">
        <v>936</v>
      </c>
      <c r="N120" s="49">
        <f>1-(M120/L120)</f>
        <v>0.21999999999999997</v>
      </c>
      <c r="O120" s="50">
        <f>+'Trim Rwd'!H67</f>
        <v>274</v>
      </c>
      <c r="P120" s="51">
        <f>O120*(Q120-R120-S120)</f>
        <v>169606</v>
      </c>
      <c r="Q120" s="50">
        <v>640</v>
      </c>
      <c r="R120" s="503">
        <v>0</v>
      </c>
      <c r="S120" s="503">
        <v>21</v>
      </c>
      <c r="T120" s="40">
        <f>E120*M120*O120*Q120/100000000</f>
        <v>22.979174400000002</v>
      </c>
      <c r="U120" s="40">
        <f>E120*M120*O120*(Q120-R120-S120)/100000000</f>
        <v>22.225170240000001</v>
      </c>
      <c r="V120" s="40">
        <f>E120*G120*(1-N120)*O120/100*(R120+S120)/1000000</f>
        <v>0.75400416000000003</v>
      </c>
      <c r="W120" s="40">
        <f>+'22'!K7/1000</f>
        <v>25.29</v>
      </c>
      <c r="X120" s="504">
        <f>SUM(W120:W123)/SUM(K120:K123)</f>
        <v>0.94194678766189488</v>
      </c>
      <c r="Y120" s="214">
        <v>0</v>
      </c>
      <c r="Z120" s="40">
        <v>0</v>
      </c>
      <c r="AA120" s="52">
        <f>SUM(U120:U123)-SUM(W120:W123)-SUM(Z120:Z123)-SUM(Y120:Y123)</f>
        <v>1.0818080000000023</v>
      </c>
      <c r="AB120" s="52">
        <f>(SUM(K120:K123)-SUM(W120:W123)-SUM(Y120:Y123)-SUM(Z120:Z123)-SUM(AC120:AC123)-SUM(V120:V123))-AA120</f>
        <v>5.9952043329758453E-15</v>
      </c>
      <c r="AC120" s="40">
        <f>K120-T120</f>
        <v>0</v>
      </c>
      <c r="AD120" s="40">
        <f>+AM120+BA120</f>
        <v>9</v>
      </c>
      <c r="AE120" s="233" t="s">
        <v>488</v>
      </c>
      <c r="AF120" s="40">
        <v>9</v>
      </c>
      <c r="AG120" s="40"/>
      <c r="AH120" s="40"/>
      <c r="AI120" s="505"/>
      <c r="AJ120" s="40"/>
      <c r="AK120" s="40"/>
      <c r="AL120" s="40"/>
      <c r="AM120" s="40">
        <f>SUM(AF120:AL120)+AT120</f>
        <v>9</v>
      </c>
      <c r="AN120" s="40"/>
      <c r="AO120" s="40"/>
      <c r="AP120" s="40"/>
      <c r="AQ120" s="40"/>
      <c r="AR120" s="40">
        <f>SUM(AN120:AQ120)</f>
        <v>0</v>
      </c>
      <c r="AS120" s="40"/>
      <c r="AT120" s="40"/>
      <c r="AU120" s="40"/>
      <c r="AV120" s="40"/>
      <c r="AW120" s="40"/>
      <c r="AX120" s="40"/>
      <c r="AY120" s="40"/>
      <c r="AZ120" s="40"/>
      <c r="BA120" s="40">
        <f>+AR120+AS120+AU120+AV120+AX120</f>
        <v>0</v>
      </c>
      <c r="BB120" s="36">
        <v>3</v>
      </c>
      <c r="BC120" s="54"/>
      <c r="BD120" s="54"/>
      <c r="BE120" s="36"/>
      <c r="BF120" s="54"/>
    </row>
    <row r="121" spans="1:58" ht="12.95" customHeight="1">
      <c r="A121" s="43"/>
      <c r="B121" s="44" t="s">
        <v>423</v>
      </c>
      <c r="C121" s="447">
        <f>(M121*E121*O121*Q121)/100000000</f>
        <v>27.795456000000001</v>
      </c>
      <c r="D121" s="44" t="s">
        <v>425</v>
      </c>
      <c r="E121" s="45">
        <v>14.5</v>
      </c>
      <c r="F121" s="45">
        <v>1</v>
      </c>
      <c r="G121" s="598">
        <f>+L121</f>
        <v>1200</v>
      </c>
      <c r="H121" s="47">
        <f>+N121</f>
        <v>0.21999999999999997</v>
      </c>
      <c r="I121" s="48">
        <v>0.88</v>
      </c>
      <c r="J121" s="85">
        <f>E121*G121*(1-H121)*1440/1000000*2.75</f>
        <v>53.745119999999993</v>
      </c>
      <c r="K121" s="85">
        <f t="shared" ref="K121" si="229">(IF(G121&lt;L121,L121,G121)*(1-IF(H121&lt;N121,H121,N121))*E121*O121*Q121)/100000000</f>
        <v>27.795456000000001</v>
      </c>
      <c r="L121" s="38">
        <v>1200</v>
      </c>
      <c r="M121" s="38">
        <v>936</v>
      </c>
      <c r="N121" s="49">
        <f>1-(M121/L121)</f>
        <v>0.21999999999999997</v>
      </c>
      <c r="O121" s="50">
        <f>+'Trim Rwd'!H68</f>
        <v>256</v>
      </c>
      <c r="P121" s="51">
        <f>O121*(Q121-R121-S121)</f>
        <v>196608</v>
      </c>
      <c r="Q121" s="50">
        <v>800</v>
      </c>
      <c r="R121" s="503">
        <v>0</v>
      </c>
      <c r="S121" s="503">
        <v>32</v>
      </c>
      <c r="T121" s="40">
        <f>E121*M121*O121*Q121/100000000</f>
        <v>27.795456000000001</v>
      </c>
      <c r="U121" s="40">
        <f>E121*M121*O121*(Q121-R121-S121)/100000000</f>
        <v>26.68363776</v>
      </c>
      <c r="V121" s="40">
        <f>E121*G121*(1-N121)*O121/100*(R121+S121)/1000000</f>
        <v>1.1118182400000001</v>
      </c>
      <c r="W121" s="40">
        <f>+'22'!K15/1000</f>
        <v>22.536999999999999</v>
      </c>
      <c r="X121" s="41"/>
      <c r="Y121" s="214"/>
      <c r="Z121" s="40"/>
      <c r="AA121" s="40"/>
      <c r="AB121" s="40"/>
      <c r="AC121" s="40">
        <f>K121-T121</f>
        <v>0</v>
      </c>
      <c r="AD121" s="40">
        <f t="shared" ref="AD121:AD123" si="230">+AM121+BA121</f>
        <v>10</v>
      </c>
      <c r="AE121" s="233" t="s">
        <v>457</v>
      </c>
      <c r="AF121" s="40"/>
      <c r="AG121" s="40">
        <v>10</v>
      </c>
      <c r="AH121" s="40"/>
      <c r="AI121" s="505"/>
      <c r="AJ121" s="40"/>
      <c r="AK121" s="40"/>
      <c r="AL121" s="40"/>
      <c r="AM121" s="40">
        <f t="shared" ref="AM121:AM123" si="231">SUM(AF121:AL121)+AT121</f>
        <v>10</v>
      </c>
      <c r="AN121" s="86"/>
      <c r="AO121" s="40"/>
      <c r="AP121" s="40"/>
      <c r="AQ121" s="40"/>
      <c r="AR121" s="40">
        <f t="shared" ref="AR121:AR123" si="232">SUM(AN121:AQ121)</f>
        <v>0</v>
      </c>
      <c r="AS121" s="40"/>
      <c r="AT121" s="40"/>
      <c r="AU121" s="40"/>
      <c r="AV121" s="40"/>
      <c r="AW121" s="40"/>
      <c r="AX121" s="40"/>
      <c r="AY121" s="40"/>
      <c r="AZ121" s="40"/>
      <c r="BA121" s="40">
        <f t="shared" ref="BA121:BA123" si="233">+AR121+AS121+AU121+AV121+AX121</f>
        <v>0</v>
      </c>
      <c r="BB121" s="53"/>
      <c r="BC121" s="54">
        <v>7</v>
      </c>
      <c r="BD121" s="54"/>
      <c r="BE121" s="53"/>
      <c r="BF121" s="54"/>
    </row>
    <row r="122" spans="1:58" ht="12.95" customHeight="1">
      <c r="A122" s="43"/>
      <c r="B122" s="44"/>
      <c r="C122" s="447"/>
      <c r="D122" s="44"/>
      <c r="E122" s="45"/>
      <c r="F122" s="45"/>
      <c r="G122" s="502"/>
      <c r="H122" s="47"/>
      <c r="I122" s="48"/>
      <c r="J122" s="85"/>
      <c r="K122" s="85"/>
      <c r="L122" s="38"/>
      <c r="M122" s="38"/>
      <c r="N122" s="49"/>
      <c r="O122" s="50"/>
      <c r="P122" s="51"/>
      <c r="Q122" s="50"/>
      <c r="R122" s="503"/>
      <c r="S122" s="503"/>
      <c r="T122" s="40"/>
      <c r="U122" s="40"/>
      <c r="V122" s="40"/>
      <c r="W122" s="40"/>
      <c r="X122" s="41"/>
      <c r="Y122" s="214"/>
      <c r="Z122" s="40"/>
      <c r="AA122" s="40"/>
      <c r="AB122" s="40"/>
      <c r="AC122" s="40"/>
      <c r="AD122" s="40">
        <f t="shared" si="230"/>
        <v>29</v>
      </c>
      <c r="AE122" s="233" t="s">
        <v>592</v>
      </c>
      <c r="AF122" s="36"/>
      <c r="AG122" s="36"/>
      <c r="AH122" s="36">
        <v>29</v>
      </c>
      <c r="AJ122" s="40"/>
      <c r="AK122" s="40"/>
      <c r="AL122" s="40"/>
      <c r="AM122" s="40">
        <f t="shared" si="231"/>
        <v>29</v>
      </c>
      <c r="AN122" s="40"/>
      <c r="AO122" s="40"/>
      <c r="AP122" s="40"/>
      <c r="AQ122" s="40"/>
      <c r="AR122" s="40">
        <f t="shared" si="232"/>
        <v>0</v>
      </c>
      <c r="AS122" s="40"/>
      <c r="AT122" s="40"/>
      <c r="AU122" s="40"/>
      <c r="AV122" s="40"/>
      <c r="AW122" s="40"/>
      <c r="AX122" s="40"/>
      <c r="AY122" s="40"/>
      <c r="AZ122" s="40"/>
      <c r="BA122" s="40">
        <f t="shared" si="233"/>
        <v>0</v>
      </c>
      <c r="BB122" s="36"/>
      <c r="BC122" s="506"/>
      <c r="BD122" s="506"/>
      <c r="BE122" s="36"/>
      <c r="BF122" s="506"/>
    </row>
    <row r="123" spans="1:58" ht="12.95" customHeight="1">
      <c r="A123" s="43"/>
      <c r="B123" s="44"/>
      <c r="C123" s="447"/>
      <c r="D123" s="44"/>
      <c r="E123" s="45"/>
      <c r="F123" s="45"/>
      <c r="G123" s="46"/>
      <c r="H123" s="47"/>
      <c r="I123" s="48"/>
      <c r="J123" s="85"/>
      <c r="K123" s="85"/>
      <c r="L123" s="38"/>
      <c r="M123" s="38"/>
      <c r="N123" s="49"/>
      <c r="O123" s="50"/>
      <c r="P123" s="51"/>
      <c r="Q123" s="37"/>
      <c r="R123" s="503"/>
      <c r="S123" s="503"/>
      <c r="T123" s="40"/>
      <c r="U123" s="40"/>
      <c r="V123" s="40"/>
      <c r="W123" s="40"/>
      <c r="X123" s="41"/>
      <c r="Y123" s="214"/>
      <c r="Z123" s="40"/>
      <c r="AA123" s="40"/>
      <c r="AB123" s="40"/>
      <c r="AC123" s="40"/>
      <c r="AD123" s="40">
        <f t="shared" si="230"/>
        <v>5</v>
      </c>
      <c r="AE123" s="236" t="s">
        <v>228</v>
      </c>
      <c r="AF123" s="40"/>
      <c r="AG123" s="40"/>
      <c r="AH123" s="40"/>
      <c r="AI123" s="505">
        <v>5</v>
      </c>
      <c r="AJ123" s="40"/>
      <c r="AK123" s="40"/>
      <c r="AL123" s="40"/>
      <c r="AM123" s="40">
        <f t="shared" si="231"/>
        <v>5</v>
      </c>
      <c r="AN123" s="40"/>
      <c r="AO123" s="40"/>
      <c r="AP123" s="40"/>
      <c r="AQ123" s="40"/>
      <c r="AR123" s="40">
        <f t="shared" si="232"/>
        <v>0</v>
      </c>
      <c r="AS123" s="40"/>
      <c r="AT123" s="40"/>
      <c r="AU123" s="40"/>
      <c r="AV123" s="40"/>
      <c r="AW123" s="40"/>
      <c r="AX123" s="40"/>
      <c r="AY123" s="40"/>
      <c r="AZ123" s="40"/>
      <c r="BA123" s="40">
        <f t="shared" si="233"/>
        <v>0</v>
      </c>
      <c r="BB123" s="53"/>
      <c r="BC123" s="54"/>
      <c r="BD123" s="54"/>
      <c r="BE123" s="53"/>
      <c r="BF123" s="54"/>
    </row>
    <row r="124" spans="1:58" ht="12.95" customHeight="1">
      <c r="A124" s="43"/>
      <c r="B124" s="44"/>
      <c r="C124" s="447"/>
      <c r="D124" s="44"/>
      <c r="E124" s="45"/>
      <c r="F124" s="45"/>
      <c r="G124" s="502"/>
      <c r="H124" s="47"/>
      <c r="I124" s="48"/>
      <c r="J124" s="85"/>
      <c r="K124" s="85"/>
      <c r="L124" s="38"/>
      <c r="M124" s="38"/>
      <c r="N124" s="49"/>
      <c r="O124" s="50"/>
      <c r="P124" s="51"/>
      <c r="Q124" s="50"/>
      <c r="R124" s="503"/>
      <c r="S124" s="503"/>
      <c r="T124" s="40"/>
      <c r="U124" s="40"/>
      <c r="V124" s="40"/>
      <c r="W124" s="40"/>
      <c r="X124" s="504"/>
      <c r="Y124" s="214"/>
      <c r="Z124" s="40"/>
      <c r="AA124" s="52"/>
      <c r="AB124" s="52"/>
      <c r="AC124" s="40"/>
      <c r="AD124" s="40"/>
      <c r="AE124" s="233"/>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36"/>
      <c r="BC124" s="54"/>
      <c r="BD124" s="54"/>
      <c r="BE124" s="54"/>
      <c r="BF124" s="54"/>
    </row>
    <row r="125" spans="1:58" ht="12.75" customHeight="1">
      <c r="A125" s="43">
        <v>46104</v>
      </c>
      <c r="B125" s="44" t="s">
        <v>423</v>
      </c>
      <c r="C125" s="447">
        <f>(M125*E125*O125*Q125)/100000000</f>
        <v>48.630466559999988</v>
      </c>
      <c r="D125" s="44" t="s">
        <v>425</v>
      </c>
      <c r="E125" s="45">
        <v>14.5</v>
      </c>
      <c r="F125" s="45">
        <v>1</v>
      </c>
      <c r="G125" s="598">
        <f>+L125</f>
        <v>1235</v>
      </c>
      <c r="H125" s="47">
        <f>+N125</f>
        <v>0.22000000000000008</v>
      </c>
      <c r="I125" s="48">
        <v>0.88</v>
      </c>
      <c r="J125" s="85">
        <f>E125*G125*(1-H125)*1440/1000000*2.75</f>
        <v>55.312685999999985</v>
      </c>
      <c r="K125" s="85">
        <f t="shared" ref="K125" si="234">(IF(G125&lt;L125,L125,G125)*(1-IF(H125&lt;N125,H125,N125))*E125*O125*Q125)/100000000</f>
        <v>48.630466559999988</v>
      </c>
      <c r="L125" s="38">
        <v>1235</v>
      </c>
      <c r="M125" s="38">
        <v>963.3</v>
      </c>
      <c r="N125" s="49">
        <f>1-(M125/L125)</f>
        <v>0.22000000000000008</v>
      </c>
      <c r="O125" s="50">
        <f>+'Trim Rwd'!H70</f>
        <v>256</v>
      </c>
      <c r="P125" s="51">
        <f>O125*(Q125-R125-S125)</f>
        <v>335360</v>
      </c>
      <c r="Q125" s="50">
        <v>1360</v>
      </c>
      <c r="R125" s="503">
        <v>0</v>
      </c>
      <c r="S125" s="503">
        <v>50</v>
      </c>
      <c r="T125" s="40">
        <f>E125*M125*O125*Q125/100000000</f>
        <v>48.630466559999988</v>
      </c>
      <c r="U125" s="40">
        <f>E125*M125*O125*(Q125-R125-S125)/100000000</f>
        <v>46.842581759999987</v>
      </c>
      <c r="V125" s="40">
        <f>E125*G125*(1-N125)*O125/100*(R125+S125)/1000000</f>
        <v>1.7878847999999998</v>
      </c>
      <c r="W125" s="40">
        <f>+'23'!K15/1000</f>
        <v>4.7240000000000002</v>
      </c>
      <c r="X125" s="504">
        <f>SUM(W125:W128)/SUM(K125:K128)</f>
        <v>0.8961945696284046</v>
      </c>
      <c r="Y125" s="214">
        <v>0</v>
      </c>
      <c r="Z125" s="40">
        <v>0</v>
      </c>
      <c r="AA125" s="52">
        <f>SUM(U125:U128)-SUM(W125:W128)-SUM(Z125:Z128)-SUM(Y125:Y128)</f>
        <v>2.8762767599999819</v>
      </c>
      <c r="AB125" s="52">
        <f>(SUM(K125:K128)-SUM(W125:W128)-SUM(Y125:Y128)-SUM(Z125:Z128)-SUM(AC125:AC128)-SUM(V125:V128))-AA125</f>
        <v>0</v>
      </c>
      <c r="AC125" s="40">
        <f>K125-T125</f>
        <v>0</v>
      </c>
      <c r="AD125" s="40">
        <f>+AM125+BA125</f>
        <v>6</v>
      </c>
      <c r="AE125" s="233" t="s">
        <v>488</v>
      </c>
      <c r="AF125" s="40">
        <v>6</v>
      </c>
      <c r="AG125" s="40"/>
      <c r="AH125" s="40"/>
      <c r="AI125" s="505"/>
      <c r="AJ125" s="40"/>
      <c r="AK125" s="40"/>
      <c r="AL125" s="40"/>
      <c r="AM125" s="40">
        <f>SUM(AF125:AL125)+AT125</f>
        <v>6</v>
      </c>
      <c r="AN125" s="40"/>
      <c r="AO125" s="40"/>
      <c r="AP125" s="40"/>
      <c r="AQ125" s="40"/>
      <c r="AR125" s="40">
        <f>SUM(AN125:AQ125)</f>
        <v>0</v>
      </c>
      <c r="AS125" s="40"/>
      <c r="AT125" s="40"/>
      <c r="AU125" s="40"/>
      <c r="AV125" s="40"/>
      <c r="AW125" s="40"/>
      <c r="AX125" s="40"/>
      <c r="AY125" s="40"/>
      <c r="AZ125" s="40"/>
      <c r="BA125" s="40">
        <f>+AR125+AS125+AU125+AV125+AX125</f>
        <v>0</v>
      </c>
      <c r="BB125" s="36">
        <v>3</v>
      </c>
      <c r="BC125" s="54"/>
      <c r="BD125" s="54"/>
      <c r="BE125" s="36"/>
      <c r="BF125" s="54"/>
    </row>
    <row r="126" spans="1:58" ht="12.95" customHeight="1">
      <c r="A126" s="43"/>
      <c r="B126" s="44" t="s">
        <v>423</v>
      </c>
      <c r="C126" s="447">
        <f>(M126*E126*O126*Q126)/100000000</f>
        <v>2.6262599999999998</v>
      </c>
      <c r="D126" s="44" t="s">
        <v>425</v>
      </c>
      <c r="E126" s="45">
        <v>13</v>
      </c>
      <c r="F126" s="45">
        <v>1</v>
      </c>
      <c r="G126" s="598">
        <f>+L126</f>
        <v>1250</v>
      </c>
      <c r="H126" s="47">
        <f>+N126</f>
        <v>0.21999999999999997</v>
      </c>
      <c r="I126" s="48">
        <v>0.88</v>
      </c>
      <c r="J126" s="85">
        <f>E126*G126*(1-H126)*1440/1000000*2.75</f>
        <v>50.192999999999998</v>
      </c>
      <c r="K126" s="85">
        <f t="shared" ref="K126" si="235">(IF(G126&lt;L126,L126,G126)*(1-IF(H126&lt;N126,H126,N126))*E126*O126*Q126)/100000000</f>
        <v>2.6262599999999998</v>
      </c>
      <c r="L126" s="38">
        <v>1250</v>
      </c>
      <c r="M126" s="38">
        <v>975</v>
      </c>
      <c r="N126" s="49">
        <f>1-(M126/L126)</f>
        <v>0.21999999999999997</v>
      </c>
      <c r="O126" s="50">
        <f>+'Trim Rwd'!H71</f>
        <v>259</v>
      </c>
      <c r="P126" s="51">
        <f>O126*(Q126-R126-S126)</f>
        <v>15540</v>
      </c>
      <c r="Q126" s="50">
        <v>80</v>
      </c>
      <c r="R126" s="503">
        <v>0</v>
      </c>
      <c r="S126" s="503">
        <v>20</v>
      </c>
      <c r="T126" s="40">
        <f>E126*M126*O126*Q126/100000000</f>
        <v>2.6262599999999998</v>
      </c>
      <c r="U126" s="40">
        <f>E126*M126*O126*(Q126-R126-S126)/100000000</f>
        <v>1.969695</v>
      </c>
      <c r="V126" s="40">
        <f>E126*G126*(1-N126)*O126/100*(R126+S126)/1000000</f>
        <v>0.65656499999999995</v>
      </c>
      <c r="W126" s="40">
        <f>+'23'!K16/1000</f>
        <v>41.212000000000003</v>
      </c>
      <c r="X126" s="41"/>
      <c r="Y126" s="214"/>
      <c r="Z126" s="40"/>
      <c r="AA126" s="40"/>
      <c r="AB126" s="40"/>
      <c r="AC126" s="40">
        <f>K126-T126</f>
        <v>0</v>
      </c>
      <c r="AD126" s="40">
        <f t="shared" ref="AD126:AD128" si="236">+AM126+BA126</f>
        <v>10</v>
      </c>
      <c r="AE126" s="233" t="s">
        <v>510</v>
      </c>
      <c r="AF126" s="40"/>
      <c r="AG126" s="40">
        <v>10</v>
      </c>
      <c r="AH126" s="40"/>
      <c r="AI126" s="505"/>
      <c r="AJ126" s="40"/>
      <c r="AK126" s="40"/>
      <c r="AL126" s="40"/>
      <c r="AM126" s="40">
        <f t="shared" ref="AM126:AM128" si="237">SUM(AF126:AL126)+AT126</f>
        <v>10</v>
      </c>
      <c r="AN126" s="86"/>
      <c r="AO126" s="40"/>
      <c r="AP126" s="40"/>
      <c r="AQ126" s="40"/>
      <c r="AR126" s="40">
        <f t="shared" ref="AR126:AR128" si="238">SUM(AN126:AQ126)</f>
        <v>0</v>
      </c>
      <c r="AS126" s="40"/>
      <c r="AT126" s="40"/>
      <c r="AU126" s="40"/>
      <c r="AV126" s="40"/>
      <c r="AW126" s="40"/>
      <c r="AX126" s="40"/>
      <c r="AY126" s="40"/>
      <c r="AZ126" s="40"/>
      <c r="BA126" s="40">
        <f t="shared" ref="BA126:BA128" si="239">+AR126+AS126+AU126+AV126+AX126</f>
        <v>0</v>
      </c>
      <c r="BB126" s="53"/>
      <c r="BC126" s="54">
        <v>9</v>
      </c>
      <c r="BD126" s="54"/>
      <c r="BE126" s="53"/>
      <c r="BF126" s="54"/>
    </row>
    <row r="127" spans="1:58" ht="12.95" customHeight="1">
      <c r="A127" s="43"/>
      <c r="B127" s="44"/>
      <c r="C127" s="447"/>
      <c r="D127" s="44"/>
      <c r="E127" s="45"/>
      <c r="F127" s="45"/>
      <c r="G127" s="502"/>
      <c r="H127" s="47"/>
      <c r="I127" s="48"/>
      <c r="J127" s="85"/>
      <c r="K127" s="85"/>
      <c r="L127" s="38"/>
      <c r="M127" s="38"/>
      <c r="N127" s="49"/>
      <c r="O127" s="50"/>
      <c r="P127" s="51"/>
      <c r="Q127" s="50"/>
      <c r="R127" s="503"/>
      <c r="S127" s="503"/>
      <c r="T127" s="40"/>
      <c r="U127" s="40"/>
      <c r="V127" s="40"/>
      <c r="W127" s="40"/>
      <c r="X127" s="41"/>
      <c r="Y127" s="214"/>
      <c r="Z127" s="40"/>
      <c r="AA127" s="40"/>
      <c r="AB127" s="40"/>
      <c r="AC127" s="40"/>
      <c r="AD127" s="40">
        <f t="shared" si="236"/>
        <v>46</v>
      </c>
      <c r="AE127" s="233" t="s">
        <v>634</v>
      </c>
      <c r="AF127" s="36"/>
      <c r="AG127" s="36"/>
      <c r="AH127" s="36">
        <v>46</v>
      </c>
      <c r="AJ127" s="40"/>
      <c r="AK127" s="40"/>
      <c r="AL127" s="40"/>
      <c r="AM127" s="40">
        <f t="shared" si="237"/>
        <v>46</v>
      </c>
      <c r="AN127" s="40"/>
      <c r="AO127" s="40"/>
      <c r="AP127" s="40"/>
      <c r="AQ127" s="40"/>
      <c r="AR127" s="40">
        <f t="shared" si="238"/>
        <v>0</v>
      </c>
      <c r="AS127" s="40"/>
      <c r="AT127" s="40"/>
      <c r="AU127" s="40"/>
      <c r="AV127" s="40"/>
      <c r="AW127" s="40"/>
      <c r="AX127" s="40"/>
      <c r="AY127" s="40"/>
      <c r="AZ127" s="40"/>
      <c r="BA127" s="40">
        <f t="shared" si="239"/>
        <v>0</v>
      </c>
      <c r="BB127" s="36"/>
      <c r="BC127" s="506"/>
      <c r="BD127" s="506"/>
      <c r="BE127" s="36"/>
      <c r="BF127" s="506"/>
    </row>
    <row r="128" spans="1:58" ht="12.95" customHeight="1">
      <c r="A128" s="43"/>
      <c r="B128" s="44"/>
      <c r="C128" s="447"/>
      <c r="D128" s="44"/>
      <c r="E128" s="45"/>
      <c r="F128" s="45"/>
      <c r="G128" s="46"/>
      <c r="H128" s="47"/>
      <c r="I128" s="48"/>
      <c r="J128" s="85"/>
      <c r="K128" s="85"/>
      <c r="L128" s="38"/>
      <c r="M128" s="38"/>
      <c r="N128" s="49"/>
      <c r="O128" s="50"/>
      <c r="P128" s="51"/>
      <c r="Q128" s="37"/>
      <c r="R128" s="503"/>
      <c r="S128" s="503"/>
      <c r="T128" s="40"/>
      <c r="U128" s="40"/>
      <c r="V128" s="40"/>
      <c r="W128" s="40"/>
      <c r="X128" s="41"/>
      <c r="Y128" s="214"/>
      <c r="Z128" s="40"/>
      <c r="AA128" s="40"/>
      <c r="AB128" s="40"/>
      <c r="AC128" s="40"/>
      <c r="AD128" s="40">
        <f t="shared" si="236"/>
        <v>8</v>
      </c>
      <c r="AE128" s="236" t="s">
        <v>228</v>
      </c>
      <c r="AF128" s="40"/>
      <c r="AG128" s="40"/>
      <c r="AH128" s="40"/>
      <c r="AI128" s="505">
        <v>8</v>
      </c>
      <c r="AJ128" s="40"/>
      <c r="AK128" s="40"/>
      <c r="AL128" s="40"/>
      <c r="AM128" s="40">
        <f t="shared" si="237"/>
        <v>8</v>
      </c>
      <c r="AN128" s="40"/>
      <c r="AO128" s="40"/>
      <c r="AP128" s="40"/>
      <c r="AQ128" s="40"/>
      <c r="AR128" s="40">
        <f t="shared" si="238"/>
        <v>0</v>
      </c>
      <c r="AS128" s="40"/>
      <c r="AT128" s="40"/>
      <c r="AU128" s="40"/>
      <c r="AV128" s="40"/>
      <c r="AW128" s="40"/>
      <c r="AX128" s="40"/>
      <c r="AY128" s="40"/>
      <c r="AZ128" s="40"/>
      <c r="BA128" s="40">
        <f t="shared" si="239"/>
        <v>0</v>
      </c>
      <c r="BB128" s="53"/>
      <c r="BC128" s="54"/>
      <c r="BD128" s="54"/>
      <c r="BE128" s="53"/>
      <c r="BF128" s="54"/>
    </row>
    <row r="129" spans="1:58" ht="12.95" customHeight="1">
      <c r="A129" s="43"/>
      <c r="B129" s="44"/>
      <c r="C129" s="447"/>
      <c r="D129" s="44"/>
      <c r="E129" s="45"/>
      <c r="F129" s="45"/>
      <c r="G129" s="46"/>
      <c r="H129" s="47"/>
      <c r="I129" s="48"/>
      <c r="J129" s="85"/>
      <c r="K129" s="85"/>
      <c r="L129" s="38"/>
      <c r="M129" s="38"/>
      <c r="N129" s="49"/>
      <c r="O129" s="50"/>
      <c r="P129" s="51"/>
      <c r="Q129" s="50"/>
      <c r="R129" s="503"/>
      <c r="S129" s="503"/>
      <c r="T129" s="40"/>
      <c r="U129" s="40"/>
      <c r="V129" s="40"/>
      <c r="W129" s="40"/>
      <c r="X129" s="504"/>
      <c r="Y129" s="214"/>
      <c r="Z129" s="40"/>
      <c r="AA129" s="52"/>
      <c r="AB129" s="52"/>
      <c r="AC129" s="40"/>
      <c r="AD129" s="40"/>
      <c r="AE129"/>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36"/>
      <c r="BC129" s="54"/>
      <c r="BD129" s="54"/>
      <c r="BE129" s="54"/>
      <c r="BF129" s="54"/>
    </row>
    <row r="130" spans="1:58" ht="12.75" customHeight="1">
      <c r="A130" s="43">
        <v>46105</v>
      </c>
      <c r="B130" s="44" t="s">
        <v>423</v>
      </c>
      <c r="C130" s="447">
        <f>(M130*E130*O130*Q130)/100000000</f>
        <v>10.2958011</v>
      </c>
      <c r="D130" s="44" t="s">
        <v>425</v>
      </c>
      <c r="E130" s="45">
        <v>13</v>
      </c>
      <c r="F130" s="45">
        <v>1</v>
      </c>
      <c r="G130" s="598">
        <f>+L130</f>
        <v>1270</v>
      </c>
      <c r="H130" s="47">
        <f>+N130</f>
        <v>0.21999999999999997</v>
      </c>
      <c r="I130" s="48">
        <v>0.88</v>
      </c>
      <c r="J130" s="85">
        <f>E130*G130*(1-H130)*1440/1000000*2.75</f>
        <v>50.996088</v>
      </c>
      <c r="K130" s="85">
        <f t="shared" ref="K130" si="240">(IF(G130&lt;L130,L130,G130)*(1-IF(H130&lt;N130,H130,N130))*E130*O130*Q130)/100000000</f>
        <v>10.2958011</v>
      </c>
      <c r="L130" s="38">
        <v>1270</v>
      </c>
      <c r="M130" s="38">
        <v>990.6</v>
      </c>
      <c r="N130" s="49">
        <f>1-(M130/L130)</f>
        <v>0.21999999999999997</v>
      </c>
      <c r="O130" s="50">
        <f>+'Trim Rwd'!H73</f>
        <v>266.5</v>
      </c>
      <c r="P130" s="51">
        <f>O130*(Q130-R130-S130)</f>
        <v>74886.5</v>
      </c>
      <c r="Q130" s="50">
        <v>300</v>
      </c>
      <c r="R130" s="503">
        <v>0</v>
      </c>
      <c r="S130" s="503">
        <v>19</v>
      </c>
      <c r="T130" s="40">
        <f>E130*M130*O130*Q130/100000000</f>
        <v>10.2958011</v>
      </c>
      <c r="U130" s="40">
        <f>E130*M130*O130*(Q130-R130-S130)/100000000</f>
        <v>9.643733697</v>
      </c>
      <c r="V130" s="40">
        <f>E130*G130*(1-N130)*O130/100*(R130+S130)/1000000</f>
        <v>0.65206740299999988</v>
      </c>
      <c r="W130" s="40">
        <f>+'24'!K16/1000</f>
        <v>13.183</v>
      </c>
      <c r="X130" s="504">
        <f>SUM(W130:W133)/SUM(K130:K133)</f>
        <v>0.95579908542762404</v>
      </c>
      <c r="Y130" s="214">
        <v>0</v>
      </c>
      <c r="Z130" s="40">
        <v>0</v>
      </c>
      <c r="AA130" s="52">
        <f>SUM(U130:U133)-SUM(W130:W133)-SUM(Z130:Z133)-SUM(Y130:Y133)</f>
        <v>0.19601769700000204</v>
      </c>
      <c r="AB130" s="52">
        <f>(SUM(K130:K133)-SUM(W130:W133)-SUM(Y130:Y133)-SUM(Z130:Z133)-SUM(AC130:AC133)-SUM(V130:V133))-AA130</f>
        <v>-3.1086244689504383E-15</v>
      </c>
      <c r="AC130" s="40">
        <f>K130-T130</f>
        <v>0</v>
      </c>
      <c r="AD130" s="40">
        <f>+AM130+BA130</f>
        <v>0</v>
      </c>
      <c r="AE130" s="233" t="s">
        <v>391</v>
      </c>
      <c r="AF130" s="40">
        <v>0</v>
      </c>
      <c r="AG130" s="40"/>
      <c r="AH130" s="40"/>
      <c r="AI130" s="505"/>
      <c r="AJ130" s="40"/>
      <c r="AK130" s="40"/>
      <c r="AL130" s="40"/>
      <c r="AM130" s="40">
        <f>SUM(AF130:AL130)+AT130</f>
        <v>0</v>
      </c>
      <c r="AN130" s="40"/>
      <c r="AO130" s="40"/>
      <c r="AP130" s="40"/>
      <c r="AQ130" s="40"/>
      <c r="AR130" s="40">
        <f>SUM(AN130:AQ130)</f>
        <v>0</v>
      </c>
      <c r="AS130" s="40"/>
      <c r="AT130" s="40"/>
      <c r="AU130" s="40"/>
      <c r="AV130" s="40"/>
      <c r="AW130" s="40"/>
      <c r="AX130" s="40"/>
      <c r="AY130" s="40"/>
      <c r="AZ130" s="40"/>
      <c r="BA130" s="40">
        <f>+AR130+AS130+AU130+AV130+AX130</f>
        <v>0</v>
      </c>
      <c r="BB130" s="36">
        <v>0</v>
      </c>
      <c r="BC130" s="54"/>
      <c r="BD130" s="54"/>
      <c r="BE130" s="36"/>
      <c r="BF130" s="54"/>
    </row>
    <row r="131" spans="1:58" ht="12.95" customHeight="1">
      <c r="A131" s="43"/>
      <c r="B131" s="44" t="s">
        <v>423</v>
      </c>
      <c r="C131" s="447">
        <f>(M131*E131*O131*Q131)/100000000</f>
        <v>43.124421599999998</v>
      </c>
      <c r="D131" s="44" t="s">
        <v>425</v>
      </c>
      <c r="E131" s="45">
        <v>15</v>
      </c>
      <c r="F131" s="45">
        <v>1</v>
      </c>
      <c r="G131" s="598">
        <f>+L131</f>
        <v>1180</v>
      </c>
      <c r="H131" s="47">
        <f>+N131</f>
        <v>0.21999999999999997</v>
      </c>
      <c r="I131" s="48">
        <v>0.88</v>
      </c>
      <c r="J131" s="85">
        <f>E131*G131*(1-H131)*1440/1000000*2.75</f>
        <v>54.671759999999999</v>
      </c>
      <c r="K131" s="85">
        <f t="shared" ref="K131" si="241">(IF(G131&lt;L131,L131,G131)*(1-IF(H131&lt;N131,H131,N131))*E131*O131*Q131)/100000000</f>
        <v>43.124421599999998</v>
      </c>
      <c r="L131" s="38">
        <v>1180</v>
      </c>
      <c r="M131" s="38">
        <v>920.4</v>
      </c>
      <c r="N131" s="49">
        <f>1-(M131/L131)</f>
        <v>0.21999999999999997</v>
      </c>
      <c r="O131" s="50">
        <f>+'Trim Rwd'!H75</f>
        <v>274</v>
      </c>
      <c r="P131" s="51">
        <f>O131*(Q131-R131-S131)</f>
        <v>301400</v>
      </c>
      <c r="Q131" s="50">
        <v>1140</v>
      </c>
      <c r="R131" s="503">
        <v>0</v>
      </c>
      <c r="S131" s="503">
        <v>40</v>
      </c>
      <c r="T131" s="40">
        <f>E131*M131*O131*Q131/100000000</f>
        <v>43.124421599999998</v>
      </c>
      <c r="U131" s="40">
        <f>E131*M131*O131*(Q131-R131-S131)/100000000</f>
        <v>41.611283999999998</v>
      </c>
      <c r="V131" s="40">
        <f>E131*G131*(1-N131)*O131/100*(R131+S131)/1000000</f>
        <v>1.5131376000000001</v>
      </c>
      <c r="W131" s="40">
        <f>+'24'!K17/1000</f>
        <v>37.875999999999998</v>
      </c>
      <c r="X131" s="41"/>
      <c r="Y131" s="214"/>
      <c r="Z131" s="40"/>
      <c r="AA131" s="40"/>
      <c r="AB131" s="40"/>
      <c r="AC131" s="40"/>
      <c r="AD131" s="40">
        <f t="shared" ref="AD131:AD133" si="242">+AM131+BA131</f>
        <v>21</v>
      </c>
      <c r="AE131" s="233" t="s">
        <v>461</v>
      </c>
      <c r="AF131" s="40"/>
      <c r="AG131" s="40">
        <v>21</v>
      </c>
      <c r="AH131" s="40"/>
      <c r="AI131" s="505"/>
      <c r="AJ131" s="40"/>
      <c r="AK131" s="40"/>
      <c r="AL131" s="40"/>
      <c r="AM131" s="40">
        <f t="shared" ref="AM131:AM133" si="243">SUM(AF131:AL131)+AT131</f>
        <v>21</v>
      </c>
      <c r="AN131" s="86"/>
      <c r="AO131" s="40"/>
      <c r="AP131" s="40"/>
      <c r="AQ131" s="40"/>
      <c r="AR131" s="40">
        <f t="shared" ref="AR131:AR133" si="244">SUM(AN131:AQ131)</f>
        <v>0</v>
      </c>
      <c r="AS131" s="40"/>
      <c r="AT131" s="40"/>
      <c r="AU131" s="40"/>
      <c r="AV131" s="40"/>
      <c r="AW131" s="40"/>
      <c r="AX131" s="40"/>
      <c r="AY131" s="40"/>
      <c r="AZ131" s="40"/>
      <c r="BA131" s="40">
        <f t="shared" ref="BA131:BA133" si="245">+AR131+AS131+AU131+AV131+AX131</f>
        <v>0</v>
      </c>
      <c r="BB131" s="53"/>
      <c r="BC131" s="54">
        <v>13</v>
      </c>
      <c r="BD131" s="54"/>
      <c r="BE131" s="53"/>
      <c r="BF131" s="54"/>
    </row>
    <row r="132" spans="1:58" ht="12.95" customHeight="1">
      <c r="A132" s="43"/>
      <c r="B132" s="44"/>
      <c r="C132" s="447"/>
      <c r="D132" s="44"/>
      <c r="E132" s="45"/>
      <c r="F132" s="45"/>
      <c r="G132" s="502"/>
      <c r="H132" s="47"/>
      <c r="I132" s="48"/>
      <c r="J132" s="85"/>
      <c r="K132" s="85"/>
      <c r="L132" s="38"/>
      <c r="M132" s="38"/>
      <c r="N132" s="49"/>
      <c r="O132" s="50"/>
      <c r="P132" s="51"/>
      <c r="Q132" s="50"/>
      <c r="R132" s="503"/>
      <c r="S132" s="503"/>
      <c r="T132" s="40"/>
      <c r="U132" s="40"/>
      <c r="V132" s="40"/>
      <c r="W132" s="40"/>
      <c r="X132" s="41"/>
      <c r="Y132" s="214"/>
      <c r="Z132" s="40"/>
      <c r="AA132" s="40"/>
      <c r="AB132" s="40"/>
      <c r="AC132" s="40"/>
      <c r="AD132" s="40">
        <f t="shared" si="242"/>
        <v>30</v>
      </c>
      <c r="AE132" s="233" t="s">
        <v>587</v>
      </c>
      <c r="AF132" s="36"/>
      <c r="AG132" s="36"/>
      <c r="AH132" s="36">
        <v>30</v>
      </c>
      <c r="AJ132" s="40"/>
      <c r="AK132" s="40"/>
      <c r="AL132" s="40"/>
      <c r="AM132" s="40">
        <f t="shared" si="243"/>
        <v>30</v>
      </c>
      <c r="AN132" s="40"/>
      <c r="AO132" s="40"/>
      <c r="AP132" s="40"/>
      <c r="AQ132" s="40"/>
      <c r="AR132" s="40">
        <f t="shared" si="244"/>
        <v>0</v>
      </c>
      <c r="AS132" s="40"/>
      <c r="AT132" s="40"/>
      <c r="AU132" s="40"/>
      <c r="AV132" s="40"/>
      <c r="AW132" s="40"/>
      <c r="AX132" s="40"/>
      <c r="AY132" s="40"/>
      <c r="AZ132" s="40"/>
      <c r="BA132" s="40">
        <f t="shared" si="245"/>
        <v>0</v>
      </c>
      <c r="BB132" s="36"/>
      <c r="BC132" s="506"/>
      <c r="BD132" s="506"/>
      <c r="BE132" s="36"/>
      <c r="BF132" s="506"/>
    </row>
    <row r="133" spans="1:58" ht="12.95" customHeight="1">
      <c r="A133" s="43"/>
      <c r="B133" s="44"/>
      <c r="C133" s="447"/>
      <c r="D133" s="44"/>
      <c r="E133" s="45"/>
      <c r="F133" s="45"/>
      <c r="G133" s="46"/>
      <c r="H133" s="47"/>
      <c r="I133" s="48"/>
      <c r="J133" s="85"/>
      <c r="K133" s="85"/>
      <c r="L133" s="38"/>
      <c r="M133" s="38"/>
      <c r="N133" s="49"/>
      <c r="O133" s="50"/>
      <c r="P133" s="51"/>
      <c r="Q133" s="37"/>
      <c r="R133" s="503"/>
      <c r="S133" s="503"/>
      <c r="T133" s="40"/>
      <c r="U133" s="40"/>
      <c r="V133" s="40"/>
      <c r="W133" s="40"/>
      <c r="X133" s="41"/>
      <c r="Y133" s="214"/>
      <c r="Z133" s="40"/>
      <c r="AA133" s="40"/>
      <c r="AB133" s="40"/>
      <c r="AC133" s="40"/>
      <c r="AD133" s="40">
        <f t="shared" si="242"/>
        <v>8</v>
      </c>
      <c r="AE133" s="236" t="s">
        <v>228</v>
      </c>
      <c r="AF133" s="40"/>
      <c r="AG133" s="40"/>
      <c r="AH133" s="40"/>
      <c r="AI133" s="505">
        <v>8</v>
      </c>
      <c r="AJ133" s="40"/>
      <c r="AK133" s="40"/>
      <c r="AL133" s="40"/>
      <c r="AM133" s="40">
        <f t="shared" si="243"/>
        <v>8</v>
      </c>
      <c r="AN133" s="40"/>
      <c r="AO133" s="40"/>
      <c r="AP133" s="40"/>
      <c r="AQ133" s="40"/>
      <c r="AR133" s="40">
        <f t="shared" si="244"/>
        <v>0</v>
      </c>
      <c r="AS133" s="40"/>
      <c r="AT133" s="40"/>
      <c r="AU133" s="40"/>
      <c r="AV133" s="40"/>
      <c r="AW133" s="40"/>
      <c r="AX133" s="40"/>
      <c r="AY133" s="40"/>
      <c r="AZ133" s="40"/>
      <c r="BA133" s="40">
        <f t="shared" si="245"/>
        <v>0</v>
      </c>
      <c r="BB133" s="53"/>
      <c r="BC133" s="54"/>
      <c r="BD133" s="54"/>
      <c r="BE133" s="53"/>
      <c r="BF133" s="54"/>
    </row>
    <row r="134" spans="1:58" ht="12.95" customHeight="1">
      <c r="A134" s="43"/>
      <c r="B134" s="44"/>
      <c r="C134" s="447"/>
      <c r="D134" s="44"/>
      <c r="E134" s="45"/>
      <c r="F134" s="45"/>
      <c r="G134" s="46"/>
      <c r="H134" s="47"/>
      <c r="I134" s="48"/>
      <c r="J134" s="85"/>
      <c r="K134" s="85"/>
      <c r="L134" s="38"/>
      <c r="M134" s="38"/>
      <c r="N134" s="49"/>
      <c r="O134" s="50"/>
      <c r="P134" s="51"/>
      <c r="Q134" s="50"/>
      <c r="R134" s="503"/>
      <c r="S134" s="503"/>
      <c r="T134" s="40"/>
      <c r="U134" s="40"/>
      <c r="V134" s="40"/>
      <c r="W134" s="40"/>
      <c r="X134" s="504"/>
      <c r="Y134" s="214"/>
      <c r="Z134" s="40"/>
      <c r="AA134" s="52"/>
      <c r="AB134" s="52"/>
      <c r="AC134" s="40"/>
      <c r="AD134" s="40"/>
      <c r="AE134"/>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36"/>
      <c r="BC134" s="54"/>
      <c r="BD134" s="54"/>
      <c r="BE134" s="54"/>
      <c r="BF134" s="54"/>
    </row>
    <row r="135" spans="1:58" ht="12.75" customHeight="1">
      <c r="A135" s="43">
        <v>46106</v>
      </c>
      <c r="B135" s="44" t="s">
        <v>423</v>
      </c>
      <c r="C135" s="447">
        <f>(M135*E135*O135*Q135)/100000000</f>
        <v>55.396223999999997</v>
      </c>
      <c r="D135" s="44" t="s">
        <v>425</v>
      </c>
      <c r="E135" s="45">
        <v>15</v>
      </c>
      <c r="F135" s="45">
        <v>1</v>
      </c>
      <c r="G135" s="598">
        <f>+L135</f>
        <v>1200</v>
      </c>
      <c r="H135" s="47">
        <f>+N135</f>
        <v>0.21999999999999997</v>
      </c>
      <c r="I135" s="48">
        <v>0.88</v>
      </c>
      <c r="J135" s="85">
        <f>E135*G135*(1-H135)*1440/1000000*2.75</f>
        <v>55.598400000000005</v>
      </c>
      <c r="K135" s="85">
        <f t="shared" ref="K135" si="246">(IF(G135&lt;L135,L135,G135)*(1-IF(H135&lt;N135,H135,N135))*E135*O135*Q135)/100000000</f>
        <v>55.396223999999997</v>
      </c>
      <c r="L135" s="38">
        <v>1200</v>
      </c>
      <c r="M135" s="38">
        <v>936</v>
      </c>
      <c r="N135" s="49">
        <f>1-(M135/L135)</f>
        <v>0.21999999999999997</v>
      </c>
      <c r="O135" s="50">
        <f>+'Trim Rwd'!H77</f>
        <v>274</v>
      </c>
      <c r="P135" s="51">
        <f>O135*(Q135-R135-S135)</f>
        <v>379216</v>
      </c>
      <c r="Q135" s="50">
        <v>1440</v>
      </c>
      <c r="R135" s="503">
        <v>0</v>
      </c>
      <c r="S135" s="503">
        <v>56</v>
      </c>
      <c r="T135" s="40">
        <f>E135*M135*O135*Q135/100000000</f>
        <v>55.396223999999997</v>
      </c>
      <c r="U135" s="40">
        <f>E135*M135*O135*(Q135-R135-S135)/100000000</f>
        <v>53.241926399999997</v>
      </c>
      <c r="V135" s="40">
        <f>E135*G135*(1-N135)*O135/100*(R135+S135)/1000000</f>
        <v>2.1542976</v>
      </c>
      <c r="W135" s="40">
        <f>+'25'!K17/1000</f>
        <v>53.16</v>
      </c>
      <c r="X135" s="504">
        <f>SUM(W135:W138)/SUM(K135:K138)</f>
        <v>0.95963219442538172</v>
      </c>
      <c r="Y135" s="214">
        <v>0</v>
      </c>
      <c r="Z135" s="40">
        <v>0</v>
      </c>
      <c r="AA135" s="52">
        <f>SUM(U135:U138)-SUM(W135:W138)-SUM(Z135:Z138)-SUM(Y135:Y138)</f>
        <v>8.1926400000000399E-2</v>
      </c>
      <c r="AB135" s="52">
        <f>(SUM(K135:K138)-SUM(W135:W138)-SUM(Y135:Y138)-SUM(Z135:Z138)-SUM(AC135:AC138)-SUM(V135:V138))-AA135</f>
        <v>-4.4408920985006262E-16</v>
      </c>
      <c r="AC135" s="40">
        <f>K135-T135</f>
        <v>0</v>
      </c>
      <c r="AD135" s="40">
        <f>+AM135+BA135</f>
        <v>0</v>
      </c>
      <c r="AE135" s="233" t="s">
        <v>391</v>
      </c>
      <c r="AF135" s="40">
        <v>0</v>
      </c>
      <c r="AG135" s="40"/>
      <c r="AH135" s="40"/>
      <c r="AI135" s="505"/>
      <c r="AJ135" s="40"/>
      <c r="AK135" s="40"/>
      <c r="AL135" s="40"/>
      <c r="AM135" s="40">
        <f>SUM(AF135:AL135)+AT135</f>
        <v>0</v>
      </c>
      <c r="AN135" s="40"/>
      <c r="AO135" s="40"/>
      <c r="AP135" s="40"/>
      <c r="AQ135" s="40"/>
      <c r="AR135" s="40">
        <f>SUM(AN135:AQ135)</f>
        <v>0</v>
      </c>
      <c r="AS135" s="40"/>
      <c r="AT135" s="40"/>
      <c r="AU135" s="40"/>
      <c r="AV135" s="40"/>
      <c r="AW135" s="40"/>
      <c r="AX135" s="40"/>
      <c r="AY135" s="40"/>
      <c r="AZ135" s="40"/>
      <c r="BA135" s="40">
        <f>+AR135+AS135+AU135+AV135+AX135</f>
        <v>0</v>
      </c>
      <c r="BB135" s="36">
        <v>0</v>
      </c>
      <c r="BC135" s="54"/>
      <c r="BD135" s="54"/>
      <c r="BE135" s="36"/>
      <c r="BF135" s="54"/>
    </row>
    <row r="136" spans="1:58" ht="12.95" customHeight="1">
      <c r="A136" s="43"/>
      <c r="B136" s="44"/>
      <c r="C136" s="447"/>
      <c r="D136" s="44"/>
      <c r="E136" s="45"/>
      <c r="F136" s="45"/>
      <c r="G136" s="502"/>
      <c r="H136" s="47"/>
      <c r="I136" s="48"/>
      <c r="J136" s="85"/>
      <c r="K136" s="85"/>
      <c r="L136" s="38"/>
      <c r="M136" s="38"/>
      <c r="N136" s="49"/>
      <c r="O136" s="50"/>
      <c r="P136" s="51"/>
      <c r="Q136" s="50"/>
      <c r="R136" s="503"/>
      <c r="S136" s="503"/>
      <c r="T136" s="40"/>
      <c r="U136" s="40"/>
      <c r="V136" s="40"/>
      <c r="W136" s="40"/>
      <c r="X136" s="41"/>
      <c r="Y136" s="214"/>
      <c r="Z136" s="40"/>
      <c r="AA136" s="40"/>
      <c r="AB136" s="40"/>
      <c r="AC136" s="40"/>
      <c r="AD136" s="40">
        <f t="shared" ref="AD136:AD138" si="247">+AM136+BA136</f>
        <v>23</v>
      </c>
      <c r="AE136" s="233" t="s">
        <v>461</v>
      </c>
      <c r="AF136" s="40"/>
      <c r="AG136" s="40">
        <v>23</v>
      </c>
      <c r="AH136" s="40"/>
      <c r="AI136" s="505"/>
      <c r="AJ136" s="40"/>
      <c r="AK136" s="40"/>
      <c r="AL136" s="40"/>
      <c r="AM136" s="40">
        <f t="shared" ref="AM136:AM138" si="248">SUM(AF136:AL136)+AT136</f>
        <v>23</v>
      </c>
      <c r="AN136" s="86"/>
      <c r="AO136" s="40"/>
      <c r="AP136" s="40"/>
      <c r="AQ136" s="40"/>
      <c r="AR136" s="40">
        <f t="shared" ref="AR136:AR138" si="249">SUM(AN136:AQ136)</f>
        <v>0</v>
      </c>
      <c r="AS136" s="40"/>
      <c r="AT136" s="40"/>
      <c r="AU136" s="40"/>
      <c r="AV136" s="40"/>
      <c r="AW136" s="40"/>
      <c r="AX136" s="40"/>
      <c r="AY136" s="40"/>
      <c r="AZ136" s="40"/>
      <c r="BA136" s="40">
        <f t="shared" ref="BA136:BA138" si="250">+AR136+AS136+AU136+AV136+AX136</f>
        <v>0</v>
      </c>
      <c r="BB136" s="53"/>
      <c r="BC136" s="54">
        <v>13</v>
      </c>
      <c r="BD136" s="54"/>
      <c r="BE136" s="53"/>
      <c r="BF136" s="54"/>
    </row>
    <row r="137" spans="1:58" ht="12.95" customHeight="1">
      <c r="A137" s="43"/>
      <c r="B137" s="44"/>
      <c r="C137" s="447"/>
      <c r="D137" s="44"/>
      <c r="E137" s="45"/>
      <c r="F137" s="45"/>
      <c r="G137" s="502"/>
      <c r="H137" s="47"/>
      <c r="I137" s="48"/>
      <c r="J137" s="85"/>
      <c r="K137" s="85"/>
      <c r="L137" s="38"/>
      <c r="M137" s="38"/>
      <c r="N137" s="49"/>
      <c r="O137" s="50"/>
      <c r="P137" s="51"/>
      <c r="Q137" s="50"/>
      <c r="R137" s="503"/>
      <c r="S137" s="503"/>
      <c r="T137" s="40"/>
      <c r="U137" s="40"/>
      <c r="V137" s="40"/>
      <c r="W137" s="40"/>
      <c r="X137" s="41"/>
      <c r="Y137" s="214"/>
      <c r="Z137" s="40"/>
      <c r="AA137" s="40"/>
      <c r="AB137" s="40"/>
      <c r="AC137" s="40"/>
      <c r="AD137" s="40">
        <f t="shared" si="247"/>
        <v>33</v>
      </c>
      <c r="AE137" s="233" t="s">
        <v>592</v>
      </c>
      <c r="AF137" s="36"/>
      <c r="AG137" s="36"/>
      <c r="AH137" s="36">
        <v>33</v>
      </c>
      <c r="AJ137" s="40"/>
      <c r="AK137" s="40"/>
      <c r="AL137" s="40"/>
      <c r="AM137" s="40">
        <f t="shared" si="248"/>
        <v>33</v>
      </c>
      <c r="AN137" s="40"/>
      <c r="AO137" s="40"/>
      <c r="AP137" s="40"/>
      <c r="AQ137" s="40"/>
      <c r="AR137" s="40">
        <f t="shared" si="249"/>
        <v>0</v>
      </c>
      <c r="AS137" s="40"/>
      <c r="AT137" s="40"/>
      <c r="AU137" s="40"/>
      <c r="AV137" s="40"/>
      <c r="AW137" s="40"/>
      <c r="AX137" s="40"/>
      <c r="AY137" s="40"/>
      <c r="AZ137" s="40"/>
      <c r="BA137" s="40">
        <f t="shared" si="250"/>
        <v>0</v>
      </c>
      <c r="BB137" s="36"/>
      <c r="BC137" s="506"/>
      <c r="BD137" s="506"/>
      <c r="BE137" s="36"/>
      <c r="BF137" s="506"/>
    </row>
    <row r="138" spans="1:58" ht="12.95" customHeight="1">
      <c r="A138" s="43"/>
      <c r="B138" s="44"/>
      <c r="C138" s="447"/>
      <c r="D138" s="44"/>
      <c r="E138" s="45"/>
      <c r="F138" s="45"/>
      <c r="G138" s="46"/>
      <c r="H138" s="47"/>
      <c r="I138" s="48"/>
      <c r="J138" s="85"/>
      <c r="K138" s="85"/>
      <c r="L138" s="38"/>
      <c r="M138" s="38"/>
      <c r="N138" s="49"/>
      <c r="O138" s="50"/>
      <c r="P138" s="51"/>
      <c r="Q138" s="37"/>
      <c r="R138" s="503"/>
      <c r="S138" s="503"/>
      <c r="T138" s="40"/>
      <c r="U138" s="40"/>
      <c r="V138" s="40"/>
      <c r="W138" s="40"/>
      <c r="X138" s="41"/>
      <c r="Y138" s="214"/>
      <c r="Z138" s="40"/>
      <c r="AA138" s="40"/>
      <c r="AB138" s="40"/>
      <c r="AC138" s="40"/>
      <c r="AD138" s="40">
        <f t="shared" si="247"/>
        <v>0</v>
      </c>
      <c r="AE138" s="236" t="s">
        <v>228</v>
      </c>
      <c r="AF138" s="40"/>
      <c r="AG138" s="40"/>
      <c r="AH138" s="40"/>
      <c r="AI138" s="505">
        <v>0</v>
      </c>
      <c r="AJ138" s="40"/>
      <c r="AK138" s="40"/>
      <c r="AL138" s="40"/>
      <c r="AM138" s="40">
        <f t="shared" si="248"/>
        <v>0</v>
      </c>
      <c r="AN138" s="40"/>
      <c r="AO138" s="40"/>
      <c r="AP138" s="40"/>
      <c r="AQ138" s="40"/>
      <c r="AR138" s="40">
        <f t="shared" si="249"/>
        <v>0</v>
      </c>
      <c r="AS138" s="40"/>
      <c r="AT138" s="40"/>
      <c r="AU138" s="40"/>
      <c r="AV138" s="40"/>
      <c r="AW138" s="40"/>
      <c r="AX138" s="40"/>
      <c r="AY138" s="40"/>
      <c r="AZ138" s="40"/>
      <c r="BA138" s="40">
        <f t="shared" si="250"/>
        <v>0</v>
      </c>
      <c r="BB138" s="53"/>
      <c r="BC138" s="54"/>
      <c r="BD138" s="54"/>
      <c r="BE138" s="53"/>
      <c r="BF138" s="54"/>
    </row>
    <row r="139" spans="1:58" ht="12.95" customHeight="1">
      <c r="A139" s="43"/>
      <c r="B139" s="3"/>
      <c r="C139" s="447"/>
      <c r="D139" s="44"/>
      <c r="E139" s="250"/>
      <c r="F139" s="45"/>
      <c r="G139" s="46"/>
      <c r="H139" s="47"/>
      <c r="I139" s="48"/>
      <c r="J139" s="85"/>
      <c r="K139" s="85"/>
      <c r="L139" s="38"/>
      <c r="M139" s="38"/>
      <c r="N139" s="49"/>
      <c r="O139" s="50"/>
      <c r="P139" s="51"/>
      <c r="Q139" s="376"/>
      <c r="R139" s="53"/>
      <c r="S139" s="53"/>
      <c r="T139" s="40"/>
      <c r="U139" s="40"/>
      <c r="V139" s="40"/>
      <c r="W139" s="36"/>
      <c r="X139" s="41"/>
      <c r="Y139" s="41"/>
      <c r="Z139" s="36"/>
      <c r="AA139" s="52"/>
      <c r="AB139" s="52"/>
      <c r="AC139" s="40"/>
      <c r="AD139" s="40"/>
      <c r="AE139" s="23"/>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36"/>
      <c r="BC139" s="54"/>
      <c r="BD139" s="54"/>
      <c r="BE139" s="53"/>
      <c r="BF139" s="54"/>
    </row>
    <row r="140" spans="1:58" ht="12.75" customHeight="1">
      <c r="A140" s="43">
        <v>46107</v>
      </c>
      <c r="B140" s="44" t="s">
        <v>423</v>
      </c>
      <c r="C140" s="447">
        <f>(M140*E140*O140*Q140)/100000000</f>
        <v>54.832182260869573</v>
      </c>
      <c r="D140" s="44" t="s">
        <v>425</v>
      </c>
      <c r="E140" s="45">
        <v>15</v>
      </c>
      <c r="F140" s="45">
        <v>1</v>
      </c>
      <c r="G140" s="598">
        <f>+L140</f>
        <v>1200</v>
      </c>
      <c r="H140" s="47">
        <f>+N140</f>
        <v>0.21999999999999997</v>
      </c>
      <c r="I140" s="48">
        <v>0.88</v>
      </c>
      <c r="J140" s="85">
        <f>E140*G140*(1-H140)*1440/1000000*2.75</f>
        <v>55.598400000000005</v>
      </c>
      <c r="K140" s="85">
        <f t="shared" ref="K140" si="251">(IF(G140&lt;L140,L140,G140)*(1-IF(H140&lt;N140,H140,N140))*E140*O140*Q140)/100000000</f>
        <v>54.832182260869573</v>
      </c>
      <c r="L140" s="38">
        <v>1200</v>
      </c>
      <c r="M140" s="38">
        <v>936</v>
      </c>
      <c r="N140" s="49">
        <f>1-(M140/L140)</f>
        <v>0.21999999999999997</v>
      </c>
      <c r="O140" s="50">
        <f>+'Trim Rwd'!H79</f>
        <v>271.21014492753625</v>
      </c>
      <c r="P140" s="51">
        <f>O140*(Q140-R140-S140)</f>
        <v>375083.63043478265</v>
      </c>
      <c r="Q140" s="50">
        <v>1440</v>
      </c>
      <c r="R140" s="503">
        <v>0</v>
      </c>
      <c r="S140" s="503">
        <v>57</v>
      </c>
      <c r="T140" s="40">
        <f>E140*M140*O140*Q140/100000000</f>
        <v>54.832182260869573</v>
      </c>
      <c r="U140" s="40">
        <f>E140*M140*O140*(Q140-R140-S140)/100000000</f>
        <v>52.661741713043483</v>
      </c>
      <c r="V140" s="40">
        <f>E140*G140*(1-N140)*O140/100*(R140+S140)/1000000</f>
        <v>2.1704405478260873</v>
      </c>
      <c r="W140" s="40">
        <f>+'26'!K17/1000</f>
        <v>52.279000000000003</v>
      </c>
      <c r="X140" s="504">
        <f>SUM(W140:W143)/SUM(K140:K143)</f>
        <v>0.95343642810489382</v>
      </c>
      <c r="Y140" s="214">
        <v>0</v>
      </c>
      <c r="Z140" s="40">
        <v>0</v>
      </c>
      <c r="AA140" s="52">
        <f>SUM(U140:U143)-SUM(W140:W143)-SUM(Z140:Z143)-SUM(Y140:Y143)</f>
        <v>0.38274171304347959</v>
      </c>
      <c r="AB140" s="52">
        <f>(SUM(K140:K143)-SUM(W140:W143)-SUM(Y140:Y143)-SUM(Z140:Z143)-SUM(AC140:AC143)-SUM(V140:V143))-AA140</f>
        <v>2.2204460492503131E-15</v>
      </c>
      <c r="AC140" s="40">
        <f>K140-T140</f>
        <v>0</v>
      </c>
      <c r="AD140" s="40">
        <f>+AM140+BA140</f>
        <v>0</v>
      </c>
      <c r="AE140" s="233" t="s">
        <v>391</v>
      </c>
      <c r="AF140" s="40">
        <v>0</v>
      </c>
      <c r="AG140" s="40"/>
      <c r="AH140" s="40"/>
      <c r="AI140" s="505"/>
      <c r="AJ140" s="40"/>
      <c r="AK140" s="40"/>
      <c r="AL140" s="40"/>
      <c r="AM140" s="40">
        <f>SUM(AF140:AL140)+AT140</f>
        <v>0</v>
      </c>
      <c r="AN140" s="40"/>
      <c r="AO140" s="40"/>
      <c r="AP140" s="40"/>
      <c r="AQ140" s="40"/>
      <c r="AR140" s="40">
        <f>SUM(AN140:AQ140)</f>
        <v>0</v>
      </c>
      <c r="AS140" s="40"/>
      <c r="AT140" s="40"/>
      <c r="AU140" s="40"/>
      <c r="AV140" s="40"/>
      <c r="AW140" s="40"/>
      <c r="AX140" s="40"/>
      <c r="AY140" s="40"/>
      <c r="AZ140" s="40"/>
      <c r="BA140" s="40">
        <f>+AR140+AS140+AU140+AV140+AX140</f>
        <v>0</v>
      </c>
      <c r="BB140" s="36">
        <v>0</v>
      </c>
      <c r="BC140" s="54"/>
      <c r="BD140" s="54"/>
      <c r="BE140" s="36"/>
      <c r="BF140" s="54"/>
    </row>
    <row r="141" spans="1:58" ht="12.95" customHeight="1">
      <c r="A141" s="43"/>
      <c r="B141" s="44"/>
      <c r="C141" s="447"/>
      <c r="D141" s="44"/>
      <c r="E141" s="45"/>
      <c r="F141" s="45"/>
      <c r="G141" s="502"/>
      <c r="H141" s="47"/>
      <c r="I141" s="48"/>
      <c r="J141" s="85"/>
      <c r="K141" s="85"/>
      <c r="L141" s="38"/>
      <c r="M141" s="38"/>
      <c r="N141" s="49"/>
      <c r="O141" s="50"/>
      <c r="P141" s="51"/>
      <c r="Q141" s="50"/>
      <c r="R141" s="503"/>
      <c r="S141" s="503"/>
      <c r="T141" s="40"/>
      <c r="U141" s="40"/>
      <c r="V141" s="40"/>
      <c r="W141" s="40"/>
      <c r="X141" s="41"/>
      <c r="Y141" s="214"/>
      <c r="Z141" s="40"/>
      <c r="AA141" s="40"/>
      <c r="AB141" s="40"/>
      <c r="AC141" s="40"/>
      <c r="AD141" s="40">
        <f t="shared" ref="AD141:AD143" si="252">+AM141+BA141</f>
        <v>19</v>
      </c>
      <c r="AE141" s="233" t="s">
        <v>426</v>
      </c>
      <c r="AF141" s="40"/>
      <c r="AG141" s="40">
        <v>19</v>
      </c>
      <c r="AH141" s="40"/>
      <c r="AI141" s="505"/>
      <c r="AJ141" s="40"/>
      <c r="AK141" s="40"/>
      <c r="AL141" s="40"/>
      <c r="AM141" s="40">
        <f t="shared" ref="AM141:AM143" si="253">SUM(AF141:AL141)+AT141</f>
        <v>19</v>
      </c>
      <c r="AN141" s="86"/>
      <c r="AO141" s="40"/>
      <c r="AP141" s="40"/>
      <c r="AQ141" s="40"/>
      <c r="AR141" s="40">
        <f t="shared" ref="AR141:AR143" si="254">SUM(AN141:AQ141)</f>
        <v>0</v>
      </c>
      <c r="AS141" s="40"/>
      <c r="AT141" s="40"/>
      <c r="AU141" s="40"/>
      <c r="AV141" s="40"/>
      <c r="AW141" s="40"/>
      <c r="AX141" s="40"/>
      <c r="AY141" s="40"/>
      <c r="AZ141" s="40"/>
      <c r="BA141" s="40">
        <f t="shared" ref="BA141:BA143" si="255">+AR141+AS141+AU141+AV141+AX141</f>
        <v>0</v>
      </c>
      <c r="BB141" s="53"/>
      <c r="BC141" s="54">
        <v>14</v>
      </c>
      <c r="BD141" s="54"/>
      <c r="BE141" s="53"/>
      <c r="BF141" s="54"/>
    </row>
    <row r="142" spans="1:58" ht="12.95" customHeight="1">
      <c r="A142" s="43"/>
      <c r="B142" s="44"/>
      <c r="C142" s="447"/>
      <c r="D142" s="44"/>
      <c r="E142" s="45"/>
      <c r="F142" s="45"/>
      <c r="G142" s="502"/>
      <c r="H142" s="47"/>
      <c r="I142" s="48"/>
      <c r="J142" s="85"/>
      <c r="K142" s="85"/>
      <c r="L142" s="38"/>
      <c r="M142" s="38"/>
      <c r="N142" s="49"/>
      <c r="O142" s="50"/>
      <c r="P142" s="51"/>
      <c r="Q142" s="50"/>
      <c r="R142" s="503"/>
      <c r="S142" s="503"/>
      <c r="T142" s="40"/>
      <c r="U142" s="40"/>
      <c r="V142" s="40"/>
      <c r="W142" s="40"/>
      <c r="X142" s="41"/>
      <c r="Y142" s="214"/>
      <c r="Z142" s="40"/>
      <c r="AA142" s="40"/>
      <c r="AB142" s="40"/>
      <c r="AC142" s="40"/>
      <c r="AD142" s="40">
        <f t="shared" si="252"/>
        <v>28</v>
      </c>
      <c r="AE142" s="233" t="s">
        <v>587</v>
      </c>
      <c r="AF142" s="36"/>
      <c r="AG142" s="36"/>
      <c r="AH142" s="36">
        <v>28</v>
      </c>
      <c r="AJ142" s="40"/>
      <c r="AK142" s="40"/>
      <c r="AL142" s="40"/>
      <c r="AM142" s="40">
        <f t="shared" si="253"/>
        <v>28</v>
      </c>
      <c r="AN142" s="40"/>
      <c r="AO142" s="40"/>
      <c r="AP142" s="40"/>
      <c r="AQ142" s="40"/>
      <c r="AR142" s="40">
        <f t="shared" si="254"/>
        <v>0</v>
      </c>
      <c r="AS142" s="40"/>
      <c r="AT142" s="40"/>
      <c r="AU142" s="40"/>
      <c r="AV142" s="40"/>
      <c r="AW142" s="40"/>
      <c r="AX142" s="40"/>
      <c r="AY142" s="40"/>
      <c r="AZ142" s="40"/>
      <c r="BA142" s="40">
        <f t="shared" si="255"/>
        <v>0</v>
      </c>
      <c r="BB142" s="36"/>
      <c r="BC142" s="506"/>
      <c r="BD142" s="506"/>
      <c r="BE142" s="36"/>
      <c r="BF142" s="506"/>
    </row>
    <row r="143" spans="1:58" ht="12.95" customHeight="1">
      <c r="A143" s="43"/>
      <c r="B143" s="44"/>
      <c r="C143" s="447"/>
      <c r="D143" s="44"/>
      <c r="E143" s="45"/>
      <c r="F143" s="45"/>
      <c r="G143" s="46"/>
      <c r="H143" s="47"/>
      <c r="I143" s="48"/>
      <c r="J143" s="85"/>
      <c r="K143" s="85"/>
      <c r="L143" s="38"/>
      <c r="M143" s="38"/>
      <c r="N143" s="49"/>
      <c r="O143" s="50"/>
      <c r="P143" s="51"/>
      <c r="Q143" s="37"/>
      <c r="R143" s="503"/>
      <c r="S143" s="503"/>
      <c r="T143" s="40"/>
      <c r="U143" s="40"/>
      <c r="V143" s="40"/>
      <c r="W143" s="40"/>
      <c r="X143" s="41"/>
      <c r="Y143" s="214"/>
      <c r="Z143" s="40"/>
      <c r="AA143" s="40"/>
      <c r="AB143" s="40"/>
      <c r="AC143" s="40"/>
      <c r="AD143" s="40">
        <f t="shared" si="252"/>
        <v>10</v>
      </c>
      <c r="AE143" s="236" t="s">
        <v>228</v>
      </c>
      <c r="AF143" s="40"/>
      <c r="AG143" s="40"/>
      <c r="AH143" s="40"/>
      <c r="AI143" s="505">
        <v>10</v>
      </c>
      <c r="AJ143" s="40"/>
      <c r="AK143" s="40"/>
      <c r="AL143" s="40"/>
      <c r="AM143" s="40">
        <f t="shared" si="253"/>
        <v>10</v>
      </c>
      <c r="AN143" s="40"/>
      <c r="AO143" s="40"/>
      <c r="AP143" s="40"/>
      <c r="AQ143" s="40"/>
      <c r="AR143" s="40">
        <f t="shared" si="254"/>
        <v>0</v>
      </c>
      <c r="AS143" s="40"/>
      <c r="AT143" s="40"/>
      <c r="AU143" s="40"/>
      <c r="AV143" s="40"/>
      <c r="AW143" s="40"/>
      <c r="AX143" s="40"/>
      <c r="AY143" s="40"/>
      <c r="AZ143" s="40"/>
      <c r="BA143" s="40">
        <f t="shared" si="255"/>
        <v>0</v>
      </c>
      <c r="BB143" s="53"/>
      <c r="BC143" s="54"/>
      <c r="BD143" s="54"/>
      <c r="BE143" s="53"/>
      <c r="BF143" s="54"/>
    </row>
    <row r="144" spans="1:58" ht="12.95" customHeight="1">
      <c r="A144" s="43"/>
      <c r="B144" s="3"/>
      <c r="C144" s="447"/>
      <c r="D144" s="44"/>
      <c r="E144" s="250"/>
      <c r="F144" s="45"/>
      <c r="G144" s="46"/>
      <c r="H144" s="47"/>
      <c r="I144" s="48"/>
      <c r="J144" s="85"/>
      <c r="K144" s="85"/>
      <c r="L144" s="38"/>
      <c r="M144" s="38"/>
      <c r="N144" s="49"/>
      <c r="O144" s="50"/>
      <c r="P144" s="51"/>
      <c r="Q144" s="376"/>
      <c r="R144" s="53"/>
      <c r="S144" s="53"/>
      <c r="T144" s="40"/>
      <c r="U144" s="40"/>
      <c r="V144" s="40"/>
      <c r="W144" s="36"/>
      <c r="X144" s="41"/>
      <c r="Y144" s="41"/>
      <c r="Z144" s="36"/>
      <c r="AA144" s="52"/>
      <c r="AB144" s="52"/>
      <c r="AC144" s="40"/>
      <c r="AD144" s="40"/>
      <c r="AE144" s="23"/>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36"/>
      <c r="BC144" s="54"/>
      <c r="BD144" s="506"/>
      <c r="BE144" s="36"/>
      <c r="BF144" s="506"/>
    </row>
    <row r="145" spans="1:58" ht="12.75" customHeight="1">
      <c r="A145" s="43">
        <v>46108</v>
      </c>
      <c r="B145" s="44" t="s">
        <v>423</v>
      </c>
      <c r="C145" s="447">
        <f>(M145*E145*O145*Q145)/100000000</f>
        <v>1.3129593749999999</v>
      </c>
      <c r="D145" s="44" t="s">
        <v>425</v>
      </c>
      <c r="E145" s="45">
        <v>15</v>
      </c>
      <c r="F145" s="45">
        <v>1</v>
      </c>
      <c r="G145" s="598">
        <v>1190</v>
      </c>
      <c r="H145" s="47">
        <f>+N145</f>
        <v>0.21999999999999997</v>
      </c>
      <c r="I145" s="48">
        <v>0.88</v>
      </c>
      <c r="J145" s="85">
        <f>E145*G145*(1-H145)*1440/1000000*2.75</f>
        <v>55.135079999999995</v>
      </c>
      <c r="K145" s="85">
        <f t="shared" ref="K145" si="256">(IF(G145&lt;L145,L145,G145)*(1-IF(H145&lt;N145,H145,N145))*E145*O145*Q145)/100000000</f>
        <v>1.3129593749999999</v>
      </c>
      <c r="L145" s="38">
        <v>1250</v>
      </c>
      <c r="M145" s="38">
        <v>975</v>
      </c>
      <c r="N145" s="49">
        <f>1-(M145/L145)</f>
        <v>0.21999999999999997</v>
      </c>
      <c r="O145" s="50">
        <f>+'Trim Rwd'!H82</f>
        <v>256.5</v>
      </c>
      <c r="P145" s="51">
        <f>O145*(Q145-R145-S145)</f>
        <v>6156</v>
      </c>
      <c r="Q145" s="50">
        <v>35</v>
      </c>
      <c r="R145" s="503">
        <v>0</v>
      </c>
      <c r="S145" s="503">
        <v>11</v>
      </c>
      <c r="T145" s="40">
        <f>E145*M145*O145*Q145/100000000</f>
        <v>1.3129593749999999</v>
      </c>
      <c r="U145" s="40">
        <f>E145*M145*O145*(Q145-R145-S145)/100000000</f>
        <v>0.90031499999999998</v>
      </c>
      <c r="V145" s="40">
        <f>E145*G145*(1-N145)*O145/100*(R145+S145)/1000000</f>
        <v>0.39283744500000001</v>
      </c>
      <c r="W145" s="40">
        <f>+'27'!K17/1000</f>
        <v>5.57</v>
      </c>
      <c r="X145" s="504">
        <f>SUM(W145:W148)/SUM(K145:K148)</f>
        <v>1.0110415402807589</v>
      </c>
      <c r="Y145" s="214">
        <v>0</v>
      </c>
      <c r="Z145" s="40">
        <v>0</v>
      </c>
      <c r="AA145" s="52">
        <f>SUM(U145:U148)-SUM(W145:W148)-SUM(Z145:Z148)-SUM(Y145:Y148)</f>
        <v>-2.6605493750000022</v>
      </c>
      <c r="AB145" s="52">
        <f>(SUM(K145:K148)-SUM(W145:W148)-SUM(Y145:Y148)-SUM(Z145:Z148)-SUM(AC145:AC148)-SUM(V145:V148))-AA145</f>
        <v>0.10162503000000545</v>
      </c>
      <c r="AC145" s="40">
        <f>K145-T145</f>
        <v>0</v>
      </c>
      <c r="AD145" s="40">
        <f>+AM145+BA145</f>
        <v>0</v>
      </c>
      <c r="AE145" s="233" t="s">
        <v>391</v>
      </c>
      <c r="AF145" s="40">
        <v>0</v>
      </c>
      <c r="AG145" s="40"/>
      <c r="AH145" s="40"/>
      <c r="AI145" s="505"/>
      <c r="AJ145" s="40"/>
      <c r="AK145" s="40"/>
      <c r="AL145" s="40"/>
      <c r="AM145" s="40">
        <f>SUM(AF145:AL145)+AT145</f>
        <v>0</v>
      </c>
      <c r="AN145" s="40"/>
      <c r="AO145" s="40"/>
      <c r="AP145" s="40"/>
      <c r="AQ145" s="40"/>
      <c r="AR145" s="40">
        <f>SUM(AN145:AQ145)</f>
        <v>0</v>
      </c>
      <c r="AS145" s="40"/>
      <c r="AT145" s="40"/>
      <c r="AU145" s="40"/>
      <c r="AV145" s="40"/>
      <c r="AW145" s="40"/>
      <c r="AX145" s="40"/>
      <c r="AY145" s="40"/>
      <c r="AZ145" s="40"/>
      <c r="BA145" s="40">
        <f>+AR145+AS145+AU145+AV145+AX145</f>
        <v>0</v>
      </c>
      <c r="BB145" s="36">
        <v>0</v>
      </c>
      <c r="BC145" s="54"/>
      <c r="BD145" s="54"/>
      <c r="BE145" s="36"/>
      <c r="BF145" s="54"/>
    </row>
    <row r="146" spans="1:58" ht="12.95" customHeight="1">
      <c r="A146" s="43"/>
      <c r="B146" s="44" t="s">
        <v>423</v>
      </c>
      <c r="C146" s="447">
        <f>(M146*E146*O146*Q146)/100000000</f>
        <v>47.897679375000003</v>
      </c>
      <c r="D146" s="44" t="s">
        <v>425</v>
      </c>
      <c r="E146" s="45">
        <v>13.5</v>
      </c>
      <c r="F146" s="45">
        <v>1</v>
      </c>
      <c r="G146" s="598">
        <v>1190</v>
      </c>
      <c r="H146" s="47">
        <f>+N146</f>
        <v>0.21999999999999997</v>
      </c>
      <c r="I146" s="48">
        <v>0.88</v>
      </c>
      <c r="J146" s="85">
        <f>E146*G146*(1-H146)*1440/1000000*2.75</f>
        <v>49.621572</v>
      </c>
      <c r="K146" s="85">
        <f t="shared" ref="K146" si="257">(IF(G146&lt;L146,L146,G146)*(1-IF(H146&lt;N146,H146,N146))*E146*O146*Q146)/100000000</f>
        <v>47.897679375000003</v>
      </c>
      <c r="L146" s="38">
        <v>1250</v>
      </c>
      <c r="M146" s="38">
        <v>975</v>
      </c>
      <c r="N146" s="49">
        <f>1-(M146/L146)</f>
        <v>0.21999999999999997</v>
      </c>
      <c r="O146" s="50">
        <f>+'Trim Rwd'!H83</f>
        <v>259</v>
      </c>
      <c r="P146" s="51">
        <f>O146*(Q146-R146-S146)</f>
        <v>350945</v>
      </c>
      <c r="Q146" s="50">
        <v>1405</v>
      </c>
      <c r="R146" s="503">
        <v>0</v>
      </c>
      <c r="S146" s="503">
        <v>50</v>
      </c>
      <c r="T146" s="40">
        <f>E146*M146*O146*Q146/100000000</f>
        <v>47.897679375000003</v>
      </c>
      <c r="U146" s="40">
        <f>E146*M146*O146*(Q146-R146-S146)/100000000</f>
        <v>46.193135624999996</v>
      </c>
      <c r="V146" s="40">
        <f>E146*G146*(1-N146)*O146/100*(R146+S146)/1000000</f>
        <v>1.6227256500000002</v>
      </c>
      <c r="W146" s="40">
        <f>+'27'!K9/1000</f>
        <v>44.183999999999997</v>
      </c>
      <c r="X146" s="41"/>
      <c r="Y146" s="214"/>
      <c r="Z146" s="40"/>
      <c r="AA146" s="40"/>
      <c r="AB146" s="40"/>
      <c r="AC146" s="40">
        <f>K146-T146</f>
        <v>0</v>
      </c>
      <c r="AD146" s="40">
        <f t="shared" ref="AD146:AD148" si="258">+AM146+BA146</f>
        <v>17</v>
      </c>
      <c r="AE146" s="233" t="s">
        <v>721</v>
      </c>
      <c r="AF146" s="40"/>
      <c r="AG146" s="40">
        <v>17</v>
      </c>
      <c r="AH146" s="40"/>
      <c r="AI146" s="505"/>
      <c r="AJ146" s="40"/>
      <c r="AK146" s="40"/>
      <c r="AL146" s="40"/>
      <c r="AM146" s="40">
        <f t="shared" ref="AM146:AM148" si="259">SUM(AF146:AL146)+AT146</f>
        <v>17</v>
      </c>
      <c r="AN146" s="86"/>
      <c r="AO146" s="40"/>
      <c r="AP146" s="40"/>
      <c r="AQ146" s="40"/>
      <c r="AR146" s="40">
        <f t="shared" ref="AR146:AR148" si="260">SUM(AN146:AQ146)</f>
        <v>0</v>
      </c>
      <c r="AS146" s="40"/>
      <c r="AT146" s="40"/>
      <c r="AU146" s="40"/>
      <c r="AV146" s="40"/>
      <c r="AW146" s="40"/>
      <c r="AX146" s="40"/>
      <c r="AY146" s="40"/>
      <c r="AZ146" s="40"/>
      <c r="BA146" s="40">
        <f t="shared" ref="BA146:BA148" si="261">+AR146+AS146+AU146+AV146+AX146</f>
        <v>0</v>
      </c>
      <c r="BB146" s="53"/>
      <c r="BC146" s="54">
        <v>12</v>
      </c>
      <c r="BD146" s="54"/>
      <c r="BE146" s="53"/>
      <c r="BF146" s="54"/>
    </row>
    <row r="147" spans="1:58" ht="12.95" customHeight="1">
      <c r="A147" s="43"/>
      <c r="B147" s="44"/>
      <c r="C147" s="447"/>
      <c r="D147" s="44"/>
      <c r="E147" s="45"/>
      <c r="F147" s="45"/>
      <c r="G147" s="502"/>
      <c r="H147" s="47"/>
      <c r="I147" s="48"/>
      <c r="J147" s="85"/>
      <c r="K147" s="85"/>
      <c r="L147" s="38"/>
      <c r="M147" s="38"/>
      <c r="N147" s="49"/>
      <c r="O147" s="50"/>
      <c r="P147" s="51"/>
      <c r="Q147" s="50"/>
      <c r="R147" s="503"/>
      <c r="S147" s="503"/>
      <c r="T147" s="40"/>
      <c r="U147" s="40"/>
      <c r="V147" s="40"/>
      <c r="W147" s="40"/>
      <c r="X147" s="41"/>
      <c r="Y147" s="214"/>
      <c r="Z147" s="40"/>
      <c r="AA147" s="40"/>
      <c r="AB147" s="40"/>
      <c r="AC147" s="40"/>
      <c r="AD147" s="40">
        <f t="shared" si="258"/>
        <v>26</v>
      </c>
      <c r="AE147" s="233" t="s">
        <v>618</v>
      </c>
      <c r="AF147" s="36"/>
      <c r="AG147" s="36"/>
      <c r="AH147" s="36">
        <v>26</v>
      </c>
      <c r="AJ147" s="40"/>
      <c r="AK147" s="40"/>
      <c r="AL147" s="40"/>
      <c r="AM147" s="40">
        <f t="shared" si="259"/>
        <v>26</v>
      </c>
      <c r="AN147" s="40"/>
      <c r="AO147" s="40"/>
      <c r="AP147" s="40"/>
      <c r="AQ147" s="40"/>
      <c r="AR147" s="40">
        <f t="shared" si="260"/>
        <v>0</v>
      </c>
      <c r="AS147" s="40"/>
      <c r="AT147" s="40"/>
      <c r="AU147" s="40"/>
      <c r="AV147" s="40"/>
      <c r="AW147" s="40"/>
      <c r="AX147" s="40"/>
      <c r="AY147" s="40"/>
      <c r="AZ147" s="40"/>
      <c r="BA147" s="40">
        <f t="shared" si="261"/>
        <v>0</v>
      </c>
      <c r="BB147" s="36"/>
      <c r="BC147" s="506"/>
      <c r="BD147" s="506"/>
      <c r="BE147" s="36"/>
      <c r="BF147" s="506"/>
    </row>
    <row r="148" spans="1:58" ht="12.95" customHeight="1">
      <c r="A148" s="43"/>
      <c r="B148" s="44"/>
      <c r="C148" s="447"/>
      <c r="D148" s="44"/>
      <c r="E148" s="45"/>
      <c r="F148" s="45"/>
      <c r="G148" s="46"/>
      <c r="H148" s="47"/>
      <c r="I148" s="48"/>
      <c r="J148" s="85"/>
      <c r="K148" s="85"/>
      <c r="L148" s="603"/>
      <c r="M148" s="603"/>
      <c r="N148" s="49"/>
      <c r="O148" s="50"/>
      <c r="P148" s="51"/>
      <c r="Q148" s="37"/>
      <c r="R148" s="503"/>
      <c r="S148" s="503"/>
      <c r="T148" s="40"/>
      <c r="U148" s="40"/>
      <c r="V148" s="40"/>
      <c r="W148" s="40"/>
      <c r="X148" s="41"/>
      <c r="Y148" s="214"/>
      <c r="Z148" s="40"/>
      <c r="AA148" s="40"/>
      <c r="AB148" s="40"/>
      <c r="AC148" s="40"/>
      <c r="AD148" s="40">
        <f t="shared" si="258"/>
        <v>18</v>
      </c>
      <c r="AE148" s="236" t="s">
        <v>228</v>
      </c>
      <c r="AF148" s="40"/>
      <c r="AG148" s="40"/>
      <c r="AH148" s="40"/>
      <c r="AI148" s="505">
        <v>18</v>
      </c>
      <c r="AJ148" s="40"/>
      <c r="AK148" s="40"/>
      <c r="AL148" s="40"/>
      <c r="AM148" s="40">
        <f t="shared" si="259"/>
        <v>18</v>
      </c>
      <c r="AN148" s="40"/>
      <c r="AO148" s="40"/>
      <c r="AP148" s="40"/>
      <c r="AQ148" s="40"/>
      <c r="AR148" s="40">
        <f t="shared" si="260"/>
        <v>0</v>
      </c>
      <c r="AS148" s="40"/>
      <c r="AT148" s="40"/>
      <c r="AU148" s="40"/>
      <c r="AV148" s="40"/>
      <c r="AW148" s="40"/>
      <c r="AX148" s="40"/>
      <c r="AY148" s="40"/>
      <c r="AZ148" s="40"/>
      <c r="BA148" s="40">
        <f t="shared" si="261"/>
        <v>0</v>
      </c>
      <c r="BB148" s="53"/>
      <c r="BC148" s="54"/>
      <c r="BD148" s="54"/>
      <c r="BE148" s="53"/>
      <c r="BF148" s="54"/>
    </row>
    <row r="149" spans="1:58" ht="12.95" customHeight="1">
      <c r="A149" s="43"/>
      <c r="B149" s="44"/>
      <c r="C149" s="447"/>
      <c r="D149" s="44"/>
      <c r="E149" s="45"/>
      <c r="F149" s="45"/>
      <c r="G149" s="502"/>
      <c r="H149" s="47"/>
      <c r="I149" s="48"/>
      <c r="J149" s="85"/>
      <c r="K149" s="85"/>
      <c r="L149" s="603"/>
      <c r="M149" s="603"/>
      <c r="N149" s="49"/>
      <c r="O149" s="50"/>
      <c r="P149" s="51"/>
      <c r="Q149" s="50"/>
      <c r="R149" s="503"/>
      <c r="S149" s="503"/>
      <c r="T149" s="40"/>
      <c r="U149" s="40"/>
      <c r="V149" s="40"/>
      <c r="W149" s="40"/>
      <c r="X149" s="504"/>
      <c r="Y149" s="214"/>
      <c r="Z149" s="40"/>
      <c r="AA149" s="52"/>
      <c r="AB149" s="52"/>
      <c r="AC149" s="40"/>
      <c r="AD149" s="40"/>
      <c r="AE149" s="233"/>
      <c r="AF149" s="40"/>
      <c r="AG149" s="40"/>
      <c r="AH149" s="40"/>
      <c r="AI149" s="505"/>
      <c r="AJ149" s="40"/>
      <c r="AK149" s="40"/>
      <c r="AL149" s="40"/>
      <c r="AM149" s="40"/>
      <c r="AN149" s="40"/>
      <c r="AO149" s="40"/>
      <c r="AP149" s="40"/>
      <c r="AQ149" s="40"/>
      <c r="AR149" s="40"/>
      <c r="AS149" s="40"/>
      <c r="AT149" s="40"/>
      <c r="AU149" s="40"/>
      <c r="AV149" s="40"/>
      <c r="AW149" s="40"/>
      <c r="AX149" s="40"/>
      <c r="AY149" s="40"/>
      <c r="AZ149" s="40"/>
      <c r="BA149" s="40"/>
      <c r="BB149" s="36"/>
      <c r="BC149" s="54"/>
      <c r="BD149" s="506"/>
      <c r="BE149" s="36"/>
      <c r="BF149" s="506"/>
    </row>
    <row r="150" spans="1:58" ht="12.75" customHeight="1">
      <c r="A150" s="43">
        <v>46109</v>
      </c>
      <c r="B150" s="44" t="s">
        <v>423</v>
      </c>
      <c r="C150" s="447">
        <f>(M150*E150*O150*Q150)/100000000</f>
        <v>29.862421874999999</v>
      </c>
      <c r="D150" s="44" t="s">
        <v>425</v>
      </c>
      <c r="E150" s="45">
        <v>13.5</v>
      </c>
      <c r="F150" s="45">
        <v>1</v>
      </c>
      <c r="G150" s="598">
        <f>+L150</f>
        <v>1250</v>
      </c>
      <c r="H150" s="47">
        <f>+N150</f>
        <v>0.21999999999999997</v>
      </c>
      <c r="I150" s="48">
        <v>0.88</v>
      </c>
      <c r="J150" s="85">
        <f>E150*G150*(1-H150)*1440/1000000*2.75</f>
        <v>52.1235</v>
      </c>
      <c r="K150" s="85">
        <f t="shared" ref="K150:K151" si="262">(IF(G150&lt;L150,L150,G150)*(1-IF(H150&lt;N150,H150,N150))*E150*O150*Q150)/100000000</f>
        <v>29.862421874999999</v>
      </c>
      <c r="L150" s="603">
        <v>1250</v>
      </c>
      <c r="M150" s="603">
        <v>975</v>
      </c>
      <c r="N150" s="49">
        <f>1-(M150/L150)</f>
        <v>0.21999999999999997</v>
      </c>
      <c r="O150" s="50">
        <f>+'Trim Rwd'!H85</f>
        <v>275</v>
      </c>
      <c r="P150" s="51">
        <f>O150*(Q150-R150-S150)</f>
        <v>215600</v>
      </c>
      <c r="Q150" s="50">
        <v>825</v>
      </c>
      <c r="R150" s="503">
        <v>0</v>
      </c>
      <c r="S150" s="503">
        <v>41</v>
      </c>
      <c r="T150" s="40">
        <f>E150*M150*O150*Q150/100000000</f>
        <v>29.862421874999999</v>
      </c>
      <c r="U150" s="40">
        <f>E150*M150*O150*(Q150-R150-S150)/100000000</f>
        <v>28.378350000000001</v>
      </c>
      <c r="V150" s="40">
        <f>E150*G150*(1-N150)*O150/100*(R150+S150)/1000000</f>
        <v>1.4840718749999999</v>
      </c>
      <c r="W150" s="40">
        <f>+'28'!K9/1000</f>
        <v>33.015999999999998</v>
      </c>
      <c r="X150" s="504">
        <f>SUM(W150:W153)/SUM(K150:K153)</f>
        <v>0.98301850349108388</v>
      </c>
      <c r="Y150" s="214">
        <v>0</v>
      </c>
      <c r="Z150" s="40">
        <v>0</v>
      </c>
      <c r="AA150" s="52">
        <f>SUM(U150:U153)-SUM(W150:W153)-SUM(Z150:Z153)-SUM(Y150:Y153)</f>
        <v>-1.3350401624999932</v>
      </c>
      <c r="AB150" s="52">
        <f>(SUM(K150:K153)-SUM(W150:W153)-SUM(Y150:Y153)-SUM(Z150:Z153)-SUM(AC150:AC153)-SUM(V150:V153))-AA150</f>
        <v>0</v>
      </c>
      <c r="AC150" s="40">
        <f>K150-T150</f>
        <v>0</v>
      </c>
      <c r="AD150" s="40">
        <f>+AM150+BA150</f>
        <v>0</v>
      </c>
      <c r="AE150" s="233" t="s">
        <v>391</v>
      </c>
      <c r="AF150" s="40">
        <v>0</v>
      </c>
      <c r="AG150" s="40"/>
      <c r="AH150" s="40"/>
      <c r="AI150" s="505"/>
      <c r="AJ150" s="40"/>
      <c r="AK150" s="40"/>
      <c r="AL150" s="40"/>
      <c r="AM150" s="40">
        <f>SUM(AF150:AL150)+AT150</f>
        <v>0</v>
      </c>
      <c r="AN150" s="40"/>
      <c r="AO150" s="40"/>
      <c r="AP150" s="40"/>
      <c r="AQ150" s="40"/>
      <c r="AR150" s="40">
        <f>SUM(AN150:AQ150)</f>
        <v>0</v>
      </c>
      <c r="AS150" s="40"/>
      <c r="AT150" s="40"/>
      <c r="AU150" s="40"/>
      <c r="AV150" s="40"/>
      <c r="AW150" s="40"/>
      <c r="AX150" s="40"/>
      <c r="AY150" s="40"/>
      <c r="AZ150" s="40"/>
      <c r="BA150" s="40">
        <f>+AR150+AS150+AU150+AV150+AX150</f>
        <v>0</v>
      </c>
      <c r="BB150" s="36">
        <v>0</v>
      </c>
      <c r="BC150" s="54"/>
      <c r="BD150" s="54"/>
      <c r="BE150" s="36"/>
      <c r="BF150" s="54"/>
    </row>
    <row r="151" spans="1:58" ht="12.95" customHeight="1">
      <c r="A151" s="43"/>
      <c r="B151" s="44" t="s">
        <v>423</v>
      </c>
      <c r="C151" s="447">
        <f>(M151*E151*O151*Q151)/100000000</f>
        <v>23.044008487500001</v>
      </c>
      <c r="D151" s="44" t="s">
        <v>425</v>
      </c>
      <c r="E151" s="45">
        <v>15.5</v>
      </c>
      <c r="F151" s="45">
        <v>1</v>
      </c>
      <c r="G151" s="598">
        <v>1150</v>
      </c>
      <c r="H151" s="47">
        <f>+N151</f>
        <v>0.21999999999999997</v>
      </c>
      <c r="I151" s="48">
        <v>0.88</v>
      </c>
      <c r="J151" s="85">
        <f>E151*G151*(1-H151)*1440/1000000*2.75</f>
        <v>55.057859999999998</v>
      </c>
      <c r="K151" s="85">
        <f t="shared" si="262"/>
        <v>23.044008487500001</v>
      </c>
      <c r="L151" s="603">
        <v>1150</v>
      </c>
      <c r="M151" s="603">
        <v>897</v>
      </c>
      <c r="N151" s="49">
        <f>1-(M151/L151)</f>
        <v>0.21999999999999997</v>
      </c>
      <c r="O151" s="50">
        <f>+'Trim Rwd'!H87</f>
        <v>269.5</v>
      </c>
      <c r="P151" s="51">
        <f>O151*(Q151-R151-S151)</f>
        <v>160352.5</v>
      </c>
      <c r="Q151" s="50">
        <v>615</v>
      </c>
      <c r="R151" s="503">
        <v>0</v>
      </c>
      <c r="S151" s="503">
        <v>20</v>
      </c>
      <c r="T151" s="40">
        <f>E151*M151*O151*Q151/100000000</f>
        <v>23.044008487500001</v>
      </c>
      <c r="U151" s="40">
        <f>E151*M151*O151*(Q151-R151-S151)/100000000</f>
        <v>22.294609837500001</v>
      </c>
      <c r="V151" s="40">
        <f>E151*G151*(1-N151)*O151/100*(R151+S151)/1000000</f>
        <v>0.74939865000000006</v>
      </c>
      <c r="W151" s="40">
        <f>+'28'!K8/1000</f>
        <v>18.992000000000001</v>
      </c>
      <c r="X151" s="41"/>
      <c r="Y151" s="214"/>
      <c r="Z151" s="40"/>
      <c r="AA151" s="40"/>
      <c r="AB151" s="40"/>
      <c r="AC151" s="40">
        <f>K151-T151</f>
        <v>0</v>
      </c>
      <c r="AD151" s="40">
        <f t="shared" ref="AD151:AD153" si="263">+AM151+BA151</f>
        <v>19</v>
      </c>
      <c r="AE151" s="233" t="s">
        <v>461</v>
      </c>
      <c r="AF151" s="40"/>
      <c r="AG151" s="40">
        <v>19</v>
      </c>
      <c r="AH151" s="40"/>
      <c r="AI151" s="505"/>
      <c r="AJ151" s="40"/>
      <c r="AK151" s="40"/>
      <c r="AL151" s="40"/>
      <c r="AM151" s="40">
        <f t="shared" ref="AM151:AM153" si="264">SUM(AF151:AL151)+AT151</f>
        <v>19</v>
      </c>
      <c r="AN151" s="86"/>
      <c r="AO151" s="40"/>
      <c r="AP151" s="40"/>
      <c r="AQ151" s="40"/>
      <c r="AR151" s="40">
        <f t="shared" ref="AR151:AR153" si="265">SUM(AN151:AQ151)</f>
        <v>0</v>
      </c>
      <c r="AS151" s="40"/>
      <c r="AT151" s="40"/>
      <c r="AU151" s="40"/>
      <c r="AV151" s="40"/>
      <c r="AW151" s="40"/>
      <c r="AX151" s="40"/>
      <c r="AY151" s="40"/>
      <c r="AZ151" s="40"/>
      <c r="BA151" s="40">
        <f t="shared" ref="BA151:BA153" si="266">+AR151+AS151+AU151+AV151+AX151</f>
        <v>0</v>
      </c>
      <c r="BB151" s="53"/>
      <c r="BC151" s="54">
        <v>13</v>
      </c>
      <c r="BD151" s="54"/>
      <c r="BE151" s="53"/>
      <c r="BF151" s="54"/>
    </row>
    <row r="152" spans="1:58" ht="12.95" customHeight="1">
      <c r="A152" s="43"/>
      <c r="B152" s="44"/>
      <c r="C152" s="447"/>
      <c r="D152" s="44"/>
      <c r="E152" s="45"/>
      <c r="F152" s="45"/>
      <c r="G152" s="502"/>
      <c r="H152" s="47"/>
      <c r="I152" s="48"/>
      <c r="J152" s="85"/>
      <c r="K152" s="85"/>
      <c r="L152" s="603"/>
      <c r="M152" s="603"/>
      <c r="N152" s="49"/>
      <c r="O152" s="50"/>
      <c r="P152" s="51"/>
      <c r="Q152" s="50"/>
      <c r="R152" s="503"/>
      <c r="S152" s="503"/>
      <c r="T152" s="40"/>
      <c r="U152" s="40"/>
      <c r="V152" s="40"/>
      <c r="W152" s="40"/>
      <c r="X152" s="41"/>
      <c r="Y152" s="214"/>
      <c r="Z152" s="40"/>
      <c r="AA152" s="40"/>
      <c r="AB152" s="40"/>
      <c r="AC152" s="40"/>
      <c r="AD152" s="40">
        <f t="shared" si="263"/>
        <v>24</v>
      </c>
      <c r="AE152" s="233" t="s">
        <v>490</v>
      </c>
      <c r="AF152" s="36"/>
      <c r="AG152" s="36"/>
      <c r="AH152" s="36">
        <v>24</v>
      </c>
      <c r="AJ152" s="40"/>
      <c r="AK152" s="40"/>
      <c r="AL152" s="40"/>
      <c r="AM152" s="40">
        <f t="shared" si="264"/>
        <v>24</v>
      </c>
      <c r="AN152" s="40"/>
      <c r="AO152" s="40"/>
      <c r="AP152" s="40"/>
      <c r="AQ152" s="40"/>
      <c r="AR152" s="40">
        <f t="shared" si="265"/>
        <v>0</v>
      </c>
      <c r="AS152" s="40"/>
      <c r="AT152" s="40"/>
      <c r="AU152" s="40"/>
      <c r="AV152" s="40"/>
      <c r="AW152" s="40"/>
      <c r="AX152" s="40"/>
      <c r="AY152" s="40"/>
      <c r="AZ152" s="40"/>
      <c r="BA152" s="40">
        <f t="shared" si="266"/>
        <v>0</v>
      </c>
      <c r="BB152" s="36"/>
      <c r="BC152" s="506"/>
      <c r="BD152" s="506"/>
      <c r="BE152" s="36"/>
      <c r="BF152" s="506"/>
    </row>
    <row r="153" spans="1:58" ht="12.95" customHeight="1">
      <c r="A153" s="43"/>
      <c r="B153" s="44"/>
      <c r="C153" s="447"/>
      <c r="D153" s="44"/>
      <c r="E153" s="45"/>
      <c r="F153" s="45"/>
      <c r="G153" s="46"/>
      <c r="H153" s="47"/>
      <c r="I153" s="48"/>
      <c r="J153" s="85"/>
      <c r="K153" s="85"/>
      <c r="L153" s="603"/>
      <c r="M153" s="603"/>
      <c r="N153" s="49"/>
      <c r="O153" s="50"/>
      <c r="P153" s="51"/>
      <c r="Q153" s="37"/>
      <c r="R153" s="503"/>
      <c r="S153" s="503"/>
      <c r="T153" s="40"/>
      <c r="U153" s="40"/>
      <c r="V153" s="40"/>
      <c r="W153" s="40"/>
      <c r="X153" s="41"/>
      <c r="Y153" s="214"/>
      <c r="Z153" s="40"/>
      <c r="AA153" s="40"/>
      <c r="AB153" s="40"/>
      <c r="AC153" s="40"/>
      <c r="AD153" s="40">
        <f t="shared" si="263"/>
        <v>18</v>
      </c>
      <c r="AE153" s="236" t="s">
        <v>228</v>
      </c>
      <c r="AF153" s="40"/>
      <c r="AG153" s="40"/>
      <c r="AH153" s="40"/>
      <c r="AI153" s="505">
        <v>18</v>
      </c>
      <c r="AJ153" s="40"/>
      <c r="AK153" s="40"/>
      <c r="AL153" s="40"/>
      <c r="AM153" s="40">
        <f t="shared" si="264"/>
        <v>18</v>
      </c>
      <c r="AN153" s="40"/>
      <c r="AO153" s="40"/>
      <c r="AP153" s="40"/>
      <c r="AQ153" s="40"/>
      <c r="AR153" s="40">
        <f t="shared" si="265"/>
        <v>0</v>
      </c>
      <c r="AS153" s="40"/>
      <c r="AT153" s="40"/>
      <c r="AU153" s="40"/>
      <c r="AV153" s="40"/>
      <c r="AW153" s="40"/>
      <c r="AX153" s="40"/>
      <c r="AY153" s="40"/>
      <c r="AZ153" s="40"/>
      <c r="BA153" s="40">
        <f t="shared" si="266"/>
        <v>0</v>
      </c>
      <c r="BB153" s="53"/>
      <c r="BC153" s="54"/>
      <c r="BD153" s="54"/>
      <c r="BE153" s="53"/>
      <c r="BF153" s="54"/>
    </row>
    <row r="154" spans="1:58" ht="12.95" customHeight="1">
      <c r="A154" s="43"/>
      <c r="B154" s="44"/>
      <c r="C154" s="447"/>
      <c r="D154" s="44"/>
      <c r="E154" s="45"/>
      <c r="F154" s="45"/>
      <c r="G154" s="502"/>
      <c r="H154" s="47"/>
      <c r="I154" s="48"/>
      <c r="J154" s="85"/>
      <c r="K154" s="85"/>
      <c r="L154" s="603"/>
      <c r="M154" s="603"/>
      <c r="N154" s="49"/>
      <c r="O154" s="50"/>
      <c r="P154" s="51"/>
      <c r="Q154" s="50"/>
      <c r="R154" s="503"/>
      <c r="S154" s="503"/>
      <c r="T154" s="40"/>
      <c r="U154" s="40"/>
      <c r="V154" s="40"/>
      <c r="W154" s="40"/>
      <c r="X154" s="504"/>
      <c r="Y154" s="214"/>
      <c r="Z154" s="40"/>
      <c r="AA154" s="52"/>
      <c r="AB154" s="52"/>
      <c r="AC154" s="40"/>
      <c r="AD154" s="40"/>
      <c r="AE154" s="233"/>
      <c r="AF154" s="40"/>
      <c r="AG154" s="40"/>
      <c r="AH154" s="40"/>
      <c r="AI154" s="505"/>
      <c r="AJ154" s="40"/>
      <c r="AK154" s="40"/>
      <c r="AL154" s="40"/>
      <c r="AM154" s="40"/>
      <c r="AN154" s="40"/>
      <c r="AO154" s="40"/>
      <c r="AP154" s="40"/>
      <c r="AQ154" s="40"/>
      <c r="AR154" s="40"/>
      <c r="AS154" s="40"/>
      <c r="AT154" s="40"/>
      <c r="AU154" s="40"/>
      <c r="AV154" s="40"/>
      <c r="AW154" s="40"/>
      <c r="AX154" s="40"/>
      <c r="AY154" s="40"/>
      <c r="AZ154" s="40"/>
      <c r="BA154" s="40"/>
      <c r="BB154" s="36"/>
      <c r="BC154" s="54"/>
      <c r="BD154" s="506"/>
      <c r="BE154" s="36"/>
      <c r="BF154" s="506"/>
    </row>
    <row r="155" spans="1:58" ht="12.75" customHeight="1">
      <c r="A155" s="43">
        <v>46110</v>
      </c>
      <c r="B155" s="44" t="s">
        <v>423</v>
      </c>
      <c r="C155" s="447">
        <f>(M155*E155*O155*Q155)/100000000</f>
        <v>53.956702800000002</v>
      </c>
      <c r="D155" s="44" t="s">
        <v>425</v>
      </c>
      <c r="E155" s="45">
        <v>15.5</v>
      </c>
      <c r="F155" s="45">
        <v>1</v>
      </c>
      <c r="G155" s="598">
        <v>1150</v>
      </c>
      <c r="H155" s="47">
        <f>+N155</f>
        <v>0.21999999999999997</v>
      </c>
      <c r="I155" s="48">
        <v>0.88</v>
      </c>
      <c r="J155" s="85">
        <f>E155*G155*(1-H155)*1440/1000000*2.75</f>
        <v>55.057859999999998</v>
      </c>
      <c r="K155" s="85">
        <f t="shared" ref="K155" si="267">(IF(G155&lt;L155,L155,G155)*(1-IF(H155&lt;N155,H155,N155))*E155*O155*Q155)/100000000</f>
        <v>53.956702800000002</v>
      </c>
      <c r="L155" s="603">
        <v>1150</v>
      </c>
      <c r="M155" s="603">
        <v>897</v>
      </c>
      <c r="N155" s="49">
        <f>1-(M155/L155)</f>
        <v>0.21999999999999997</v>
      </c>
      <c r="O155" s="50">
        <f>+'Trim Rwd'!H89</f>
        <v>269.5</v>
      </c>
      <c r="P155" s="51">
        <f>O155*(Q155-R155-S155)</f>
        <v>370562.5</v>
      </c>
      <c r="Q155" s="50">
        <v>1440</v>
      </c>
      <c r="R155" s="503">
        <v>0</v>
      </c>
      <c r="S155" s="503">
        <v>65</v>
      </c>
      <c r="T155" s="40">
        <f>E155*M155*O155*Q155/100000000</f>
        <v>53.956702800000002</v>
      </c>
      <c r="U155" s="40">
        <f>E155*M155*O155*(Q155-R155-S155)/100000000</f>
        <v>51.521157187500002</v>
      </c>
      <c r="V155" s="40">
        <f>E155*G155*(1-N155)*O155/100*(R155+S155)/1000000</f>
        <v>2.4355456125000003</v>
      </c>
      <c r="W155" s="40">
        <f>+'29'!K8/1000</f>
        <v>50.317</v>
      </c>
      <c r="X155" s="504">
        <f>SUM(W155:W158)/SUM(K155:K158)</f>
        <v>0.93254401008358123</v>
      </c>
      <c r="Y155" s="214">
        <v>0</v>
      </c>
      <c r="Z155" s="40">
        <v>0</v>
      </c>
      <c r="AA155" s="52">
        <f>SUM(U155:U158)-SUM(W155:W158)-SUM(Z155:Z158)-SUM(Y155:Y158)</f>
        <v>1.2041571875000017</v>
      </c>
      <c r="AB155" s="52">
        <f>(SUM(K155:K158)-SUM(W155:W158)-SUM(Y155:Y158)-SUM(Z155:Z158)-SUM(AC155:AC158)-SUM(V155:V158))-AA155</f>
        <v>0</v>
      </c>
      <c r="AC155" s="40">
        <f>K155-T155</f>
        <v>0</v>
      </c>
      <c r="AD155" s="40">
        <f>+AM155+BA155</f>
        <v>0</v>
      </c>
      <c r="AE155" s="233" t="s">
        <v>391</v>
      </c>
      <c r="AF155" s="40">
        <v>0</v>
      </c>
      <c r="AG155" s="40"/>
      <c r="AH155" s="40"/>
      <c r="AI155" s="505"/>
      <c r="AJ155" s="40"/>
      <c r="AK155" s="40"/>
      <c r="AL155" s="40"/>
      <c r="AM155" s="40">
        <f>SUM(AF155:AL155)+AT155</f>
        <v>0</v>
      </c>
      <c r="AN155" s="40"/>
      <c r="AO155" s="40"/>
      <c r="AP155" s="40"/>
      <c r="AQ155" s="40"/>
      <c r="AR155" s="40">
        <f>SUM(AN155:AQ155)</f>
        <v>0</v>
      </c>
      <c r="AS155" s="40"/>
      <c r="AT155" s="40"/>
      <c r="AU155" s="40"/>
      <c r="AV155" s="40"/>
      <c r="AW155" s="40"/>
      <c r="AX155" s="40"/>
      <c r="AY155" s="40"/>
      <c r="AZ155" s="40"/>
      <c r="BA155" s="40">
        <f>+AR155+AS155+AU155+AV155+AX155</f>
        <v>0</v>
      </c>
      <c r="BB155" s="36">
        <v>0</v>
      </c>
      <c r="BC155" s="54"/>
      <c r="BD155" s="54"/>
      <c r="BE155" s="36"/>
      <c r="BF155" s="54"/>
    </row>
    <row r="156" spans="1:58" ht="12.95" customHeight="1">
      <c r="A156" s="43"/>
      <c r="B156" s="44"/>
      <c r="C156" s="447"/>
      <c r="D156" s="44"/>
      <c r="E156" s="45"/>
      <c r="F156" s="45"/>
      <c r="G156" s="48"/>
      <c r="H156" s="47"/>
      <c r="I156" s="48"/>
      <c r="J156" s="85"/>
      <c r="K156" s="85"/>
      <c r="L156" s="603"/>
      <c r="M156" s="603"/>
      <c r="N156" s="49"/>
      <c r="O156" s="50"/>
      <c r="P156" s="51"/>
      <c r="Q156" s="50"/>
      <c r="R156" s="503"/>
      <c r="S156" s="503"/>
      <c r="T156" s="40"/>
      <c r="U156" s="40"/>
      <c r="V156" s="40"/>
      <c r="W156" s="40"/>
      <c r="X156" s="41"/>
      <c r="Y156" s="214"/>
      <c r="Z156" s="40"/>
      <c r="AA156" s="40"/>
      <c r="AB156" s="40"/>
      <c r="AC156" s="40"/>
      <c r="AD156" s="40">
        <f t="shared" ref="AD156:AD158" si="268">+AM156+BA156</f>
        <v>19</v>
      </c>
      <c r="AE156" s="233" t="s">
        <v>461</v>
      </c>
      <c r="AF156" s="40"/>
      <c r="AG156" s="40">
        <v>19</v>
      </c>
      <c r="AH156" s="40"/>
      <c r="AI156" s="505"/>
      <c r="AJ156" s="40"/>
      <c r="AK156" s="40"/>
      <c r="AL156" s="40"/>
      <c r="AM156" s="40">
        <f t="shared" ref="AM156:AM158" si="269">SUM(AF156:AL156)+AT156</f>
        <v>19</v>
      </c>
      <c r="AN156" s="86"/>
      <c r="AO156" s="40"/>
      <c r="AP156" s="40"/>
      <c r="AQ156" s="40"/>
      <c r="AR156" s="40">
        <f t="shared" ref="AR156:AR158" si="270">SUM(AN156:AQ156)</f>
        <v>0</v>
      </c>
      <c r="AS156" s="40"/>
      <c r="AT156" s="40"/>
      <c r="AU156" s="40"/>
      <c r="AV156" s="40"/>
      <c r="AW156" s="40"/>
      <c r="AX156" s="40"/>
      <c r="AY156" s="40"/>
      <c r="AZ156" s="40"/>
      <c r="BA156" s="40">
        <f t="shared" ref="BA156:BA158" si="271">+AR156+AS156+AU156+AV156+AX156</f>
        <v>0</v>
      </c>
      <c r="BB156" s="53"/>
      <c r="BC156" s="54">
        <v>13</v>
      </c>
      <c r="BD156" s="54"/>
      <c r="BE156" s="53"/>
      <c r="BF156" s="54"/>
    </row>
    <row r="157" spans="1:58" ht="12.95" customHeight="1">
      <c r="A157" s="43"/>
      <c r="B157" s="44"/>
      <c r="C157" s="447"/>
      <c r="D157" s="44"/>
      <c r="E157" s="45"/>
      <c r="F157" s="45"/>
      <c r="G157" s="502"/>
      <c r="H157" s="47"/>
      <c r="I157" s="48"/>
      <c r="J157" s="85"/>
      <c r="K157" s="85"/>
      <c r="L157" s="603"/>
      <c r="M157" s="603"/>
      <c r="N157" s="49"/>
      <c r="O157" s="50"/>
      <c r="P157" s="51"/>
      <c r="Q157" s="50"/>
      <c r="R157" s="503"/>
      <c r="S157" s="503"/>
      <c r="T157" s="40"/>
      <c r="U157" s="40"/>
      <c r="V157" s="40"/>
      <c r="W157" s="40"/>
      <c r="X157" s="41"/>
      <c r="Y157" s="214"/>
      <c r="Z157" s="40"/>
      <c r="AA157" s="40"/>
      <c r="AB157" s="40"/>
      <c r="AC157" s="40"/>
      <c r="AD157" s="40">
        <f t="shared" si="268"/>
        <v>28</v>
      </c>
      <c r="AE157" s="233" t="s">
        <v>587</v>
      </c>
      <c r="AF157" s="36"/>
      <c r="AG157" s="36"/>
      <c r="AH157" s="36">
        <v>28</v>
      </c>
      <c r="AJ157" s="40"/>
      <c r="AK157" s="40"/>
      <c r="AL157" s="40"/>
      <c r="AM157" s="40">
        <f t="shared" si="269"/>
        <v>28</v>
      </c>
      <c r="AN157" s="40"/>
      <c r="AO157" s="40"/>
      <c r="AP157" s="40"/>
      <c r="AQ157" s="40"/>
      <c r="AR157" s="40">
        <f t="shared" si="270"/>
        <v>0</v>
      </c>
      <c r="AS157" s="40"/>
      <c r="AT157" s="40"/>
      <c r="AU157" s="40"/>
      <c r="AV157" s="40"/>
      <c r="AW157" s="40"/>
      <c r="AX157" s="40"/>
      <c r="AY157" s="40"/>
      <c r="AZ157" s="40"/>
      <c r="BA157" s="40">
        <f t="shared" si="271"/>
        <v>0</v>
      </c>
      <c r="BB157" s="36"/>
      <c r="BC157" s="506"/>
      <c r="BD157" s="506"/>
      <c r="BE157" s="36"/>
      <c r="BF157" s="506"/>
    </row>
    <row r="158" spans="1:58" ht="12.95" customHeight="1">
      <c r="A158" s="43"/>
      <c r="B158" s="44"/>
      <c r="C158" s="447"/>
      <c r="D158" s="44"/>
      <c r="E158" s="45"/>
      <c r="F158" s="45"/>
      <c r="G158" s="46"/>
      <c r="H158" s="47"/>
      <c r="I158" s="48"/>
      <c r="J158" s="85"/>
      <c r="K158" s="85"/>
      <c r="L158" s="603"/>
      <c r="M158" s="603"/>
      <c r="N158" s="49"/>
      <c r="O158" s="50"/>
      <c r="P158" s="51"/>
      <c r="Q158" s="37"/>
      <c r="R158" s="503"/>
      <c r="S158" s="503"/>
      <c r="T158" s="40"/>
      <c r="U158" s="40"/>
      <c r="V158" s="40"/>
      <c r="W158" s="40"/>
      <c r="X158" s="41"/>
      <c r="Y158" s="214"/>
      <c r="Z158" s="40"/>
      <c r="AA158" s="40"/>
      <c r="AB158" s="40"/>
      <c r="AC158" s="40"/>
      <c r="AD158" s="40">
        <f t="shared" si="268"/>
        <v>18</v>
      </c>
      <c r="AE158" s="236" t="s">
        <v>228</v>
      </c>
      <c r="AF158" s="40"/>
      <c r="AG158" s="40"/>
      <c r="AH158" s="40"/>
      <c r="AI158" s="505">
        <v>18</v>
      </c>
      <c r="AJ158" s="40"/>
      <c r="AK158" s="40"/>
      <c r="AL158" s="40"/>
      <c r="AM158" s="40">
        <f t="shared" si="269"/>
        <v>18</v>
      </c>
      <c r="AN158" s="40"/>
      <c r="AO158" s="40"/>
      <c r="AP158" s="40"/>
      <c r="AQ158" s="40"/>
      <c r="AR158" s="40">
        <f t="shared" si="270"/>
        <v>0</v>
      </c>
      <c r="AS158" s="40"/>
      <c r="AT158" s="40"/>
      <c r="AU158" s="40"/>
      <c r="AV158" s="40"/>
      <c r="AW158" s="40"/>
      <c r="AX158" s="40"/>
      <c r="AY158" s="40"/>
      <c r="AZ158" s="40"/>
      <c r="BA158" s="40">
        <f t="shared" si="271"/>
        <v>0</v>
      </c>
      <c r="BB158" s="53"/>
      <c r="BC158" s="54"/>
      <c r="BD158" s="54"/>
      <c r="BE158" s="53"/>
      <c r="BF158" s="54"/>
    </row>
    <row r="159" spans="1:58" ht="12.95" customHeight="1">
      <c r="A159" s="43"/>
      <c r="B159" s="560"/>
      <c r="C159" s="447"/>
      <c r="D159" s="44"/>
      <c r="E159" s="45"/>
      <c r="F159" s="45"/>
      <c r="G159" s="46"/>
      <c r="H159" s="47"/>
      <c r="I159" s="48"/>
      <c r="J159" s="85"/>
      <c r="K159" s="85"/>
      <c r="L159" s="603"/>
      <c r="M159" s="603"/>
      <c r="N159" s="49"/>
      <c r="O159" s="50"/>
      <c r="P159" s="51"/>
      <c r="Q159" s="37"/>
      <c r="R159" s="503"/>
      <c r="S159" s="503"/>
      <c r="T159" s="40"/>
      <c r="U159" s="40"/>
      <c r="V159" s="40"/>
      <c r="W159" s="40"/>
      <c r="X159" s="41"/>
      <c r="Y159" s="41"/>
      <c r="Z159" s="40"/>
      <c r="AA159" s="52"/>
      <c r="AB159" s="52"/>
      <c r="AC159" s="40"/>
      <c r="AD159" s="40"/>
      <c r="AE159" s="236"/>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36"/>
      <c r="BC159" s="54"/>
      <c r="BD159" s="506"/>
      <c r="BE159" s="36"/>
      <c r="BF159" s="506"/>
    </row>
    <row r="160" spans="1:58" ht="12.75" customHeight="1">
      <c r="A160" s="43">
        <v>46111</v>
      </c>
      <c r="B160" s="44" t="s">
        <v>423</v>
      </c>
      <c r="C160" s="447">
        <f>(M160*E160*O160*Q160)/100000000</f>
        <v>50.054019265249998</v>
      </c>
      <c r="D160" s="44" t="s">
        <v>425</v>
      </c>
      <c r="E160" s="45">
        <v>15.5</v>
      </c>
      <c r="F160" s="45">
        <v>1</v>
      </c>
      <c r="G160" s="598">
        <v>1150</v>
      </c>
      <c r="H160" s="47">
        <f>+N160</f>
        <v>0.2187328278119357</v>
      </c>
      <c r="I160" s="48">
        <v>0.88</v>
      </c>
      <c r="J160" s="85">
        <f>E160*G160*(1-H160)*1440/1000000*2.75</f>
        <v>55.147305883238886</v>
      </c>
      <c r="K160" s="85">
        <f t="shared" ref="K160" si="272">(IF(G160&lt;L160,L160,G160)*(1-IF(H160&lt;N160,H160,N160))*E160*O160*Q160)/100000000</f>
        <v>54.044359765574121</v>
      </c>
      <c r="L160" s="603">
        <v>1065.0902777777778</v>
      </c>
      <c r="M160" s="603">
        <v>832.12006944444443</v>
      </c>
      <c r="N160" s="49">
        <f>1-(M160/L160)</f>
        <v>0.2187328278119357</v>
      </c>
      <c r="O160" s="50">
        <f>+'Trim Rwd'!H91</f>
        <v>269.5</v>
      </c>
      <c r="P160" s="51">
        <f>O160*(Q160-R160-S160)</f>
        <v>355470.5</v>
      </c>
      <c r="Q160" s="50">
        <v>1440</v>
      </c>
      <c r="R160" s="503">
        <v>0</v>
      </c>
      <c r="S160" s="503">
        <f>56+18+47</f>
        <v>121</v>
      </c>
      <c r="T160" s="40">
        <f>E160*M160*O160*Q160/100000000</f>
        <v>50.054019265249998</v>
      </c>
      <c r="U160" s="40">
        <f>E160*M160*O160*(Q160-R160-S160)/100000000</f>
        <v>45.848091257544965</v>
      </c>
      <c r="V160" s="40">
        <f>E160*G160*(1-N160)*O160/100*(R160+S160)/1000000</f>
        <v>4.5412274525239367</v>
      </c>
      <c r="W160" s="40">
        <f>+'30'!K8/1000</f>
        <v>45.555</v>
      </c>
      <c r="X160" s="504">
        <f>SUM(W160:W163)/SUM(K160:K163)</f>
        <v>0.84291867269039633</v>
      </c>
      <c r="Y160" s="214">
        <v>0</v>
      </c>
      <c r="Z160" s="40">
        <v>0</v>
      </c>
      <c r="AA160" s="52">
        <f>SUM(U160:U163)-SUM(W160:W163)-SUM(Z160:Z163)-SUM(Y160:Y163)</f>
        <v>0.29309125754496534</v>
      </c>
      <c r="AB160" s="52">
        <f>(SUM(K160:K163)-SUM(W160:W163)-SUM(Y160:Y163)-SUM(Z160:Z163)-SUM(AC160:AC163)-SUM(V160:V163))-AA160</f>
        <v>-0.3352994448189035</v>
      </c>
      <c r="AC160" s="40">
        <f>K160-T160</f>
        <v>3.9903405003241232</v>
      </c>
      <c r="AD160" s="40">
        <f>+AM160+BA160</f>
        <v>0</v>
      </c>
      <c r="AE160" s="233" t="s">
        <v>391</v>
      </c>
      <c r="AF160" s="40">
        <v>0</v>
      </c>
      <c r="AG160" s="40"/>
      <c r="AH160" s="40"/>
      <c r="AI160" s="505"/>
      <c r="AJ160" s="40"/>
      <c r="AK160" s="40"/>
      <c r="AL160" s="40"/>
      <c r="AM160" s="40">
        <f>SUM(AF160:AL160)+AT160</f>
        <v>0</v>
      </c>
      <c r="AN160" s="40"/>
      <c r="AO160" s="40"/>
      <c r="AP160" s="40"/>
      <c r="AQ160" s="40"/>
      <c r="AR160" s="40">
        <f>SUM(AN160:AQ160)</f>
        <v>0</v>
      </c>
      <c r="AS160" s="40"/>
      <c r="AT160" s="40"/>
      <c r="AU160" s="40"/>
      <c r="AV160" s="40"/>
      <c r="AW160" s="40"/>
      <c r="AX160" s="40"/>
      <c r="AY160" s="40"/>
      <c r="AZ160" s="40"/>
      <c r="BA160" s="40">
        <f>+AR160+AS160+AU160+AV160+AX160</f>
        <v>0</v>
      </c>
      <c r="BB160" s="36">
        <v>0</v>
      </c>
      <c r="BC160" s="54"/>
      <c r="BD160" s="54"/>
      <c r="BE160" s="36"/>
      <c r="BF160" s="54"/>
    </row>
    <row r="161" spans="1:97" ht="12.95" customHeight="1">
      <c r="A161" s="43"/>
      <c r="B161" s="44"/>
      <c r="C161" s="447"/>
      <c r="D161" s="44"/>
      <c r="E161" s="45"/>
      <c r="F161" s="45"/>
      <c r="G161" s="48"/>
      <c r="H161" s="47"/>
      <c r="I161" s="48"/>
      <c r="J161" s="85"/>
      <c r="K161" s="85"/>
      <c r="L161" s="603"/>
      <c r="M161" s="603"/>
      <c r="N161" s="49"/>
      <c r="O161" s="50"/>
      <c r="P161" s="51"/>
      <c r="Q161" s="50"/>
      <c r="R161" s="503"/>
      <c r="S161" s="503"/>
      <c r="T161" s="40"/>
      <c r="U161" s="40"/>
      <c r="V161" s="40"/>
      <c r="W161" s="40"/>
      <c r="X161" s="41"/>
      <c r="Y161" s="214"/>
      <c r="Z161" s="40"/>
      <c r="AA161" s="40"/>
      <c r="AB161" s="40"/>
      <c r="AC161" s="40"/>
      <c r="AD161" s="40">
        <f t="shared" ref="AD161:AD164" si="273">+AM161+BA161</f>
        <v>23</v>
      </c>
      <c r="AE161" s="233" t="s">
        <v>760</v>
      </c>
      <c r="AF161" s="40"/>
      <c r="AG161" s="40">
        <v>23</v>
      </c>
      <c r="AH161" s="40"/>
      <c r="AI161" s="505"/>
      <c r="AJ161" s="40"/>
      <c r="AK161" s="40"/>
      <c r="AL161" s="40"/>
      <c r="AM161" s="40">
        <f t="shared" ref="AM161:AM164" si="274">SUM(AF161:AL161)+AT161</f>
        <v>23</v>
      </c>
      <c r="AN161" s="86"/>
      <c r="AO161" s="40"/>
      <c r="AP161" s="40"/>
      <c r="AQ161" s="40"/>
      <c r="AR161" s="40">
        <f t="shared" ref="AR161:AR164" si="275">SUM(AN161:AQ161)</f>
        <v>0</v>
      </c>
      <c r="AS161" s="40"/>
      <c r="AT161" s="40"/>
      <c r="AU161" s="40"/>
      <c r="AV161" s="40"/>
      <c r="AW161" s="40"/>
      <c r="AX161" s="40"/>
      <c r="AY161" s="40"/>
      <c r="AZ161" s="40"/>
      <c r="BA161" s="40">
        <f t="shared" ref="BA161:BA163" si="276">+AR161+AS161+AU161+AV161+AX161</f>
        <v>0</v>
      </c>
      <c r="BB161" s="53"/>
      <c r="BC161" s="54">
        <v>17</v>
      </c>
      <c r="BD161" s="54"/>
      <c r="BE161" s="53"/>
      <c r="BF161" s="54"/>
    </row>
    <row r="162" spans="1:97" ht="12.95" customHeight="1">
      <c r="A162" s="43"/>
      <c r="B162" s="44"/>
      <c r="C162" s="447"/>
      <c r="D162" s="44"/>
      <c r="E162" s="45"/>
      <c r="F162" s="45"/>
      <c r="G162" s="502"/>
      <c r="H162" s="47"/>
      <c r="I162" s="48"/>
      <c r="J162" s="85"/>
      <c r="K162" s="85"/>
      <c r="L162" s="603"/>
      <c r="M162" s="603"/>
      <c r="N162" s="49"/>
      <c r="O162" s="50"/>
      <c r="P162" s="51"/>
      <c r="Q162" s="50"/>
      <c r="R162" s="503"/>
      <c r="S162" s="503"/>
      <c r="T162" s="40"/>
      <c r="U162" s="40"/>
      <c r="V162" s="40"/>
      <c r="W162" s="40"/>
      <c r="X162" s="41"/>
      <c r="Y162" s="214"/>
      <c r="Z162" s="40"/>
      <c r="AA162" s="40"/>
      <c r="AB162" s="40"/>
      <c r="AC162" s="40"/>
      <c r="AD162" s="40">
        <f t="shared" si="273"/>
        <v>33</v>
      </c>
      <c r="AE162" s="233" t="s">
        <v>761</v>
      </c>
      <c r="AF162" s="36"/>
      <c r="AG162" s="36"/>
      <c r="AH162" s="36">
        <v>33</v>
      </c>
      <c r="AJ162" s="40"/>
      <c r="AK162" s="40"/>
      <c r="AL162" s="40"/>
      <c r="AM162" s="40">
        <f t="shared" si="274"/>
        <v>33</v>
      </c>
      <c r="AN162" s="40"/>
      <c r="AO162" s="40"/>
      <c r="AP162" s="40"/>
      <c r="AQ162" s="40"/>
      <c r="AR162" s="40">
        <f t="shared" si="275"/>
        <v>0</v>
      </c>
      <c r="AS162" s="40"/>
      <c r="AT162" s="40"/>
      <c r="AU162" s="40"/>
      <c r="AV162" s="40"/>
      <c r="AW162" s="40"/>
      <c r="AX162" s="40"/>
      <c r="AY162" s="40"/>
      <c r="AZ162" s="40"/>
      <c r="BA162" s="40">
        <f t="shared" si="276"/>
        <v>0</v>
      </c>
      <c r="BB162" s="36"/>
      <c r="BC162" s="506"/>
      <c r="BD162" s="506"/>
      <c r="BE162" s="36"/>
      <c r="BF162" s="506"/>
    </row>
    <row r="163" spans="1:97" ht="12.95" customHeight="1">
      <c r="A163" s="43"/>
      <c r="B163" s="44"/>
      <c r="C163" s="447"/>
      <c r="D163" s="44"/>
      <c r="E163" s="45"/>
      <c r="F163" s="45"/>
      <c r="G163" s="46"/>
      <c r="H163" s="47"/>
      <c r="I163" s="48"/>
      <c r="J163" s="85"/>
      <c r="K163" s="85"/>
      <c r="L163" s="603"/>
      <c r="M163" s="603"/>
      <c r="N163" s="49"/>
      <c r="O163" s="50"/>
      <c r="P163" s="51"/>
      <c r="Q163" s="37"/>
      <c r="R163" s="503"/>
      <c r="S163" s="503"/>
      <c r="T163" s="40"/>
      <c r="U163" s="40"/>
      <c r="V163" s="40"/>
      <c r="W163" s="40"/>
      <c r="X163" s="41"/>
      <c r="Y163" s="214"/>
      <c r="Z163" s="40"/>
      <c r="AA163" s="40"/>
      <c r="AB163" s="40"/>
      <c r="AC163" s="40"/>
      <c r="AD163" s="40">
        <f t="shared" si="273"/>
        <v>18</v>
      </c>
      <c r="AE163" s="236" t="s">
        <v>228</v>
      </c>
      <c r="AF163" s="40"/>
      <c r="AG163" s="40"/>
      <c r="AH163" s="40"/>
      <c r="AI163" s="505">
        <v>18</v>
      </c>
      <c r="AJ163" s="40"/>
      <c r="AK163" s="40"/>
      <c r="AL163" s="40"/>
      <c r="AM163" s="40">
        <f t="shared" si="274"/>
        <v>18</v>
      </c>
      <c r="AN163" s="40"/>
      <c r="AO163" s="40"/>
      <c r="AP163" s="40"/>
      <c r="AQ163" s="40"/>
      <c r="AR163" s="40">
        <f t="shared" si="275"/>
        <v>0</v>
      </c>
      <c r="AS163" s="40"/>
      <c r="AT163" s="40"/>
      <c r="AU163" s="40"/>
      <c r="AV163" s="40"/>
      <c r="AW163" s="40"/>
      <c r="AX163" s="40"/>
      <c r="AY163" s="40"/>
      <c r="AZ163" s="40"/>
      <c r="BA163" s="40">
        <f t="shared" si="276"/>
        <v>0</v>
      </c>
      <c r="BB163" s="53"/>
      <c r="BC163" s="54"/>
      <c r="BD163" s="54"/>
      <c r="BE163" s="53"/>
      <c r="BF163" s="54"/>
    </row>
    <row r="164" spans="1:97" ht="12.95" customHeight="1">
      <c r="A164" s="43"/>
      <c r="B164" s="562"/>
      <c r="C164" s="447"/>
      <c r="D164" s="44"/>
      <c r="E164" s="45"/>
      <c r="F164" s="45"/>
      <c r="G164" s="46"/>
      <c r="H164" s="47"/>
      <c r="I164" s="48"/>
      <c r="J164" s="85"/>
      <c r="K164" s="85"/>
      <c r="L164" s="38"/>
      <c r="M164" s="38"/>
      <c r="N164" s="49"/>
      <c r="O164" s="50"/>
      <c r="P164" s="51"/>
      <c r="Q164" s="37"/>
      <c r="R164" s="503"/>
      <c r="S164" s="503"/>
      <c r="T164" s="40"/>
      <c r="U164" s="40"/>
      <c r="V164" s="40"/>
      <c r="W164" s="40"/>
      <c r="X164" s="41"/>
      <c r="Y164" s="41"/>
      <c r="Z164" s="40"/>
      <c r="AA164" s="52"/>
      <c r="AB164" s="52"/>
      <c r="AC164" s="40"/>
      <c r="AD164" s="40">
        <f t="shared" si="273"/>
        <v>47</v>
      </c>
      <c r="AE164" s="236" t="s">
        <v>759</v>
      </c>
      <c r="AF164" s="40"/>
      <c r="AG164" s="40"/>
      <c r="AH164" s="40"/>
      <c r="AI164" s="40"/>
      <c r="AJ164" s="40"/>
      <c r="AK164" s="40">
        <v>47</v>
      </c>
      <c r="AL164" s="40"/>
      <c r="AM164" s="40">
        <f t="shared" si="274"/>
        <v>47</v>
      </c>
      <c r="AN164" s="40"/>
      <c r="AO164" s="40"/>
      <c r="AP164" s="40"/>
      <c r="AQ164" s="40"/>
      <c r="AR164" s="40">
        <f t="shared" si="275"/>
        <v>0</v>
      </c>
      <c r="AS164" s="40"/>
      <c r="AT164" s="40"/>
      <c r="AU164" s="40"/>
      <c r="AV164" s="40"/>
      <c r="AW164" s="40"/>
      <c r="AX164" s="40"/>
      <c r="AY164" s="40"/>
      <c r="AZ164" s="40"/>
      <c r="BA164" s="40"/>
      <c r="BB164" s="36"/>
      <c r="BC164" s="54"/>
      <c r="BD164" s="506"/>
      <c r="BE164" s="36"/>
      <c r="BF164" s="506"/>
    </row>
    <row r="165" spans="1:97" ht="12.95" customHeight="1">
      <c r="A165" s="43"/>
      <c r="B165" s="560"/>
      <c r="C165" s="447"/>
      <c r="D165" s="44"/>
      <c r="E165" s="45"/>
      <c r="F165" s="45"/>
      <c r="G165" s="46"/>
      <c r="H165" s="47"/>
      <c r="I165" s="48"/>
      <c r="J165" s="85"/>
      <c r="K165" s="85"/>
      <c r="L165" s="38"/>
      <c r="M165" s="38"/>
      <c r="N165" s="49"/>
      <c r="O165" s="50"/>
      <c r="P165" s="51"/>
      <c r="Q165" s="37"/>
      <c r="R165" s="503"/>
      <c r="S165" s="503"/>
      <c r="T165" s="40"/>
      <c r="U165" s="40"/>
      <c r="V165" s="40"/>
      <c r="W165" s="40"/>
      <c r="X165" s="41"/>
      <c r="Y165" s="41"/>
      <c r="Z165" s="40"/>
      <c r="AA165" s="52"/>
      <c r="AB165" s="52"/>
      <c r="AC165" s="40"/>
      <c r="AD165" s="40"/>
      <c r="AE165" s="233"/>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36"/>
      <c r="BC165" s="54"/>
      <c r="BD165" s="506"/>
      <c r="BE165" s="36"/>
      <c r="BF165" s="506"/>
    </row>
    <row r="166" spans="1:97" ht="12.75" customHeight="1">
      <c r="A166" s="43">
        <v>46112</v>
      </c>
      <c r="B166" s="44" t="s">
        <v>423</v>
      </c>
      <c r="C166" s="447">
        <f>(M166*E166*O166*Q166)/100000000</f>
        <v>22.242803583000001</v>
      </c>
      <c r="D166" s="44" t="s">
        <v>425</v>
      </c>
      <c r="E166" s="45">
        <v>15.5</v>
      </c>
      <c r="F166" s="45">
        <v>1</v>
      </c>
      <c r="G166" s="598">
        <v>1150</v>
      </c>
      <c r="H166" s="47">
        <f>+N166</f>
        <v>0.21999999999999997</v>
      </c>
      <c r="I166" s="48">
        <v>0.88</v>
      </c>
      <c r="J166" s="85">
        <f>E166*G166*(1-H166)*1440/1000000*2.75</f>
        <v>55.057859999999998</v>
      </c>
      <c r="K166" s="85">
        <f t="shared" ref="K166" si="277">(IF(G166&lt;L166,L166,G166)*(1-IF(H166&lt;N166,H166,N166))*E166*O166*Q166)/100000000</f>
        <v>23.044008487500001</v>
      </c>
      <c r="L166" s="603">
        <v>1110.0162601626016</v>
      </c>
      <c r="M166" s="603">
        <v>865.81268292682932</v>
      </c>
      <c r="N166" s="49">
        <f>1-(M166/L166)</f>
        <v>0.21999999999999997</v>
      </c>
      <c r="O166" s="50">
        <f>+'Trim Rwd'!H93</f>
        <v>269.5</v>
      </c>
      <c r="P166" s="51">
        <f>O166*(Q166-R166-S166)</f>
        <v>151998</v>
      </c>
      <c r="Q166" s="50">
        <v>615</v>
      </c>
      <c r="R166" s="503">
        <v>0</v>
      </c>
      <c r="S166" s="503">
        <v>51</v>
      </c>
      <c r="T166" s="40">
        <f>E166*M166*O166*Q166/100000000</f>
        <v>22.242803583000001</v>
      </c>
      <c r="U166" s="40">
        <f>E166*M166*O166*(Q166-R166-S166)/100000000</f>
        <v>20.398278407824389</v>
      </c>
      <c r="V166" s="40">
        <f>E166*G166*(1-N166)*O166/100*(R166+S166)/1000000</f>
        <v>1.9109665575000001</v>
      </c>
      <c r="W166" s="40">
        <f>+'31'!K8/1000</f>
        <v>24.526</v>
      </c>
      <c r="X166" s="504">
        <f>SUM(W166:W169)/SUM(K166:K169)</f>
        <v>0.59600481596337884</v>
      </c>
      <c r="Y166" s="214">
        <f>+SUM(RBP!AG3:AG4)</f>
        <v>4.96</v>
      </c>
      <c r="Z166" s="40">
        <v>0</v>
      </c>
      <c r="AA166" s="52">
        <f>SUM(U166:U169)-SUM(W166:W169)-SUM(Z166:Z169)-SUM(Y166:Y169)</f>
        <v>-2.7447950972880824</v>
      </c>
      <c r="AB166" s="52">
        <f>(SUM(K166:K169)-SUM(W166:W169)-SUM(Y166:Y169)-SUM(Z166:Z169)-SUM(AC166:AC169)-SUM(V166:V169))-AA166</f>
        <v>0.94408898516538553</v>
      </c>
      <c r="AC166" s="40">
        <f>K166-T166</f>
        <v>0.80120490450000048</v>
      </c>
      <c r="AD166" s="40">
        <f>+AM166+BA166</f>
        <v>0</v>
      </c>
      <c r="AE166" s="233" t="s">
        <v>391</v>
      </c>
      <c r="AF166" s="40">
        <v>0</v>
      </c>
      <c r="AG166" s="40"/>
      <c r="AH166" s="40"/>
      <c r="AI166" s="505"/>
      <c r="AJ166" s="40"/>
      <c r="AK166" s="40"/>
      <c r="AL166" s="40"/>
      <c r="AM166" s="40">
        <f>SUM(AF166:AL166)+AT166</f>
        <v>0</v>
      </c>
      <c r="AN166" s="40"/>
      <c r="AO166" s="40"/>
      <c r="AP166" s="40"/>
      <c r="AQ166" s="40"/>
      <c r="AR166" s="40">
        <f>SUM(AN166:AQ166)</f>
        <v>0</v>
      </c>
      <c r="AS166" s="40"/>
      <c r="AT166" s="40"/>
      <c r="AU166" s="40"/>
      <c r="AV166" s="40"/>
      <c r="AW166" s="40"/>
      <c r="AX166" s="40"/>
      <c r="AY166" s="40"/>
      <c r="AZ166" s="40"/>
      <c r="BA166" s="40">
        <f>+AR166+AS166+AU166+AV166+AX166</f>
        <v>0</v>
      </c>
      <c r="BB166" s="36">
        <v>0</v>
      </c>
      <c r="BC166" s="54"/>
      <c r="BD166" s="54"/>
      <c r="BE166" s="36"/>
      <c r="BF166" s="54"/>
    </row>
    <row r="167" spans="1:97" ht="12.95" customHeight="1">
      <c r="A167" s="43"/>
      <c r="B167" s="44" t="s">
        <v>423</v>
      </c>
      <c r="C167" s="447">
        <f>(M167*E167*O167*Q167)/100000000</f>
        <v>33.45553496932515</v>
      </c>
      <c r="D167" s="44" t="s">
        <v>425</v>
      </c>
      <c r="E167" s="45">
        <v>16</v>
      </c>
      <c r="F167" s="45">
        <v>1</v>
      </c>
      <c r="G167" s="598">
        <v>1025</v>
      </c>
      <c r="H167" s="47">
        <f>+N167</f>
        <v>0.151417812088119</v>
      </c>
      <c r="I167" s="48">
        <v>0.88</v>
      </c>
      <c r="J167" s="85">
        <f>E167*G167*(1-H167)*1440/1000000*2.75</f>
        <v>55.1103216117492</v>
      </c>
      <c r="K167" s="85">
        <f t="shared" ref="K167" si="278">(IF(G167&lt;L167,L167,G167)*(1-IF(H167&lt;N167,H167,N167))*E167*O167*Q167)/100000000</f>
        <v>33.45553496932515</v>
      </c>
      <c r="L167" s="603">
        <v>1086.0940695296524</v>
      </c>
      <c r="M167" s="603">
        <v>921.64008179959103</v>
      </c>
      <c r="N167" s="49">
        <f>1-(M167/L167)</f>
        <v>0.151417812088119</v>
      </c>
      <c r="O167" s="50">
        <f>+'Trim Rwd'!H94</f>
        <v>275</v>
      </c>
      <c r="P167" s="51">
        <f>O167*(Q167-R167-S167)</f>
        <v>105050</v>
      </c>
      <c r="Q167" s="50">
        <f>489+336</f>
        <v>825</v>
      </c>
      <c r="R167" s="503">
        <v>336</v>
      </c>
      <c r="S167" s="503">
        <v>107</v>
      </c>
      <c r="T167" s="40">
        <f>E167*M167*O167*Q167/100000000</f>
        <v>33.45553496932515</v>
      </c>
      <c r="U167" s="40">
        <f>E167*M167*O167*(Q167-R167-S167)/100000000</f>
        <v>15.490926494887526</v>
      </c>
      <c r="V167" s="40">
        <f>E167*G167*(1-N167)*O167/100*(R167+S167)/1000000</f>
        <v>16.954078106947847</v>
      </c>
      <c r="W167" s="40">
        <f>+'31'!K12/1000</f>
        <v>9.1479999999999997</v>
      </c>
      <c r="X167" s="41"/>
      <c r="Y167" s="214"/>
      <c r="Z167" s="40"/>
      <c r="AA167" s="40"/>
      <c r="AB167" s="40"/>
      <c r="AC167" s="40">
        <f>K167-T167</f>
        <v>0</v>
      </c>
      <c r="AD167" s="40">
        <f t="shared" ref="AD167:AD169" si="279">+AM167+BA167</f>
        <v>17</v>
      </c>
      <c r="AE167" s="233" t="s">
        <v>510</v>
      </c>
      <c r="AF167" s="40"/>
      <c r="AG167" s="40">
        <v>17</v>
      </c>
      <c r="AH167" s="40"/>
      <c r="AI167" s="505"/>
      <c r="AJ167" s="40"/>
      <c r="AK167" s="40"/>
      <c r="AL167" s="40"/>
      <c r="AM167" s="40">
        <f t="shared" ref="AM167:AM169" si="280">SUM(AF167:AL167)+AT167</f>
        <v>17</v>
      </c>
      <c r="AN167" s="86"/>
      <c r="AO167" s="40"/>
      <c r="AP167" s="40"/>
      <c r="AQ167" s="40"/>
      <c r="AR167" s="40">
        <f t="shared" ref="AR167:AR169" si="281">SUM(AN167:AQ167)</f>
        <v>0</v>
      </c>
      <c r="AS167" s="40"/>
      <c r="AT167" s="40"/>
      <c r="AU167" s="40"/>
      <c r="AV167" s="40"/>
      <c r="AW167" s="40"/>
      <c r="AX167" s="40"/>
      <c r="AY167" s="40"/>
      <c r="AZ167" s="40"/>
      <c r="BA167" s="40">
        <f t="shared" ref="BA167:BA169" si="282">+AR167+AS167+AU167+AV167+AX167</f>
        <v>0</v>
      </c>
      <c r="BB167" s="53"/>
      <c r="BC167" s="54">
        <v>9</v>
      </c>
      <c r="BD167" s="54"/>
      <c r="BE167" s="53"/>
      <c r="BF167" s="54"/>
    </row>
    <row r="168" spans="1:97" ht="12.95" customHeight="1">
      <c r="A168" s="43"/>
      <c r="B168" s="44"/>
      <c r="C168" s="447"/>
      <c r="D168" s="44"/>
      <c r="E168" s="45"/>
      <c r="F168" s="45"/>
      <c r="G168" s="502"/>
      <c r="H168" s="47"/>
      <c r="I168" s="48"/>
      <c r="J168" s="85"/>
      <c r="K168" s="85"/>
      <c r="L168" s="603"/>
      <c r="M168" s="603"/>
      <c r="N168" s="49"/>
      <c r="O168" s="50"/>
      <c r="P168" s="51"/>
      <c r="Q168" s="50"/>
      <c r="R168" s="503"/>
      <c r="S168" s="503"/>
      <c r="T168" s="40"/>
      <c r="U168" s="40"/>
      <c r="V168" s="40"/>
      <c r="W168" s="40"/>
      <c r="X168" s="41"/>
      <c r="Y168" s="214"/>
      <c r="Z168" s="40"/>
      <c r="AA168" s="40"/>
      <c r="AB168" s="40"/>
      <c r="AC168" s="40"/>
      <c r="AD168" s="40">
        <f t="shared" si="279"/>
        <v>26</v>
      </c>
      <c r="AE168" s="233" t="s">
        <v>774</v>
      </c>
      <c r="AF168" s="36"/>
      <c r="AG168" s="36"/>
      <c r="AH168" s="36">
        <v>26</v>
      </c>
      <c r="AJ168" s="40"/>
      <c r="AK168" s="40"/>
      <c r="AL168" s="40"/>
      <c r="AM168" s="40">
        <f t="shared" si="280"/>
        <v>26</v>
      </c>
      <c r="AN168" s="40"/>
      <c r="AO168" s="40"/>
      <c r="AP168" s="40"/>
      <c r="AQ168" s="40"/>
      <c r="AR168" s="40">
        <f t="shared" si="281"/>
        <v>0</v>
      </c>
      <c r="AS168" s="40"/>
      <c r="AT168" s="40"/>
      <c r="AU168" s="40"/>
      <c r="AV168" s="40"/>
      <c r="AW168" s="40"/>
      <c r="AX168" s="40"/>
      <c r="AY168" s="40"/>
      <c r="AZ168" s="40"/>
      <c r="BA168" s="40">
        <f t="shared" si="282"/>
        <v>0</v>
      </c>
      <c r="BB168" s="36"/>
      <c r="BC168" s="506"/>
      <c r="BD168" s="506"/>
      <c r="BE168" s="36"/>
      <c r="BF168" s="506"/>
    </row>
    <row r="169" spans="1:97" ht="12.95" customHeight="1">
      <c r="A169" s="43"/>
      <c r="B169" s="44"/>
      <c r="C169" s="447"/>
      <c r="D169" s="44"/>
      <c r="E169" s="45"/>
      <c r="F169" s="45"/>
      <c r="G169" s="46"/>
      <c r="H169" s="47"/>
      <c r="I169" s="48"/>
      <c r="J169" s="85"/>
      <c r="K169" s="85"/>
      <c r="L169" s="603"/>
      <c r="M169" s="603"/>
      <c r="N169" s="49"/>
      <c r="O169" s="50"/>
      <c r="P169" s="51"/>
      <c r="Q169" s="37"/>
      <c r="R169" s="503"/>
      <c r="S169" s="503"/>
      <c r="T169" s="40"/>
      <c r="U169" s="40"/>
      <c r="V169" s="40"/>
      <c r="W169" s="40"/>
      <c r="X169" s="41"/>
      <c r="Y169" s="214"/>
      <c r="Z169" s="40"/>
      <c r="AA169" s="40"/>
      <c r="AB169" s="40"/>
      <c r="AC169" s="40"/>
      <c r="AD169" s="40">
        <f t="shared" si="279"/>
        <v>8</v>
      </c>
      <c r="AE169" s="236" t="s">
        <v>228</v>
      </c>
      <c r="AF169" s="40"/>
      <c r="AG169" s="40"/>
      <c r="AH169" s="40"/>
      <c r="AI169" s="505">
        <v>8</v>
      </c>
      <c r="AJ169" s="40"/>
      <c r="AK169" s="40"/>
      <c r="AL169" s="40"/>
      <c r="AM169" s="40">
        <f t="shared" si="280"/>
        <v>8</v>
      </c>
      <c r="AN169" s="40"/>
      <c r="AO169" s="40"/>
      <c r="AP169" s="40"/>
      <c r="AQ169" s="40"/>
      <c r="AR169" s="40">
        <f t="shared" si="281"/>
        <v>0</v>
      </c>
      <c r="AS169" s="40"/>
      <c r="AT169" s="40"/>
      <c r="AU169" s="40"/>
      <c r="AV169" s="40"/>
      <c r="AW169" s="40"/>
      <c r="AX169" s="40"/>
      <c r="AY169" s="40"/>
      <c r="AZ169" s="40"/>
      <c r="BA169" s="40">
        <f t="shared" si="282"/>
        <v>0</v>
      </c>
      <c r="BB169" s="53"/>
      <c r="BC169" s="54"/>
      <c r="BD169" s="54"/>
      <c r="BE169" s="53"/>
      <c r="BF169" s="54"/>
    </row>
    <row r="170" spans="1:97" ht="12.95" customHeight="1">
      <c r="A170" s="43"/>
      <c r="B170" s="44"/>
      <c r="C170" s="447"/>
      <c r="D170" s="44"/>
      <c r="E170" s="45"/>
      <c r="F170" s="45"/>
      <c r="G170" s="46"/>
      <c r="H170" s="47"/>
      <c r="I170" s="48"/>
      <c r="J170" s="85"/>
      <c r="K170" s="85"/>
      <c r="L170" s="603"/>
      <c r="M170" s="603"/>
      <c r="N170" s="49"/>
      <c r="O170" s="50"/>
      <c r="P170" s="51"/>
      <c r="Q170" s="37"/>
      <c r="R170" s="503"/>
      <c r="S170" s="503"/>
      <c r="T170" s="40"/>
      <c r="U170" s="40"/>
      <c r="V170" s="40"/>
      <c r="W170" s="40"/>
      <c r="X170" s="41"/>
      <c r="Y170" s="214"/>
      <c r="Z170" s="40"/>
      <c r="AA170" s="40"/>
      <c r="AB170" s="40"/>
      <c r="AC170" s="40"/>
      <c r="AD170" s="40">
        <f t="shared" ref="AD170:AD171" si="283">+AM170+BA170</f>
        <v>107</v>
      </c>
      <c r="AE170" s="236" t="s">
        <v>785</v>
      </c>
      <c r="AF170" s="40"/>
      <c r="AG170" s="40"/>
      <c r="AH170" s="40"/>
      <c r="AI170" s="505"/>
      <c r="AJ170" s="40"/>
      <c r="AK170" s="40">
        <f>51+56</f>
        <v>107</v>
      </c>
      <c r="AL170" s="40"/>
      <c r="AM170" s="40">
        <f t="shared" ref="AM170:AM171" si="284">SUM(AF170:AL170)+AT170</f>
        <v>107</v>
      </c>
      <c r="AN170" s="40"/>
      <c r="AO170" s="40"/>
      <c r="AP170" s="40"/>
      <c r="AQ170" s="40"/>
      <c r="AR170" s="40">
        <f t="shared" ref="AR170:AR171" si="285">SUM(AN170:AQ170)</f>
        <v>0</v>
      </c>
      <c r="AS170" s="40"/>
      <c r="AT170" s="40"/>
      <c r="AU170" s="40"/>
      <c r="AV170" s="40"/>
      <c r="AW170" s="40"/>
      <c r="AX170" s="40"/>
      <c r="AY170" s="40"/>
      <c r="AZ170" s="40"/>
      <c r="BA170" s="40">
        <f t="shared" ref="BA170:BA171" si="286">+AR170+AS170+AU170+AV170+AX170</f>
        <v>0</v>
      </c>
      <c r="BB170" s="53"/>
      <c r="BC170" s="54"/>
      <c r="BD170" s="54"/>
      <c r="BE170" s="53"/>
      <c r="BF170" s="54"/>
    </row>
    <row r="171" spans="1:97" ht="12.95" customHeight="1">
      <c r="A171" s="43"/>
      <c r="B171" s="44"/>
      <c r="C171" s="447"/>
      <c r="D171" s="44"/>
      <c r="E171" s="45"/>
      <c r="F171" s="45"/>
      <c r="G171" s="46"/>
      <c r="H171" s="47"/>
      <c r="I171" s="48"/>
      <c r="J171" s="85"/>
      <c r="K171" s="85"/>
      <c r="L171" s="603"/>
      <c r="M171" s="603"/>
      <c r="N171" s="49"/>
      <c r="O171" s="50"/>
      <c r="P171" s="51"/>
      <c r="Q171" s="37"/>
      <c r="R171" s="503"/>
      <c r="S171" s="503"/>
      <c r="T171" s="40"/>
      <c r="U171" s="40"/>
      <c r="V171" s="40"/>
      <c r="W171" s="40"/>
      <c r="X171" s="41"/>
      <c r="Y171" s="214"/>
      <c r="Z171" s="40"/>
      <c r="AA171" s="40"/>
      <c r="AB171" s="40"/>
      <c r="AC171" s="40"/>
      <c r="AD171" s="40">
        <f t="shared" si="283"/>
        <v>336</v>
      </c>
      <c r="AE171" s="236" t="s">
        <v>775</v>
      </c>
      <c r="AF171" s="40"/>
      <c r="AG171" s="40"/>
      <c r="AH171" s="40"/>
      <c r="AI171" s="505"/>
      <c r="AJ171" s="40"/>
      <c r="AK171" s="40"/>
      <c r="AL171" s="40"/>
      <c r="AM171" s="40">
        <f t="shared" si="284"/>
        <v>0</v>
      </c>
      <c r="AN171" s="40"/>
      <c r="AO171" s="40"/>
      <c r="AP171" s="40">
        <v>336</v>
      </c>
      <c r="AQ171" s="40"/>
      <c r="AR171" s="40">
        <f t="shared" si="285"/>
        <v>336</v>
      </c>
      <c r="AS171" s="40"/>
      <c r="AT171" s="40"/>
      <c r="AU171" s="40"/>
      <c r="AV171" s="40"/>
      <c r="AW171" s="40"/>
      <c r="AX171" s="40"/>
      <c r="AY171" s="40"/>
      <c r="AZ171" s="40"/>
      <c r="BA171" s="40">
        <f t="shared" si="286"/>
        <v>336</v>
      </c>
      <c r="BB171" s="53"/>
      <c r="BC171" s="54"/>
      <c r="BD171" s="54"/>
      <c r="BE171" s="53"/>
      <c r="BF171" s="54"/>
    </row>
    <row r="172" spans="1:97">
      <c r="R172" s="507"/>
      <c r="S172" s="507"/>
      <c r="AA172" s="251">
        <f>U172-W172-Z172</f>
        <v>0</v>
      </c>
      <c r="AB172" s="251"/>
      <c r="AC172" s="252">
        <f>K172-T172</f>
        <v>0</v>
      </c>
      <c r="AD172" s="40"/>
      <c r="AF172" s="55"/>
      <c r="AG172" s="55"/>
      <c r="AH172" s="55"/>
      <c r="AI172" s="55"/>
      <c r="AJ172" s="55"/>
      <c r="AK172" s="55"/>
      <c r="AL172" s="55"/>
      <c r="AM172" s="40"/>
      <c r="AN172" s="55"/>
      <c r="AO172" s="55"/>
      <c r="AP172" s="55"/>
      <c r="AQ172" s="55"/>
      <c r="AR172" s="40"/>
      <c r="AS172" s="55"/>
      <c r="AT172" s="55"/>
      <c r="AU172" s="55"/>
      <c r="AV172" s="55"/>
      <c r="AW172" s="55"/>
      <c r="AX172" s="55"/>
      <c r="AY172" s="55"/>
      <c r="AZ172" s="55"/>
      <c r="BA172" s="40"/>
      <c r="BB172" s="36"/>
      <c r="BC172" s="54"/>
      <c r="BD172" s="506"/>
      <c r="BE172" s="36"/>
      <c r="BF172" s="506"/>
    </row>
    <row r="173" spans="1:97">
      <c r="A173" s="59"/>
      <c r="B173" s="60"/>
      <c r="C173" s="449">
        <f>SUM(C6:C171)</f>
        <v>1553.6058974064758</v>
      </c>
      <c r="D173" s="60"/>
      <c r="E173" s="61"/>
      <c r="F173" s="61"/>
      <c r="G173" s="62"/>
      <c r="H173" s="62"/>
      <c r="I173" s="63">
        <v>0.85</v>
      </c>
      <c r="J173" s="85"/>
      <c r="K173" s="87">
        <f>SUM(K6:K171)</f>
        <v>1633.376271332623</v>
      </c>
      <c r="L173" s="65"/>
      <c r="M173" s="65"/>
      <c r="N173" s="66"/>
      <c r="O173" s="67">
        <f>P173/(Q173-R173-S173)</f>
        <v>265.27951190318788</v>
      </c>
      <c r="P173" s="64">
        <f>SUM(P6:P171)</f>
        <v>10827383.278328612</v>
      </c>
      <c r="Q173" s="378">
        <f>SUM(Q6:Q172)</f>
        <v>44640</v>
      </c>
      <c r="R173" s="64">
        <f t="shared" ref="R173:W173" si="287">SUM(R6:R171)</f>
        <v>2039</v>
      </c>
      <c r="S173" s="64">
        <f t="shared" si="287"/>
        <v>1786</v>
      </c>
      <c r="T173" s="64">
        <f t="shared" si="287"/>
        <v>1553.6058974064758</v>
      </c>
      <c r="U173" s="64">
        <f t="shared" si="287"/>
        <v>1422.6705165164947</v>
      </c>
      <c r="V173" s="402">
        <f t="shared" si="287"/>
        <v>141.55790618897547</v>
      </c>
      <c r="W173" s="452">
        <f t="shared" si="287"/>
        <v>1421.2870000000003</v>
      </c>
      <c r="X173" s="508">
        <f>W173/K173</f>
        <v>0.87015283921102549</v>
      </c>
      <c r="Y173" s="403">
        <f>SUM(Y6:Y171)</f>
        <v>4.96</v>
      </c>
      <c r="Z173" s="452">
        <f>SUM(Z6:Z171)</f>
        <v>2.8839999999999995</v>
      </c>
      <c r="AA173" s="64">
        <f>SUM(AA6:AA171)</f>
        <v>-6.4604834835050386</v>
      </c>
      <c r="AB173" s="64">
        <f>SUM(AB6:AB171)</f>
        <v>-10.622525298994788</v>
      </c>
      <c r="AC173" s="64">
        <f>SUM(AC6:AC171)</f>
        <v>79.770373926147357</v>
      </c>
      <c r="AD173" s="40">
        <f>SUM(AD6:AD172)</f>
        <v>3825</v>
      </c>
      <c r="AE173" s="68"/>
      <c r="AF173" s="64">
        <f t="shared" ref="AF173:BF173" si="288">SUM(AF6:AF172)</f>
        <v>67</v>
      </c>
      <c r="AG173" s="64">
        <f t="shared" si="288"/>
        <v>431</v>
      </c>
      <c r="AH173" s="64">
        <f t="shared" si="288"/>
        <v>743</v>
      </c>
      <c r="AI173" s="64">
        <f t="shared" si="288"/>
        <v>311</v>
      </c>
      <c r="AJ173" s="64">
        <f t="shared" si="288"/>
        <v>15</v>
      </c>
      <c r="AK173" s="64">
        <f t="shared" si="288"/>
        <v>219</v>
      </c>
      <c r="AL173" s="64">
        <f t="shared" si="288"/>
        <v>0</v>
      </c>
      <c r="AM173" s="64">
        <f t="shared" si="288"/>
        <v>1786</v>
      </c>
      <c r="AN173" s="55">
        <f t="shared" si="288"/>
        <v>659</v>
      </c>
      <c r="AO173" s="55">
        <f t="shared" si="288"/>
        <v>120</v>
      </c>
      <c r="AP173" s="55">
        <f t="shared" si="288"/>
        <v>336</v>
      </c>
      <c r="AQ173" s="55">
        <f t="shared" si="288"/>
        <v>0</v>
      </c>
      <c r="AR173" s="64">
        <f t="shared" si="288"/>
        <v>1115</v>
      </c>
      <c r="AS173" s="64">
        <f t="shared" si="288"/>
        <v>0</v>
      </c>
      <c r="AT173" s="64">
        <f t="shared" si="288"/>
        <v>0</v>
      </c>
      <c r="AU173" s="64">
        <f t="shared" si="288"/>
        <v>0</v>
      </c>
      <c r="AV173" s="64">
        <f t="shared" si="288"/>
        <v>0</v>
      </c>
      <c r="AW173" s="64">
        <f t="shared" si="288"/>
        <v>924</v>
      </c>
      <c r="AX173" s="64">
        <f t="shared" si="288"/>
        <v>0</v>
      </c>
      <c r="AY173" s="64">
        <f t="shared" si="288"/>
        <v>0</v>
      </c>
      <c r="AZ173" s="64">
        <f t="shared" si="288"/>
        <v>0</v>
      </c>
      <c r="BA173" s="64">
        <f t="shared" si="288"/>
        <v>2039</v>
      </c>
      <c r="BB173" s="55">
        <f t="shared" si="288"/>
        <v>26</v>
      </c>
      <c r="BC173" s="55">
        <f t="shared" si="288"/>
        <v>300</v>
      </c>
      <c r="BD173" s="55">
        <f t="shared" si="288"/>
        <v>2</v>
      </c>
      <c r="BE173" s="55">
        <f t="shared" si="288"/>
        <v>0</v>
      </c>
      <c r="BF173" s="55">
        <f t="shared" si="288"/>
        <v>9</v>
      </c>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row>
    <row r="174" spans="1:97">
      <c r="A174" s="59"/>
      <c r="B174" s="60"/>
      <c r="C174" s="60"/>
      <c r="D174" s="60"/>
      <c r="E174" s="61"/>
      <c r="F174" s="61"/>
      <c r="G174" s="62"/>
      <c r="H174" s="62"/>
      <c r="I174" s="62"/>
      <c r="J174" s="88"/>
      <c r="K174" s="88"/>
      <c r="L174" s="65"/>
      <c r="M174" s="65"/>
      <c r="N174" s="66"/>
      <c r="O174" s="701"/>
      <c r="P174" s="702"/>
      <c r="Q174" s="62">
        <f>31*1440-Q173</f>
        <v>0</v>
      </c>
      <c r="R174" s="69">
        <f>R173/Q173</f>
        <v>4.5676523297491042E-2</v>
      </c>
      <c r="S174" s="69">
        <f>S173/Q173</f>
        <v>4.00089605734767E-2</v>
      </c>
      <c r="T174" s="389"/>
      <c r="U174" s="389"/>
      <c r="V174" s="391">
        <f>V173/K173</f>
        <v>8.6665827509225773E-2</v>
      </c>
      <c r="W174" s="407" t="s">
        <v>181</v>
      </c>
      <c r="X174" s="509">
        <v>0.85</v>
      </c>
      <c r="Y174" s="404">
        <f>Y173/K173</f>
        <v>3.0366548645605609E-3</v>
      </c>
      <c r="Z174" s="70">
        <f>Z173/K173</f>
        <v>1.7656678688291645E-3</v>
      </c>
      <c r="AA174" s="70">
        <f>AA173/K173</f>
        <v>-3.9552940720965187E-3</v>
      </c>
      <c r="AB174" s="70">
        <f>AB173/K173</f>
        <v>-6.5034159522399486E-3</v>
      </c>
      <c r="AC174" s="510">
        <f>AC173/K173</f>
        <v>4.8837720570695624E-2</v>
      </c>
      <c r="AD174" s="392"/>
      <c r="AE174" s="42"/>
      <c r="AF174" s="70">
        <f>AF173/$AD$173*$V$174</f>
        <v>1.5180680897040853E-3</v>
      </c>
      <c r="AG174" s="70">
        <f>AG173/$AD$173*$V$174</f>
        <v>9.7654827860068783E-3</v>
      </c>
      <c r="AH174" s="70">
        <f>AH173/$AD$173*$V$174</f>
        <v>1.6834695382837842E-2</v>
      </c>
      <c r="AI174" s="70">
        <f>AI173/$AD$173*$V$174</f>
        <v>7.0465548641488141E-3</v>
      </c>
      <c r="AJ174" s="70">
        <f t="shared" ref="AJ174:BA174" si="289">AJ173/$AD$173*$V$174</f>
        <v>3.3986599023225791E-4</v>
      </c>
      <c r="AK174" s="70">
        <f t="shared" si="289"/>
        <v>4.9620434573909664E-3</v>
      </c>
      <c r="AL174" s="70">
        <f t="shared" si="289"/>
        <v>0</v>
      </c>
      <c r="AM174" s="70">
        <f t="shared" si="289"/>
        <v>4.0466710570320842E-2</v>
      </c>
      <c r="AN174" s="70">
        <f t="shared" si="289"/>
        <v>1.4931445837537199E-2</v>
      </c>
      <c r="AO174" s="70">
        <f t="shared" si="289"/>
        <v>2.7189279218580633E-3</v>
      </c>
      <c r="AP174" s="70">
        <f t="shared" si="289"/>
        <v>7.6129981812025783E-3</v>
      </c>
      <c r="AQ174" s="70">
        <f t="shared" si="289"/>
        <v>0</v>
      </c>
      <c r="AR174" s="70">
        <f t="shared" si="289"/>
        <v>2.5263371940597842E-2</v>
      </c>
      <c r="AS174" s="70">
        <f t="shared" si="289"/>
        <v>0</v>
      </c>
      <c r="AT174" s="70">
        <f t="shared" si="289"/>
        <v>0</v>
      </c>
      <c r="AU174" s="70">
        <f t="shared" si="289"/>
        <v>0</v>
      </c>
      <c r="AV174" s="70">
        <f>AV173/$AD$173*$V$174</f>
        <v>0</v>
      </c>
      <c r="AW174" s="70">
        <f t="shared" ref="AW174:AZ174" si="290">AW173/$AD$173*$V$174</f>
        <v>2.0935744998307089E-2</v>
      </c>
      <c r="AX174" s="70">
        <f t="shared" si="290"/>
        <v>0</v>
      </c>
      <c r="AY174" s="70">
        <f t="shared" si="290"/>
        <v>0</v>
      </c>
      <c r="AZ174" s="70">
        <f t="shared" si="290"/>
        <v>0</v>
      </c>
      <c r="BA174" s="70">
        <f t="shared" si="289"/>
        <v>4.6199116938904924E-2</v>
      </c>
      <c r="BB174" s="37" t="s">
        <v>180</v>
      </c>
      <c r="BC174" s="37" t="s">
        <v>180</v>
      </c>
      <c r="BD174" s="37" t="s">
        <v>375</v>
      </c>
      <c r="BE174" s="37" t="s">
        <v>375</v>
      </c>
      <c r="BF174" s="37" t="s">
        <v>375</v>
      </c>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row>
    <row r="175" spans="1:97">
      <c r="A175" s="59"/>
      <c r="B175" s="60"/>
      <c r="C175" s="60"/>
      <c r="D175" s="60"/>
      <c r="E175" s="61"/>
      <c r="F175" s="61"/>
      <c r="G175" s="37"/>
      <c r="H175" s="37"/>
      <c r="I175" s="37"/>
      <c r="J175" s="85"/>
      <c r="K175" s="85"/>
      <c r="L175" s="38"/>
      <c r="M175" s="38"/>
      <c r="N175" s="36"/>
      <c r="O175" s="39"/>
      <c r="P175" s="31"/>
      <c r="Q175" s="37"/>
      <c r="R175" s="40">
        <f>R173-(BA173)</f>
        <v>0</v>
      </c>
      <c r="S175" s="40">
        <f>+S173-AM173</f>
        <v>0</v>
      </c>
      <c r="T175" s="36"/>
      <c r="U175" s="36"/>
      <c r="V175" s="36"/>
      <c r="W175" s="405">
        <f>+W173-'31'!M34/1000</f>
        <v>0</v>
      </c>
      <c r="X175" s="406"/>
      <c r="Y175" s="71">
        <f>+Y173-(SUM(RBP!AG3:AG4))</f>
        <v>0</v>
      </c>
      <c r="Z175" s="40">
        <f>+Z173-'31'!J56/1000</f>
        <v>0</v>
      </c>
      <c r="AA175" s="36"/>
      <c r="AB175" s="36"/>
      <c r="AC175" s="36"/>
      <c r="AD175" s="36"/>
      <c r="AE175" s="42"/>
      <c r="AF175" s="379"/>
      <c r="AG175" s="379"/>
      <c r="AH175" s="379"/>
      <c r="AI175" s="379"/>
      <c r="AJ175" s="80"/>
      <c r="AK175" s="80"/>
      <c r="AL175" s="80"/>
      <c r="AM175" s="80"/>
      <c r="AN175" s="80"/>
      <c r="AO175" s="80"/>
      <c r="AP175" s="80"/>
      <c r="AQ175" s="80"/>
      <c r="AR175" s="80"/>
      <c r="AS175" s="80"/>
      <c r="AT175" s="80"/>
      <c r="AU175" s="80"/>
      <c r="AV175" s="80"/>
      <c r="AW175" s="80"/>
      <c r="AX175" s="80"/>
      <c r="AY175" s="80"/>
      <c r="AZ175" s="80"/>
      <c r="BA175" s="80"/>
      <c r="BB175" s="511">
        <f>BB173/($Q$173/1440)/2</f>
        <v>0.41935483870967744</v>
      </c>
      <c r="BC175" s="511">
        <f>BC173/($Q$173/1440)/2</f>
        <v>4.838709677419355</v>
      </c>
      <c r="BD175" s="511">
        <f>BD173/($Q$173/1440)</f>
        <v>6.4516129032258063E-2</v>
      </c>
      <c r="BE175" s="511">
        <f t="shared" ref="BE175:BF175" si="291">BE173/($Q$173/1440)</f>
        <v>0</v>
      </c>
      <c r="BF175" s="511">
        <f t="shared" si="291"/>
        <v>0.29032258064516131</v>
      </c>
    </row>
    <row r="176" spans="1:97">
      <c r="A176" s="72"/>
      <c r="B176" s="73"/>
      <c r="C176" s="73"/>
      <c r="D176" s="73"/>
      <c r="E176" s="74"/>
      <c r="F176" s="74"/>
      <c r="G176" s="75"/>
      <c r="H176" s="75"/>
      <c r="I176" s="75"/>
      <c r="J176" s="89"/>
      <c r="K176" s="89"/>
      <c r="O176" s="76"/>
      <c r="P176" s="77"/>
      <c r="Q176" s="75"/>
      <c r="R176" s="56"/>
      <c r="S176" s="56"/>
      <c r="U176" s="78"/>
      <c r="V176" s="78"/>
      <c r="W176" s="79" t="s">
        <v>133</v>
      </c>
      <c r="X176" s="512">
        <f>W173/U173</f>
        <v>0.99902752148130403</v>
      </c>
      <c r="Y176" s="512"/>
      <c r="Z176" s="563"/>
      <c r="AD176" s="86"/>
      <c r="AE176" s="81"/>
      <c r="AF176" s="82"/>
      <c r="AG176" s="82"/>
      <c r="AH176" s="82"/>
      <c r="AI176" s="82"/>
      <c r="AJ176" s="82"/>
      <c r="AK176" s="82"/>
      <c r="AL176" s="82"/>
      <c r="AM176" s="82"/>
      <c r="AN176" s="80"/>
      <c r="AO176" s="80"/>
      <c r="AP176" s="80"/>
      <c r="AQ176" s="80"/>
      <c r="AR176" s="80"/>
      <c r="AS176" s="82"/>
      <c r="AT176" s="82"/>
      <c r="AU176" s="82"/>
      <c r="AV176" s="82"/>
      <c r="AW176" s="82"/>
      <c r="AX176" s="82"/>
      <c r="AY176" s="82"/>
      <c r="AZ176" s="82"/>
      <c r="BA176" s="80"/>
      <c r="BB176" s="30"/>
      <c r="BC176" s="80"/>
      <c r="BD176" s="80"/>
      <c r="BE176" s="30"/>
      <c r="BF176" s="80"/>
    </row>
    <row r="177" spans="1:58">
      <c r="A177" s="72"/>
      <c r="B177" s="73"/>
      <c r="C177" s="73"/>
      <c r="D177" s="73"/>
      <c r="E177" s="74"/>
      <c r="F177" s="74"/>
      <c r="G177" s="75"/>
      <c r="H177" s="75"/>
      <c r="I177" s="75"/>
      <c r="J177" s="89"/>
      <c r="K177" s="89"/>
      <c r="O177" s="76"/>
      <c r="P177" s="77"/>
      <c r="Q177" s="75"/>
      <c r="R177" s="56"/>
      <c r="S177" s="56"/>
      <c r="U177" s="78"/>
      <c r="V177" s="78"/>
      <c r="W177" s="79"/>
      <c r="X177" s="80"/>
      <c r="Y177" s="80"/>
      <c r="Z177" s="56">
        <f>+W173-'31'!M34/1000</f>
        <v>0</v>
      </c>
      <c r="AA177" s="92"/>
      <c r="AB177" s="92"/>
      <c r="AD177" s="86"/>
      <c r="AE177" s="81"/>
      <c r="AF177" s="82"/>
      <c r="AG177" s="82"/>
      <c r="AH177" s="82"/>
      <c r="AI177" s="82"/>
      <c r="AJ177" s="82"/>
      <c r="AK177" s="82"/>
      <c r="AL177" s="82"/>
      <c r="AM177" s="82"/>
      <c r="AN177" s="82"/>
      <c r="AO177" s="80"/>
      <c r="AP177" s="80"/>
      <c r="AQ177" s="80"/>
      <c r="AR177" s="82"/>
      <c r="AS177" s="80"/>
      <c r="AT177" s="80"/>
      <c r="AU177" s="80"/>
      <c r="AV177" s="80"/>
      <c r="AW177" s="80"/>
      <c r="AX177" s="80"/>
      <c r="AY177" s="80"/>
      <c r="AZ177" s="80"/>
      <c r="BA177" s="80"/>
      <c r="BB177" s="30"/>
      <c r="BC177" s="80"/>
      <c r="BD177" s="80"/>
      <c r="BE177" s="30"/>
      <c r="BF177" s="80"/>
    </row>
    <row r="178" spans="1:58">
      <c r="A178" s="72"/>
      <c r="B178" s="73"/>
      <c r="C178" s="73"/>
      <c r="D178" s="73"/>
      <c r="E178" s="74"/>
      <c r="F178" s="74"/>
      <c r="G178" s="75"/>
      <c r="H178" s="75"/>
      <c r="I178" s="75"/>
      <c r="J178" s="89"/>
      <c r="K178" s="89"/>
      <c r="O178" s="76"/>
      <c r="P178" s="77"/>
      <c r="Q178" s="75"/>
      <c r="R178" s="390"/>
      <c r="S178" s="56"/>
      <c r="U178" s="78"/>
      <c r="V178" s="78"/>
      <c r="W178" s="79" t="s">
        <v>156</v>
      </c>
      <c r="X178" s="379">
        <f>+W173+Y173</f>
        <v>1426.2470000000003</v>
      </c>
      <c r="Y178" s="80"/>
      <c r="Z178" s="56"/>
      <c r="AD178" s="86"/>
      <c r="AE178" s="81"/>
      <c r="AF178" s="86"/>
      <c r="AG178" s="86"/>
      <c r="AH178" s="86"/>
      <c r="AI178" s="86"/>
      <c r="AJ178" s="80"/>
      <c r="AK178" s="80"/>
      <c r="AL178" s="80"/>
      <c r="AM178" s="82"/>
      <c r="AN178" s="80"/>
      <c r="AO178" s="80"/>
      <c r="AP178" s="80"/>
      <c r="AQ178" s="80"/>
      <c r="AR178" s="82"/>
      <c r="AS178" s="80"/>
      <c r="AT178" s="80"/>
      <c r="AU178" s="80"/>
      <c r="AV178" s="80"/>
      <c r="AW178" s="80"/>
      <c r="AX178" s="80"/>
      <c r="AY178" s="80"/>
      <c r="AZ178" s="80"/>
      <c r="BA178" s="80"/>
      <c r="BB178" s="30"/>
      <c r="BC178" s="80"/>
      <c r="BD178" s="80"/>
      <c r="BE178" s="30"/>
      <c r="BF178" s="80"/>
    </row>
    <row r="179" spans="1:58">
      <c r="A179" s="72"/>
      <c r="C179" s="73" t="s">
        <v>295</v>
      </c>
      <c r="D179" s="73"/>
      <c r="E179" s="74"/>
      <c r="F179" s="74"/>
      <c r="G179" s="75"/>
      <c r="H179" s="75"/>
      <c r="I179" s="75"/>
      <c r="J179" s="89"/>
      <c r="K179" s="89"/>
      <c r="O179" s="76"/>
      <c r="P179" s="77"/>
      <c r="Q179" s="75"/>
      <c r="R179" s="390"/>
      <c r="S179" s="56"/>
      <c r="U179" s="78"/>
      <c r="V179" s="400"/>
      <c r="W179" s="401"/>
      <c r="X179" s="395"/>
      <c r="Y179" s="401"/>
      <c r="Z179" s="395"/>
      <c r="AD179" s="388"/>
      <c r="AE179" s="81"/>
      <c r="AF179" s="388"/>
      <c r="AG179" s="388"/>
      <c r="AH179" s="388"/>
      <c r="AI179" s="388"/>
      <c r="AJ179" s="80"/>
      <c r="AK179" s="80"/>
      <c r="AL179" s="80"/>
      <c r="AM179" s="80"/>
      <c r="AN179" s="80"/>
      <c r="AO179" s="80"/>
      <c r="AP179" s="80"/>
      <c r="AQ179" s="80"/>
      <c r="AR179" s="80"/>
      <c r="AS179" s="80"/>
      <c r="AT179" s="80"/>
      <c r="AU179" s="80"/>
      <c r="AV179" s="80"/>
      <c r="AW179" s="80"/>
      <c r="AX179" s="80"/>
      <c r="AY179" s="80"/>
      <c r="AZ179" s="80"/>
      <c r="BA179" s="80"/>
      <c r="BB179" s="30"/>
      <c r="BC179" s="80"/>
      <c r="BD179" s="80"/>
      <c r="BE179" s="30"/>
      <c r="BF179" s="80"/>
    </row>
    <row r="180" spans="1:58">
      <c r="A180" s="72"/>
      <c r="B180" s="73"/>
      <c r="C180" s="73" t="s">
        <v>296</v>
      </c>
      <c r="D180" s="73"/>
      <c r="E180" s="74"/>
      <c r="F180" s="74"/>
      <c r="G180" s="75"/>
      <c r="H180" s="75"/>
      <c r="I180" s="75"/>
      <c r="J180" s="89"/>
      <c r="K180" s="89"/>
      <c r="O180" s="76"/>
      <c r="P180" s="77"/>
      <c r="Q180" s="75"/>
      <c r="R180" s="390"/>
      <c r="S180" s="56"/>
      <c r="V180" s="393"/>
      <c r="W180" s="394" t="s">
        <v>386</v>
      </c>
      <c r="X180" s="393"/>
      <c r="Y180" s="393"/>
      <c r="Z180" s="395"/>
      <c r="AE180" s="81"/>
      <c r="AF180" s="56"/>
      <c r="AG180" s="56"/>
      <c r="AH180" s="56"/>
      <c r="AI180" s="56"/>
      <c r="AJ180" s="56"/>
      <c r="AK180" s="56"/>
      <c r="AL180" s="56"/>
      <c r="AM180" s="56"/>
      <c r="AN180" s="56"/>
      <c r="AO180" s="56"/>
      <c r="AP180" s="56"/>
      <c r="AQ180" s="56"/>
      <c r="AS180" s="56"/>
      <c r="AT180" s="56"/>
      <c r="AU180" s="56"/>
      <c r="AV180" s="56"/>
      <c r="AW180" s="56"/>
      <c r="AX180" s="56"/>
      <c r="AY180" s="56"/>
      <c r="AZ180" s="56"/>
      <c r="BA180" s="56"/>
      <c r="BB180" s="30"/>
      <c r="BE180" s="30"/>
    </row>
    <row r="181" spans="1:58">
      <c r="A181" s="72"/>
      <c r="B181" s="73"/>
      <c r="C181" s="73"/>
      <c r="D181" s="73"/>
      <c r="E181" s="74"/>
      <c r="F181" s="74"/>
      <c r="G181" s="75"/>
      <c r="H181" s="75"/>
      <c r="I181" s="75"/>
      <c r="J181" s="89"/>
      <c r="K181" s="89"/>
      <c r="O181" s="76"/>
      <c r="P181" s="77"/>
      <c r="Q181" s="75"/>
      <c r="R181" s="390"/>
      <c r="S181" s="56"/>
      <c r="V181" s="393"/>
      <c r="W181" s="396" t="s">
        <v>291</v>
      </c>
      <c r="X181" s="513">
        <f>Y174</f>
        <v>3.0366548645605609E-3</v>
      </c>
      <c r="Y181" s="397"/>
      <c r="Z181" s="395"/>
      <c r="AE181" s="81"/>
      <c r="AF181" s="56"/>
      <c r="AG181" s="56"/>
      <c r="AH181" s="56"/>
      <c r="AI181" s="56"/>
      <c r="AJ181" s="56"/>
      <c r="AK181" s="56"/>
      <c r="AL181" s="56"/>
      <c r="AM181" s="56"/>
      <c r="AN181" s="56"/>
      <c r="AO181" s="56"/>
      <c r="AP181" s="56"/>
      <c r="AQ181" s="56"/>
      <c r="AS181" s="56"/>
      <c r="AT181" s="56"/>
      <c r="AU181" s="56"/>
      <c r="AV181" s="56"/>
      <c r="AW181" s="56"/>
      <c r="AX181" s="56"/>
      <c r="AY181" s="56"/>
      <c r="AZ181" s="56"/>
      <c r="BA181" s="56"/>
      <c r="BB181" s="30"/>
      <c r="BE181" s="30"/>
    </row>
    <row r="182" spans="1:58">
      <c r="R182" s="92"/>
      <c r="V182" s="393"/>
      <c r="W182" s="396" t="s">
        <v>160</v>
      </c>
      <c r="X182" s="399">
        <f>Z174</f>
        <v>1.7656678688291645E-3</v>
      </c>
      <c r="Y182" s="398"/>
      <c r="Z182" s="393"/>
    </row>
    <row r="183" spans="1:58">
      <c r="R183" s="92"/>
      <c r="V183" s="393"/>
      <c r="W183" s="396" t="s">
        <v>161</v>
      </c>
      <c r="X183" s="399">
        <f>AC174</f>
        <v>4.8837720570695624E-2</v>
      </c>
      <c r="Y183" s="399"/>
      <c r="Z183" s="393"/>
    </row>
    <row r="184" spans="1:58" ht="15" customHeight="1">
      <c r="R184" s="92"/>
      <c r="V184" s="393"/>
      <c r="W184" s="396" t="s">
        <v>162</v>
      </c>
      <c r="X184" s="399">
        <f>AA174</f>
        <v>-3.9552940720965187E-3</v>
      </c>
      <c r="Y184" s="398"/>
      <c r="Z184" s="393"/>
    </row>
    <row r="185" spans="1:58">
      <c r="V185" s="393"/>
      <c r="W185" s="396" t="s">
        <v>178</v>
      </c>
      <c r="X185" s="399">
        <f>AB174</f>
        <v>-6.5034159522399486E-3</v>
      </c>
      <c r="Y185" s="398" t="s">
        <v>176</v>
      </c>
      <c r="Z185" s="393"/>
    </row>
    <row r="186" spans="1:58">
      <c r="V186" s="393"/>
      <c r="W186" s="396" t="s">
        <v>203</v>
      </c>
      <c r="X186" s="399">
        <f>AF174</f>
        <v>1.5180680897040853E-3</v>
      </c>
      <c r="Y186" s="398"/>
      <c r="Z186" s="393"/>
    </row>
    <row r="187" spans="1:58">
      <c r="V187" s="393"/>
      <c r="W187" s="396" t="s">
        <v>204</v>
      </c>
      <c r="X187" s="399">
        <f>+AG174</f>
        <v>9.7654827860068783E-3</v>
      </c>
      <c r="Y187" s="398"/>
      <c r="Z187" s="393"/>
    </row>
    <row r="188" spans="1:58">
      <c r="V188" s="393"/>
      <c r="W188" s="396" t="s">
        <v>297</v>
      </c>
      <c r="X188" s="399">
        <f>+AH174</f>
        <v>1.6834695382837842E-2</v>
      </c>
      <c r="Y188" s="398"/>
      <c r="Z188" s="393"/>
    </row>
    <row r="189" spans="1:58">
      <c r="V189" s="393"/>
      <c r="W189" s="396" t="s">
        <v>229</v>
      </c>
      <c r="X189" s="399">
        <f>+AI174</f>
        <v>7.0465548641488141E-3</v>
      </c>
      <c r="Y189" s="398"/>
      <c r="Z189" s="393"/>
    </row>
    <row r="190" spans="1:58">
      <c r="V190" s="393"/>
      <c r="W190" s="396" t="s">
        <v>169</v>
      </c>
      <c r="X190" s="399">
        <f>+AJ174</f>
        <v>3.3986599023225791E-4</v>
      </c>
      <c r="Y190" s="398"/>
      <c r="Z190" s="393"/>
    </row>
    <row r="191" spans="1:58">
      <c r="V191" s="393"/>
      <c r="W191" s="396" t="s">
        <v>171</v>
      </c>
      <c r="X191" s="399">
        <f>+AK174</f>
        <v>4.9620434573909664E-3</v>
      </c>
      <c r="Y191" s="398"/>
      <c r="Z191" s="393"/>
    </row>
    <row r="192" spans="1:58">
      <c r="V192" s="393"/>
      <c r="W192" s="396" t="s">
        <v>170</v>
      </c>
      <c r="X192" s="399">
        <f>+AL174</f>
        <v>0</v>
      </c>
      <c r="Y192" s="398"/>
      <c r="Z192" s="393"/>
    </row>
    <row r="193" spans="22:26">
      <c r="V193" s="393"/>
      <c r="W193" s="396" t="s">
        <v>163</v>
      </c>
      <c r="X193" s="399">
        <f>+AN174</f>
        <v>1.4931445837537199E-2</v>
      </c>
      <c r="Y193" s="398"/>
      <c r="Z193" s="393"/>
    </row>
    <row r="194" spans="22:26">
      <c r="V194" s="393"/>
      <c r="W194" s="396" t="s">
        <v>173</v>
      </c>
      <c r="X194" s="399">
        <f>+AO174</f>
        <v>2.7189279218580633E-3</v>
      </c>
      <c r="Y194" s="398"/>
      <c r="Z194" s="393"/>
    </row>
    <row r="195" spans="22:26">
      <c r="V195" s="393"/>
      <c r="W195" s="396" t="s">
        <v>164</v>
      </c>
      <c r="X195" s="399">
        <f>+AP174</f>
        <v>7.6129981812025783E-3</v>
      </c>
      <c r="Y195" s="398"/>
      <c r="Z195" s="393"/>
    </row>
    <row r="196" spans="22:26">
      <c r="V196" s="393"/>
      <c r="W196" s="396" t="s">
        <v>172</v>
      </c>
      <c r="X196" s="399">
        <f>+AQ174</f>
        <v>0</v>
      </c>
      <c r="Y196" s="398"/>
      <c r="Z196" s="393"/>
    </row>
    <row r="197" spans="22:26">
      <c r="V197" s="393"/>
      <c r="W197" s="396" t="s">
        <v>175</v>
      </c>
      <c r="X197" s="399">
        <f>+AS174</f>
        <v>0</v>
      </c>
      <c r="Y197" s="398"/>
      <c r="Z197" s="393"/>
    </row>
    <row r="198" spans="22:26">
      <c r="V198" s="393"/>
      <c r="W198" s="396" t="s">
        <v>298</v>
      </c>
      <c r="X198" s="399">
        <f>+AT174</f>
        <v>0</v>
      </c>
      <c r="Y198" s="398"/>
      <c r="Z198" s="393"/>
    </row>
    <row r="199" spans="22:26">
      <c r="V199" s="393"/>
      <c r="W199" s="396" t="s">
        <v>241</v>
      </c>
      <c r="X199" s="399">
        <f>+AU174</f>
        <v>0</v>
      </c>
      <c r="Y199" s="398"/>
      <c r="Z199" s="393"/>
    </row>
    <row r="200" spans="22:26">
      <c r="V200" s="393"/>
      <c r="W200" s="396" t="s">
        <v>301</v>
      </c>
      <c r="X200" s="399">
        <f>+AW174</f>
        <v>2.0935744998307089E-2</v>
      </c>
      <c r="Y200" s="398"/>
      <c r="Z200" s="393"/>
    </row>
    <row r="201" spans="22:26">
      <c r="V201" s="393"/>
      <c r="W201" s="396" t="s">
        <v>302</v>
      </c>
      <c r="X201" s="399">
        <f>+AV174</f>
        <v>0</v>
      </c>
      <c r="Y201" s="398"/>
      <c r="Z201" s="393"/>
    </row>
    <row r="202" spans="22:26">
      <c r="V202" s="393"/>
      <c r="W202" s="393" t="s">
        <v>174</v>
      </c>
      <c r="X202" s="399">
        <f>+AX174+AY174</f>
        <v>0</v>
      </c>
      <c r="Y202" s="399"/>
      <c r="Z202" s="393"/>
    </row>
    <row r="203" spans="22:26">
      <c r="V203" s="393"/>
      <c r="W203" s="393" t="s">
        <v>300</v>
      </c>
      <c r="X203" s="399">
        <f>+AZ175</f>
        <v>0</v>
      </c>
      <c r="Y203" s="393"/>
      <c r="Z203" s="393"/>
    </row>
    <row r="204" spans="22:26">
      <c r="V204" s="393"/>
      <c r="W204" s="393"/>
      <c r="X204" s="521">
        <f>SUM(X181:X203)</f>
        <v>0.12984716078897465</v>
      </c>
      <c r="Y204" s="393"/>
      <c r="Z204" s="393"/>
    </row>
    <row r="206" spans="22:26">
      <c r="X206" s="92">
        <f>+X204+X173</f>
        <v>1.0000000000000002</v>
      </c>
    </row>
  </sheetData>
  <mergeCells count="50">
    <mergeCell ref="O174:P174"/>
    <mergeCell ref="T3:T5"/>
    <mergeCell ref="P3:P5"/>
    <mergeCell ref="G3:K4"/>
    <mergeCell ref="L3:N4"/>
    <mergeCell ref="O3:O5"/>
    <mergeCell ref="Q3:Q5"/>
    <mergeCell ref="R3:R5"/>
    <mergeCell ref="S3:S5"/>
    <mergeCell ref="AF3:AL3"/>
    <mergeCell ref="AJ4:AJ5"/>
    <mergeCell ref="A3:A5"/>
    <mergeCell ref="B3:B5"/>
    <mergeCell ref="D3:D5"/>
    <mergeCell ref="E3:E5"/>
    <mergeCell ref="F3:F5"/>
    <mergeCell ref="C3:C5"/>
    <mergeCell ref="V3:V5"/>
    <mergeCell ref="AX3:AY3"/>
    <mergeCell ref="AZ3:AZ5"/>
    <mergeCell ref="AK4:AK5"/>
    <mergeCell ref="AL4:AL5"/>
    <mergeCell ref="U3:U5"/>
    <mergeCell ref="W3:W5"/>
    <mergeCell ref="X3:X5"/>
    <mergeCell ref="Z3:Z5"/>
    <mergeCell ref="Y3:Y5"/>
    <mergeCell ref="AA3:AA5"/>
    <mergeCell ref="AB3:AB5"/>
    <mergeCell ref="AF4:AH4"/>
    <mergeCell ref="AI4:AI5"/>
    <mergeCell ref="AC3:AC5"/>
    <mergeCell ref="AE3:AE5"/>
    <mergeCell ref="AD3:AD5"/>
    <mergeCell ref="BD3:BD5"/>
    <mergeCell ref="BE3:BE5"/>
    <mergeCell ref="BF3:BF5"/>
    <mergeCell ref="AM3:AM5"/>
    <mergeCell ref="BA3:BA5"/>
    <mergeCell ref="AQ4:AQ5"/>
    <mergeCell ref="AT3:AU4"/>
    <mergeCell ref="BB3:BB5"/>
    <mergeCell ref="BC3:BC5"/>
    <mergeCell ref="AN4:AN5"/>
    <mergeCell ref="AO4:AO5"/>
    <mergeCell ref="AP4:AP5"/>
    <mergeCell ref="AR4:AR5"/>
    <mergeCell ref="AN3:AR3"/>
    <mergeCell ref="AS3:AS5"/>
    <mergeCell ref="AV3:AW3"/>
  </mergeCells>
  <phoneticPr fontId="31" type="noConversion"/>
  <conditionalFormatting sqref="B129:C129 B139:C139 C174 B144:C144 C172 B172:B174">
    <cfRule type="cellIs" dxfId="2097" priority="3779" stopIfTrue="1" operator="equal">
      <formula>"Towel"</formula>
    </cfRule>
    <cfRule type="cellIs" dxfId="2096" priority="3780" stopIfTrue="1" operator="equal">
      <formula>"Napkin Hs"</formula>
    </cfRule>
  </conditionalFormatting>
  <conditionalFormatting sqref="C11">
    <cfRule type="cellIs" dxfId="2095" priority="3291" stopIfTrue="1" operator="equal">
      <formula>"Towel"</formula>
    </cfRule>
    <cfRule type="cellIs" dxfId="2094" priority="3292" stopIfTrue="1" operator="equal">
      <formula>"Napkin Hs"</formula>
    </cfRule>
  </conditionalFormatting>
  <conditionalFormatting sqref="B49:C49">
    <cfRule type="cellIs" dxfId="2093" priority="3659" stopIfTrue="1" operator="equal">
      <formula>"Towel"</formula>
    </cfRule>
    <cfRule type="cellIs" dxfId="2092" priority="3660" stopIfTrue="1" operator="equal">
      <formula>"Napkin Hs"</formula>
    </cfRule>
  </conditionalFormatting>
  <conditionalFormatting sqref="B54:C54">
    <cfRule type="cellIs" dxfId="2091" priority="3653" stopIfTrue="1" operator="equal">
      <formula>"Towel"</formula>
    </cfRule>
    <cfRule type="cellIs" dxfId="2090" priority="3654" stopIfTrue="1" operator="equal">
      <formula>"Napkin Hs"</formula>
    </cfRule>
  </conditionalFormatting>
  <conditionalFormatting sqref="B69:C69">
    <cfRule type="cellIs" dxfId="2089" priority="3591" stopIfTrue="1" operator="equal">
      <formula>"Towel"</formula>
    </cfRule>
    <cfRule type="cellIs" dxfId="2088" priority="3592" stopIfTrue="1" operator="equal">
      <formula>"Napkin Hs"</formula>
    </cfRule>
  </conditionalFormatting>
  <conditionalFormatting sqref="C11">
    <cfRule type="cellIs" dxfId="2087" priority="3297" stopIfTrue="1" operator="equal">
      <formula>"Towel"</formula>
    </cfRule>
    <cfRule type="cellIs" dxfId="2086" priority="3298" stopIfTrue="1" operator="equal">
      <formula>"Napkin Hs"</formula>
    </cfRule>
  </conditionalFormatting>
  <conditionalFormatting sqref="B124:C124">
    <cfRule type="cellIs" dxfId="2085" priority="3349" stopIfTrue="1" operator="equal">
      <formula>"Towel"</formula>
    </cfRule>
    <cfRule type="cellIs" dxfId="2084" priority="3350" stopIfTrue="1" operator="equal">
      <formula>"Napkin Hs"</formula>
    </cfRule>
  </conditionalFormatting>
  <conditionalFormatting sqref="B11">
    <cfRule type="cellIs" dxfId="2083" priority="3251" stopIfTrue="1" operator="equal">
      <formula>"Towel"</formula>
    </cfRule>
    <cfRule type="cellIs" dxfId="2082" priority="3252" stopIfTrue="1" operator="equal">
      <formula>"Napkin Hs"</formula>
    </cfRule>
  </conditionalFormatting>
  <conditionalFormatting sqref="C129 C139 C144">
    <cfRule type="cellIs" dxfId="2081" priority="3778" stopIfTrue="1" operator="equal">
      <formula>"Napkin Hs"</formula>
    </cfRule>
  </conditionalFormatting>
  <conditionalFormatting sqref="C11">
    <cfRule type="cellIs" dxfId="2080" priority="3295" stopIfTrue="1" operator="equal">
      <formula>"Towel"</formula>
    </cfRule>
    <cfRule type="cellIs" dxfId="2079" priority="3296" stopIfTrue="1" operator="equal">
      <formula>"Napkin Hs"</formula>
    </cfRule>
  </conditionalFormatting>
  <conditionalFormatting sqref="C129 C139 C144">
    <cfRule type="cellIs" dxfId="2078" priority="3777" stopIfTrue="1" operator="equal">
      <formula>"Towel"</formula>
    </cfRule>
  </conditionalFormatting>
  <conditionalFormatting sqref="C49">
    <cfRule type="cellIs" dxfId="2077" priority="3655" stopIfTrue="1" operator="equal">
      <formula>"Towel"</formula>
    </cfRule>
    <cfRule type="cellIs" dxfId="2076" priority="3656" stopIfTrue="1" operator="equal">
      <formula>"Napkin Hs"</formula>
    </cfRule>
  </conditionalFormatting>
  <conditionalFormatting sqref="C49">
    <cfRule type="cellIs" dxfId="2075" priority="3657" stopIfTrue="1" operator="equal">
      <formula>"Towel"</formula>
    </cfRule>
    <cfRule type="cellIs" dxfId="2074" priority="3658" stopIfTrue="1" operator="equal">
      <formula>"Napkin Hs"</formula>
    </cfRule>
  </conditionalFormatting>
  <conditionalFormatting sqref="C54">
    <cfRule type="cellIs" dxfId="2073" priority="3651" stopIfTrue="1" operator="equal">
      <formula>"Towel"</formula>
    </cfRule>
    <cfRule type="cellIs" dxfId="2072" priority="3652" stopIfTrue="1" operator="equal">
      <formula>"Napkin Hs"</formula>
    </cfRule>
  </conditionalFormatting>
  <conditionalFormatting sqref="C54">
    <cfRule type="cellIs" dxfId="2071" priority="3645" stopIfTrue="1" operator="equal">
      <formula>"Towel"</formula>
    </cfRule>
    <cfRule type="cellIs" dxfId="2070" priority="3646" stopIfTrue="1" operator="equal">
      <formula>"Napkin Hs"</formula>
    </cfRule>
  </conditionalFormatting>
  <conditionalFormatting sqref="C69">
    <cfRule type="cellIs" dxfId="2069" priority="3587" stopIfTrue="1" operator="equal">
      <formula>"Towel"</formula>
    </cfRule>
    <cfRule type="cellIs" dxfId="2068" priority="3588" stopIfTrue="1" operator="equal">
      <formula>"Napkin Hs"</formula>
    </cfRule>
  </conditionalFormatting>
  <conditionalFormatting sqref="C69">
    <cfRule type="cellIs" dxfId="2067" priority="3589" stopIfTrue="1" operator="equal">
      <formula>"Towel"</formula>
    </cfRule>
    <cfRule type="cellIs" dxfId="2066" priority="3590" stopIfTrue="1" operator="equal">
      <formula>"Napkin Hs"</formula>
    </cfRule>
  </conditionalFormatting>
  <conditionalFormatting sqref="C124">
    <cfRule type="cellIs" dxfId="2065" priority="3345" stopIfTrue="1" operator="equal">
      <formula>"Towel"</formula>
    </cfRule>
    <cfRule type="cellIs" dxfId="2064" priority="3346" stopIfTrue="1" operator="equal">
      <formula>"Napkin Hs"</formula>
    </cfRule>
  </conditionalFormatting>
  <conditionalFormatting sqref="C124">
    <cfRule type="cellIs" dxfId="2063" priority="3347" stopIfTrue="1" operator="equal">
      <formula>"Towel"</formula>
    </cfRule>
    <cfRule type="cellIs" dxfId="2062" priority="3348" stopIfTrue="1" operator="equal">
      <formula>"Napkin Hs"</formula>
    </cfRule>
  </conditionalFormatting>
  <conditionalFormatting sqref="C129 C139 C144">
    <cfRule type="cellIs" dxfId="2061" priority="3353" stopIfTrue="1" operator="equal">
      <formula>"Towel"</formula>
    </cfRule>
    <cfRule type="cellIs" dxfId="2060" priority="3354" stopIfTrue="1" operator="equal">
      <formula>"Napkin Hs"</formula>
    </cfRule>
  </conditionalFormatting>
  <conditionalFormatting sqref="C10">
    <cfRule type="cellIs" dxfId="2059" priority="3263" stopIfTrue="1" operator="equal">
      <formula>"Towel"</formula>
    </cfRule>
    <cfRule type="cellIs" dxfId="2058" priority="3264" stopIfTrue="1" operator="equal">
      <formula>"Napkin Hs"</formula>
    </cfRule>
  </conditionalFormatting>
  <conditionalFormatting sqref="C10">
    <cfRule type="cellIs" dxfId="2057" priority="3265" stopIfTrue="1" operator="equal">
      <formula>"Towel"</formula>
    </cfRule>
    <cfRule type="cellIs" dxfId="2056" priority="3266" stopIfTrue="1" operator="equal">
      <formula>"Napkin Hs"</formula>
    </cfRule>
  </conditionalFormatting>
  <conditionalFormatting sqref="C11">
    <cfRule type="cellIs" dxfId="2055" priority="3267" stopIfTrue="1" operator="equal">
      <formula>"Towel"</formula>
    </cfRule>
    <cfRule type="cellIs" dxfId="2054" priority="3268" stopIfTrue="1" operator="equal">
      <formula>"Napkin Hs"</formula>
    </cfRule>
  </conditionalFormatting>
  <conditionalFormatting sqref="C11">
    <cfRule type="cellIs" dxfId="2053" priority="3269" stopIfTrue="1" operator="equal">
      <formula>"Towel"</formula>
    </cfRule>
    <cfRule type="cellIs" dxfId="2052" priority="3270" stopIfTrue="1" operator="equal">
      <formula>"Napkin Hs"</formula>
    </cfRule>
  </conditionalFormatting>
  <conditionalFormatting sqref="C11">
    <cfRule type="cellIs" dxfId="2051" priority="3271" stopIfTrue="1" operator="equal">
      <formula>"Towel"</formula>
    </cfRule>
    <cfRule type="cellIs" dxfId="2050" priority="3272" stopIfTrue="1" operator="equal">
      <formula>"Napkin Hs"</formula>
    </cfRule>
  </conditionalFormatting>
  <conditionalFormatting sqref="B10:C10">
    <cfRule type="cellIs" dxfId="2049" priority="3261" stopIfTrue="1" operator="equal">
      <formula>"Towel"</formula>
    </cfRule>
    <cfRule type="cellIs" dxfId="2048" priority="3262" stopIfTrue="1" operator="equal">
      <formula>"Napkin Hs"</formula>
    </cfRule>
  </conditionalFormatting>
  <conditionalFormatting sqref="B10:C10">
    <cfRule type="cellIs" dxfId="2047" priority="3255" stopIfTrue="1" operator="equal">
      <formula>"Towel"</formula>
    </cfRule>
    <cfRule type="cellIs" dxfId="2046" priority="3256" stopIfTrue="1" operator="equal">
      <formula>"Napkin Hs"</formula>
    </cfRule>
  </conditionalFormatting>
  <conditionalFormatting sqref="C10">
    <cfRule type="cellIs" dxfId="2045" priority="3257" stopIfTrue="1" operator="equal">
      <formula>"Towel"</formula>
    </cfRule>
    <cfRule type="cellIs" dxfId="2044" priority="3258" stopIfTrue="1" operator="equal">
      <formula>"Napkin Hs"</formula>
    </cfRule>
  </conditionalFormatting>
  <conditionalFormatting sqref="C10">
    <cfRule type="cellIs" dxfId="2043" priority="3259" stopIfTrue="1" operator="equal">
      <formula>"Towel"</formula>
    </cfRule>
    <cfRule type="cellIs" dxfId="2042" priority="3260" stopIfTrue="1" operator="equal">
      <formula>"Napkin Hs"</formula>
    </cfRule>
  </conditionalFormatting>
  <conditionalFormatting sqref="B11">
    <cfRule type="cellIs" dxfId="2041" priority="3253" stopIfTrue="1" operator="equal">
      <formula>"Towel"</formula>
    </cfRule>
    <cfRule type="cellIs" dxfId="2040" priority="3254" stopIfTrue="1" operator="equal">
      <formula>"Napkin Hs"</formula>
    </cfRule>
  </conditionalFormatting>
  <conditionalFormatting sqref="C43">
    <cfRule type="cellIs" dxfId="2039" priority="2871" stopIfTrue="1" operator="equal">
      <formula>"Towel"</formula>
    </cfRule>
    <cfRule type="cellIs" dxfId="2038" priority="2872" stopIfTrue="1" operator="equal">
      <formula>"Napkin Hs"</formula>
    </cfRule>
  </conditionalFormatting>
  <conditionalFormatting sqref="B43:C43">
    <cfRule type="cellIs" dxfId="2037" priority="2873" stopIfTrue="1" operator="equal">
      <formula>"Towel"</formula>
    </cfRule>
    <cfRule type="cellIs" dxfId="2036" priority="2874" stopIfTrue="1" operator="equal">
      <formula>"Napkin Hs"</formula>
    </cfRule>
  </conditionalFormatting>
  <conditionalFormatting sqref="C43">
    <cfRule type="cellIs" dxfId="2035" priority="2869" stopIfTrue="1" operator="equal">
      <formula>"Towel"</formula>
    </cfRule>
    <cfRule type="cellIs" dxfId="2034" priority="2870" stopIfTrue="1" operator="equal">
      <formula>"Napkin Hs"</formula>
    </cfRule>
  </conditionalFormatting>
  <conditionalFormatting sqref="B43:C43">
    <cfRule type="cellIs" dxfId="2033" priority="2867" stopIfTrue="1" operator="equal">
      <formula>"Towel"</formula>
    </cfRule>
    <cfRule type="cellIs" dxfId="2032" priority="2868" stopIfTrue="1" operator="equal">
      <formula>"Napkin Hs"</formula>
    </cfRule>
  </conditionalFormatting>
  <conditionalFormatting sqref="C43">
    <cfRule type="cellIs" dxfId="2031" priority="2875" stopIfTrue="1" operator="equal">
      <formula>"Towel"</formula>
    </cfRule>
    <cfRule type="cellIs" dxfId="2030" priority="2876" stopIfTrue="1" operator="equal">
      <formula>"Napkin Hs"</formula>
    </cfRule>
  </conditionalFormatting>
  <conditionalFormatting sqref="C43">
    <cfRule type="cellIs" dxfId="2029" priority="2877" stopIfTrue="1" operator="equal">
      <formula>"Towel"</formula>
    </cfRule>
    <cfRule type="cellIs" dxfId="2028" priority="2878" stopIfTrue="1" operator="equal">
      <formula>"Napkin Hs"</formula>
    </cfRule>
  </conditionalFormatting>
  <conditionalFormatting sqref="C59">
    <cfRule type="cellIs" dxfId="2027" priority="2687" stopIfTrue="1" operator="equal">
      <formula>"Towel"</formula>
    </cfRule>
    <cfRule type="cellIs" dxfId="2026" priority="2688" stopIfTrue="1" operator="equal">
      <formula>"Napkin Hs"</formula>
    </cfRule>
  </conditionalFormatting>
  <conditionalFormatting sqref="B59:C59">
    <cfRule type="cellIs" dxfId="2025" priority="2689" stopIfTrue="1" operator="equal">
      <formula>"Towel"</formula>
    </cfRule>
    <cfRule type="cellIs" dxfId="2024" priority="2690" stopIfTrue="1" operator="equal">
      <formula>"Napkin Hs"</formula>
    </cfRule>
  </conditionalFormatting>
  <conditionalFormatting sqref="C59">
    <cfRule type="cellIs" dxfId="2023" priority="2685" stopIfTrue="1" operator="equal">
      <formula>"Towel"</formula>
    </cfRule>
    <cfRule type="cellIs" dxfId="2022" priority="2686" stopIfTrue="1" operator="equal">
      <formula>"Napkin Hs"</formula>
    </cfRule>
  </conditionalFormatting>
  <conditionalFormatting sqref="B59:C59">
    <cfRule type="cellIs" dxfId="2021" priority="2683" stopIfTrue="1" operator="equal">
      <formula>"Towel"</formula>
    </cfRule>
    <cfRule type="cellIs" dxfId="2020" priority="2684" stopIfTrue="1" operator="equal">
      <formula>"Napkin Hs"</formula>
    </cfRule>
  </conditionalFormatting>
  <conditionalFormatting sqref="C59">
    <cfRule type="cellIs" dxfId="2019" priority="2691" stopIfTrue="1" operator="equal">
      <formula>"Towel"</formula>
    </cfRule>
    <cfRule type="cellIs" dxfId="2018" priority="2692" stopIfTrue="1" operator="equal">
      <formula>"Napkin Hs"</formula>
    </cfRule>
  </conditionalFormatting>
  <conditionalFormatting sqref="C59">
    <cfRule type="cellIs" dxfId="2017" priority="2693" stopIfTrue="1" operator="equal">
      <formula>"Towel"</formula>
    </cfRule>
    <cfRule type="cellIs" dxfId="2016" priority="2694" stopIfTrue="1" operator="equal">
      <formula>"Napkin Hs"</formula>
    </cfRule>
  </conditionalFormatting>
  <conditionalFormatting sqref="C64">
    <cfRule type="cellIs" dxfId="2015" priority="2657" stopIfTrue="1" operator="equal">
      <formula>"Towel"</formula>
    </cfRule>
    <cfRule type="cellIs" dxfId="2014" priority="2658" stopIfTrue="1" operator="equal">
      <formula>"Napkin Hs"</formula>
    </cfRule>
  </conditionalFormatting>
  <conditionalFormatting sqref="B64:C64">
    <cfRule type="cellIs" dxfId="2013" priority="2659" stopIfTrue="1" operator="equal">
      <formula>"Towel"</formula>
    </cfRule>
    <cfRule type="cellIs" dxfId="2012" priority="2660" stopIfTrue="1" operator="equal">
      <formula>"Napkin Hs"</formula>
    </cfRule>
  </conditionalFormatting>
  <conditionalFormatting sqref="C64">
    <cfRule type="cellIs" dxfId="2011" priority="2655" stopIfTrue="1" operator="equal">
      <formula>"Towel"</formula>
    </cfRule>
    <cfRule type="cellIs" dxfId="2010" priority="2656" stopIfTrue="1" operator="equal">
      <formula>"Napkin Hs"</formula>
    </cfRule>
  </conditionalFormatting>
  <conditionalFormatting sqref="B64:C64">
    <cfRule type="cellIs" dxfId="2009" priority="2653" stopIfTrue="1" operator="equal">
      <formula>"Towel"</formula>
    </cfRule>
    <cfRule type="cellIs" dxfId="2008" priority="2654" stopIfTrue="1" operator="equal">
      <formula>"Napkin Hs"</formula>
    </cfRule>
  </conditionalFormatting>
  <conditionalFormatting sqref="C64">
    <cfRule type="cellIs" dxfId="2007" priority="2661" stopIfTrue="1" operator="equal">
      <formula>"Towel"</formula>
    </cfRule>
    <cfRule type="cellIs" dxfId="2006" priority="2662" stopIfTrue="1" operator="equal">
      <formula>"Napkin Hs"</formula>
    </cfRule>
  </conditionalFormatting>
  <conditionalFormatting sqref="C64">
    <cfRule type="cellIs" dxfId="2005" priority="2663" stopIfTrue="1" operator="equal">
      <formula>"Towel"</formula>
    </cfRule>
    <cfRule type="cellIs" dxfId="2004" priority="2664" stopIfTrue="1" operator="equal">
      <formula>"Napkin Hs"</formula>
    </cfRule>
  </conditionalFormatting>
  <conditionalFormatting sqref="C79">
    <cfRule type="cellIs" dxfId="2003" priority="2553" stopIfTrue="1" operator="equal">
      <formula>"Towel"</formula>
    </cfRule>
    <cfRule type="cellIs" dxfId="2002" priority="2554" stopIfTrue="1" operator="equal">
      <formula>"Napkin Hs"</formula>
    </cfRule>
  </conditionalFormatting>
  <conditionalFormatting sqref="B79:C79">
    <cfRule type="cellIs" dxfId="2001" priority="2555" stopIfTrue="1" operator="equal">
      <formula>"Towel"</formula>
    </cfRule>
    <cfRule type="cellIs" dxfId="2000" priority="2556" stopIfTrue="1" operator="equal">
      <formula>"Napkin Hs"</formula>
    </cfRule>
  </conditionalFormatting>
  <conditionalFormatting sqref="C79">
    <cfRule type="cellIs" dxfId="1999" priority="2551" stopIfTrue="1" operator="equal">
      <formula>"Towel"</formula>
    </cfRule>
    <cfRule type="cellIs" dxfId="1998" priority="2552" stopIfTrue="1" operator="equal">
      <formula>"Napkin Hs"</formula>
    </cfRule>
  </conditionalFormatting>
  <conditionalFormatting sqref="B79:C79">
    <cfRule type="cellIs" dxfId="1997" priority="2549" stopIfTrue="1" operator="equal">
      <formula>"Towel"</formula>
    </cfRule>
    <cfRule type="cellIs" dxfId="1996" priority="2550" stopIfTrue="1" operator="equal">
      <formula>"Napkin Hs"</formula>
    </cfRule>
  </conditionalFormatting>
  <conditionalFormatting sqref="C79">
    <cfRule type="cellIs" dxfId="1995" priority="2557" stopIfTrue="1" operator="equal">
      <formula>"Towel"</formula>
    </cfRule>
    <cfRule type="cellIs" dxfId="1994" priority="2558" stopIfTrue="1" operator="equal">
      <formula>"Napkin Hs"</formula>
    </cfRule>
  </conditionalFormatting>
  <conditionalFormatting sqref="C79">
    <cfRule type="cellIs" dxfId="1993" priority="2559" stopIfTrue="1" operator="equal">
      <formula>"Towel"</formula>
    </cfRule>
    <cfRule type="cellIs" dxfId="1992" priority="2560" stopIfTrue="1" operator="equal">
      <formula>"Napkin Hs"</formula>
    </cfRule>
  </conditionalFormatting>
  <conditionalFormatting sqref="C84">
    <cfRule type="cellIs" dxfId="1991" priority="2495" stopIfTrue="1" operator="equal">
      <formula>"Towel"</formula>
    </cfRule>
    <cfRule type="cellIs" dxfId="1990" priority="2496" stopIfTrue="1" operator="equal">
      <formula>"Napkin Hs"</formula>
    </cfRule>
  </conditionalFormatting>
  <conditionalFormatting sqref="C84">
    <cfRule type="cellIs" dxfId="1989" priority="2497" stopIfTrue="1" operator="equal">
      <formula>"Towel"</formula>
    </cfRule>
    <cfRule type="cellIs" dxfId="1988" priority="2498" stopIfTrue="1" operator="equal">
      <formula>"Napkin Hs"</formula>
    </cfRule>
  </conditionalFormatting>
  <conditionalFormatting sqref="C84">
    <cfRule type="cellIs" dxfId="1987" priority="2493" stopIfTrue="1" operator="equal">
      <formula>"Towel"</formula>
    </cfRule>
    <cfRule type="cellIs" dxfId="1986" priority="2494" stopIfTrue="1" operator="equal">
      <formula>"Napkin Hs"</formula>
    </cfRule>
  </conditionalFormatting>
  <conditionalFormatting sqref="C84">
    <cfRule type="cellIs" dxfId="1985" priority="2487" stopIfTrue="1" operator="equal">
      <formula>"Towel"</formula>
    </cfRule>
    <cfRule type="cellIs" dxfId="1984" priority="2488" stopIfTrue="1" operator="equal">
      <formula>"Napkin Hs"</formula>
    </cfRule>
  </conditionalFormatting>
  <conditionalFormatting sqref="C84">
    <cfRule type="cellIs" dxfId="1983" priority="2489" stopIfTrue="1" operator="equal">
      <formula>"Towel"</formula>
    </cfRule>
    <cfRule type="cellIs" dxfId="1982" priority="2490" stopIfTrue="1" operator="equal">
      <formula>"Napkin Hs"</formula>
    </cfRule>
  </conditionalFormatting>
  <conditionalFormatting sqref="C84">
    <cfRule type="cellIs" dxfId="1981" priority="2491" stopIfTrue="1" operator="equal">
      <formula>"Towel"</formula>
    </cfRule>
    <cfRule type="cellIs" dxfId="1980" priority="2492" stopIfTrue="1" operator="equal">
      <formula>"Napkin Hs"</formula>
    </cfRule>
  </conditionalFormatting>
  <conditionalFormatting sqref="B84">
    <cfRule type="cellIs" dxfId="1979" priority="2485" stopIfTrue="1" operator="equal">
      <formula>"Towel"</formula>
    </cfRule>
    <cfRule type="cellIs" dxfId="1978" priority="2486" stopIfTrue="1" operator="equal">
      <formula>"Napkin Hs"</formula>
    </cfRule>
  </conditionalFormatting>
  <conditionalFormatting sqref="B84">
    <cfRule type="cellIs" dxfId="1977" priority="2483" stopIfTrue="1" operator="equal">
      <formula>"Towel"</formula>
    </cfRule>
    <cfRule type="cellIs" dxfId="1976" priority="2484" stopIfTrue="1" operator="equal">
      <formula>"Napkin Hs"</formula>
    </cfRule>
  </conditionalFormatting>
  <conditionalFormatting sqref="B89:C89">
    <cfRule type="cellIs" dxfId="1975" priority="2421" stopIfTrue="1" operator="equal">
      <formula>"Towel"</formula>
    </cfRule>
    <cfRule type="cellIs" dxfId="1974" priority="2422" stopIfTrue="1" operator="equal">
      <formula>"Napkin Hs"</formula>
    </cfRule>
  </conditionalFormatting>
  <conditionalFormatting sqref="C89">
    <cfRule type="cellIs" dxfId="1973" priority="2419" stopIfTrue="1" operator="equal">
      <formula>"Towel"</formula>
    </cfRule>
    <cfRule type="cellIs" dxfId="1972" priority="2420" stopIfTrue="1" operator="equal">
      <formula>"Napkin Hs"</formula>
    </cfRule>
  </conditionalFormatting>
  <conditionalFormatting sqref="C89">
    <cfRule type="cellIs" dxfId="1971" priority="2417" stopIfTrue="1" operator="equal">
      <formula>"Towel"</formula>
    </cfRule>
    <cfRule type="cellIs" dxfId="1970" priority="2418" stopIfTrue="1" operator="equal">
      <formula>"Napkin Hs"</formula>
    </cfRule>
  </conditionalFormatting>
  <conditionalFormatting sqref="C89">
    <cfRule type="cellIs" dxfId="1969" priority="2409" stopIfTrue="1" operator="equal">
      <formula>"Towel"</formula>
    </cfRule>
    <cfRule type="cellIs" dxfId="1968" priority="2410" stopIfTrue="1" operator="equal">
      <formula>"Napkin Hs"</formula>
    </cfRule>
  </conditionalFormatting>
  <conditionalFormatting sqref="B89:C89">
    <cfRule type="cellIs" dxfId="1967" priority="2411" stopIfTrue="1" operator="equal">
      <formula>"Towel"</formula>
    </cfRule>
    <cfRule type="cellIs" dxfId="1966" priority="2412" stopIfTrue="1" operator="equal">
      <formula>"Napkin Hs"</formula>
    </cfRule>
  </conditionalFormatting>
  <conditionalFormatting sqref="C89">
    <cfRule type="cellIs" dxfId="1965" priority="2407" stopIfTrue="1" operator="equal">
      <formula>"Towel"</formula>
    </cfRule>
    <cfRule type="cellIs" dxfId="1964" priority="2408" stopIfTrue="1" operator="equal">
      <formula>"Napkin Hs"</formula>
    </cfRule>
  </conditionalFormatting>
  <conditionalFormatting sqref="B89:C89">
    <cfRule type="cellIs" dxfId="1963" priority="2405" stopIfTrue="1" operator="equal">
      <formula>"Towel"</formula>
    </cfRule>
    <cfRule type="cellIs" dxfId="1962" priority="2406" stopIfTrue="1" operator="equal">
      <formula>"Napkin Hs"</formula>
    </cfRule>
  </conditionalFormatting>
  <conditionalFormatting sqref="C89">
    <cfRule type="cellIs" dxfId="1961" priority="2413" stopIfTrue="1" operator="equal">
      <formula>"Towel"</formula>
    </cfRule>
    <cfRule type="cellIs" dxfId="1960" priority="2414" stopIfTrue="1" operator="equal">
      <formula>"Napkin Hs"</formula>
    </cfRule>
  </conditionalFormatting>
  <conditionalFormatting sqref="C89">
    <cfRule type="cellIs" dxfId="1959" priority="2415" stopIfTrue="1" operator="equal">
      <formula>"Towel"</formula>
    </cfRule>
    <cfRule type="cellIs" dxfId="1958" priority="2416" stopIfTrue="1" operator="equal">
      <formula>"Napkin Hs"</formula>
    </cfRule>
  </conditionalFormatting>
  <conditionalFormatting sqref="C94">
    <cfRule type="cellIs" dxfId="1957" priority="2367" stopIfTrue="1" operator="equal">
      <formula>"Towel"</formula>
    </cfRule>
    <cfRule type="cellIs" dxfId="1956" priority="2368" stopIfTrue="1" operator="equal">
      <formula>"Napkin Hs"</formula>
    </cfRule>
  </conditionalFormatting>
  <conditionalFormatting sqref="C94">
    <cfRule type="cellIs" dxfId="1955" priority="2365" stopIfTrue="1" operator="equal">
      <formula>"Towel"</formula>
    </cfRule>
    <cfRule type="cellIs" dxfId="1954" priority="2366" stopIfTrue="1" operator="equal">
      <formula>"Napkin Hs"</formula>
    </cfRule>
  </conditionalFormatting>
  <conditionalFormatting sqref="B94:C94">
    <cfRule type="cellIs" dxfId="1953" priority="2363" stopIfTrue="1" operator="equal">
      <formula>"Towel"</formula>
    </cfRule>
    <cfRule type="cellIs" dxfId="1952" priority="2364" stopIfTrue="1" operator="equal">
      <formula>"Napkin Hs"</formula>
    </cfRule>
  </conditionalFormatting>
  <conditionalFormatting sqref="B94:C94">
    <cfRule type="cellIs" dxfId="1951" priority="2373" stopIfTrue="1" operator="equal">
      <formula>"Towel"</formula>
    </cfRule>
    <cfRule type="cellIs" dxfId="1950" priority="2374" stopIfTrue="1" operator="equal">
      <formula>"Napkin Hs"</formula>
    </cfRule>
  </conditionalFormatting>
  <conditionalFormatting sqref="C94">
    <cfRule type="cellIs" dxfId="1949" priority="2371" stopIfTrue="1" operator="equal">
      <formula>"Towel"</formula>
    </cfRule>
    <cfRule type="cellIs" dxfId="1948" priority="2372" stopIfTrue="1" operator="equal">
      <formula>"Napkin Hs"</formula>
    </cfRule>
  </conditionalFormatting>
  <conditionalFormatting sqref="C94">
    <cfRule type="cellIs" dxfId="1947" priority="2369" stopIfTrue="1" operator="equal">
      <formula>"Towel"</formula>
    </cfRule>
    <cfRule type="cellIs" dxfId="1946" priority="2370" stopIfTrue="1" operator="equal">
      <formula>"Napkin Hs"</formula>
    </cfRule>
  </conditionalFormatting>
  <conditionalFormatting sqref="C94">
    <cfRule type="cellIs" dxfId="1945" priority="2361" stopIfTrue="1" operator="equal">
      <formula>"Towel"</formula>
    </cfRule>
    <cfRule type="cellIs" dxfId="1944" priority="2362" stopIfTrue="1" operator="equal">
      <formula>"Napkin Hs"</formula>
    </cfRule>
  </conditionalFormatting>
  <conditionalFormatting sqref="C94">
    <cfRule type="cellIs" dxfId="1943" priority="2359" stopIfTrue="1" operator="equal">
      <formula>"Towel"</formula>
    </cfRule>
    <cfRule type="cellIs" dxfId="1942" priority="2360" stopIfTrue="1" operator="equal">
      <formula>"Napkin Hs"</formula>
    </cfRule>
  </conditionalFormatting>
  <conditionalFormatting sqref="B94:C94">
    <cfRule type="cellIs" dxfId="1941" priority="2357" stopIfTrue="1" operator="equal">
      <formula>"Towel"</formula>
    </cfRule>
    <cfRule type="cellIs" dxfId="1940" priority="2358" stopIfTrue="1" operator="equal">
      <formula>"Napkin Hs"</formula>
    </cfRule>
  </conditionalFormatting>
  <conditionalFormatting sqref="B99:C99">
    <cfRule type="cellIs" dxfId="1939" priority="2201" stopIfTrue="1" operator="equal">
      <formula>"Towel"</formula>
    </cfRule>
    <cfRule type="cellIs" dxfId="1938" priority="2202" stopIfTrue="1" operator="equal">
      <formula>"Napkin Hs"</formula>
    </cfRule>
  </conditionalFormatting>
  <conditionalFormatting sqref="C99">
    <cfRule type="cellIs" dxfId="1937" priority="2199" stopIfTrue="1" operator="equal">
      <formula>"Towel"</formula>
    </cfRule>
    <cfRule type="cellIs" dxfId="1936" priority="2200" stopIfTrue="1" operator="equal">
      <formula>"Napkin Hs"</formula>
    </cfRule>
  </conditionalFormatting>
  <conditionalFormatting sqref="C99">
    <cfRule type="cellIs" dxfId="1935" priority="2197" stopIfTrue="1" operator="equal">
      <formula>"Towel"</formula>
    </cfRule>
    <cfRule type="cellIs" dxfId="1934" priority="2198" stopIfTrue="1" operator="equal">
      <formula>"Napkin Hs"</formula>
    </cfRule>
  </conditionalFormatting>
  <conditionalFormatting sqref="C99">
    <cfRule type="cellIs" dxfId="1933" priority="2189" stopIfTrue="1" operator="equal">
      <formula>"Towel"</formula>
    </cfRule>
    <cfRule type="cellIs" dxfId="1932" priority="2190" stopIfTrue="1" operator="equal">
      <formula>"Napkin Hs"</formula>
    </cfRule>
  </conditionalFormatting>
  <conditionalFormatting sqref="B99:C99">
    <cfRule type="cellIs" dxfId="1931" priority="2191" stopIfTrue="1" operator="equal">
      <formula>"Towel"</formula>
    </cfRule>
    <cfRule type="cellIs" dxfId="1930" priority="2192" stopIfTrue="1" operator="equal">
      <formula>"Napkin Hs"</formula>
    </cfRule>
  </conditionalFormatting>
  <conditionalFormatting sqref="C99">
    <cfRule type="cellIs" dxfId="1929" priority="2187" stopIfTrue="1" operator="equal">
      <formula>"Towel"</formula>
    </cfRule>
    <cfRule type="cellIs" dxfId="1928" priority="2188" stopIfTrue="1" operator="equal">
      <formula>"Napkin Hs"</formula>
    </cfRule>
  </conditionalFormatting>
  <conditionalFormatting sqref="B99:C99">
    <cfRule type="cellIs" dxfId="1927" priority="2185" stopIfTrue="1" operator="equal">
      <formula>"Towel"</formula>
    </cfRule>
    <cfRule type="cellIs" dxfId="1926" priority="2186" stopIfTrue="1" operator="equal">
      <formula>"Napkin Hs"</formula>
    </cfRule>
  </conditionalFormatting>
  <conditionalFormatting sqref="C99">
    <cfRule type="cellIs" dxfId="1925" priority="2193" stopIfTrue="1" operator="equal">
      <formula>"Towel"</formula>
    </cfRule>
    <cfRule type="cellIs" dxfId="1924" priority="2194" stopIfTrue="1" operator="equal">
      <formula>"Napkin Hs"</formula>
    </cfRule>
  </conditionalFormatting>
  <conditionalFormatting sqref="C99">
    <cfRule type="cellIs" dxfId="1923" priority="2195" stopIfTrue="1" operator="equal">
      <formula>"Towel"</formula>
    </cfRule>
    <cfRule type="cellIs" dxfId="1922" priority="2196" stopIfTrue="1" operator="equal">
      <formula>"Napkin Hs"</formula>
    </cfRule>
  </conditionalFormatting>
  <conditionalFormatting sqref="B104:C104">
    <cfRule type="cellIs" dxfId="1921" priority="2165" stopIfTrue="1" operator="equal">
      <formula>"Towel"</formula>
    </cfRule>
    <cfRule type="cellIs" dxfId="1920" priority="2166" stopIfTrue="1" operator="equal">
      <formula>"Napkin Hs"</formula>
    </cfRule>
  </conditionalFormatting>
  <conditionalFormatting sqref="C104">
    <cfRule type="cellIs" dxfId="1919" priority="2163" stopIfTrue="1" operator="equal">
      <formula>"Towel"</formula>
    </cfRule>
    <cfRule type="cellIs" dxfId="1918" priority="2164" stopIfTrue="1" operator="equal">
      <formula>"Napkin Hs"</formula>
    </cfRule>
  </conditionalFormatting>
  <conditionalFormatting sqref="C104">
    <cfRule type="cellIs" dxfId="1917" priority="2161" stopIfTrue="1" operator="equal">
      <formula>"Towel"</formula>
    </cfRule>
    <cfRule type="cellIs" dxfId="1916" priority="2162" stopIfTrue="1" operator="equal">
      <formula>"Napkin Hs"</formula>
    </cfRule>
  </conditionalFormatting>
  <conditionalFormatting sqref="C104">
    <cfRule type="cellIs" dxfId="1915" priority="2153" stopIfTrue="1" operator="equal">
      <formula>"Towel"</formula>
    </cfRule>
    <cfRule type="cellIs" dxfId="1914" priority="2154" stopIfTrue="1" operator="equal">
      <formula>"Napkin Hs"</formula>
    </cfRule>
  </conditionalFormatting>
  <conditionalFormatting sqref="B104:C104">
    <cfRule type="cellIs" dxfId="1913" priority="2155" stopIfTrue="1" operator="equal">
      <formula>"Towel"</formula>
    </cfRule>
    <cfRule type="cellIs" dxfId="1912" priority="2156" stopIfTrue="1" operator="equal">
      <formula>"Napkin Hs"</formula>
    </cfRule>
  </conditionalFormatting>
  <conditionalFormatting sqref="C104">
    <cfRule type="cellIs" dxfId="1911" priority="2151" stopIfTrue="1" operator="equal">
      <formula>"Towel"</formula>
    </cfRule>
    <cfRule type="cellIs" dxfId="1910" priority="2152" stopIfTrue="1" operator="equal">
      <formula>"Napkin Hs"</formula>
    </cfRule>
  </conditionalFormatting>
  <conditionalFormatting sqref="B104:C104">
    <cfRule type="cellIs" dxfId="1909" priority="2149" stopIfTrue="1" operator="equal">
      <formula>"Towel"</formula>
    </cfRule>
    <cfRule type="cellIs" dxfId="1908" priority="2150" stopIfTrue="1" operator="equal">
      <formula>"Napkin Hs"</formula>
    </cfRule>
  </conditionalFormatting>
  <conditionalFormatting sqref="C104">
    <cfRule type="cellIs" dxfId="1907" priority="2157" stopIfTrue="1" operator="equal">
      <formula>"Towel"</formula>
    </cfRule>
    <cfRule type="cellIs" dxfId="1906" priority="2158" stopIfTrue="1" operator="equal">
      <formula>"Napkin Hs"</formula>
    </cfRule>
  </conditionalFormatting>
  <conditionalFormatting sqref="C104">
    <cfRule type="cellIs" dxfId="1905" priority="2159" stopIfTrue="1" operator="equal">
      <formula>"Towel"</formula>
    </cfRule>
    <cfRule type="cellIs" dxfId="1904" priority="2160" stopIfTrue="1" operator="equal">
      <formula>"Napkin Hs"</formula>
    </cfRule>
  </conditionalFormatting>
  <conditionalFormatting sqref="C104">
    <cfRule type="cellIs" dxfId="1903" priority="2111" stopIfTrue="1" operator="equal">
      <formula>"Towel"</formula>
    </cfRule>
    <cfRule type="cellIs" dxfId="1902" priority="2112" stopIfTrue="1" operator="equal">
      <formula>"Napkin Hs"</formula>
    </cfRule>
  </conditionalFormatting>
  <conditionalFormatting sqref="C104">
    <cfRule type="cellIs" dxfId="1901" priority="2109" stopIfTrue="1" operator="equal">
      <formula>"Towel"</formula>
    </cfRule>
    <cfRule type="cellIs" dxfId="1900" priority="2110" stopIfTrue="1" operator="equal">
      <formula>"Napkin Hs"</formula>
    </cfRule>
  </conditionalFormatting>
  <conditionalFormatting sqref="B104:C104">
    <cfRule type="cellIs" dxfId="1899" priority="2107" stopIfTrue="1" operator="equal">
      <formula>"Towel"</formula>
    </cfRule>
    <cfRule type="cellIs" dxfId="1898" priority="2108" stopIfTrue="1" operator="equal">
      <formula>"Napkin Hs"</formula>
    </cfRule>
  </conditionalFormatting>
  <conditionalFormatting sqref="B104:C104">
    <cfRule type="cellIs" dxfId="1897" priority="2117" stopIfTrue="1" operator="equal">
      <formula>"Towel"</formula>
    </cfRule>
    <cfRule type="cellIs" dxfId="1896" priority="2118" stopIfTrue="1" operator="equal">
      <formula>"Napkin Hs"</formula>
    </cfRule>
  </conditionalFormatting>
  <conditionalFormatting sqref="C104">
    <cfRule type="cellIs" dxfId="1895" priority="2115" stopIfTrue="1" operator="equal">
      <formula>"Towel"</formula>
    </cfRule>
    <cfRule type="cellIs" dxfId="1894" priority="2116" stopIfTrue="1" operator="equal">
      <formula>"Napkin Hs"</formula>
    </cfRule>
  </conditionalFormatting>
  <conditionalFormatting sqref="C104">
    <cfRule type="cellIs" dxfId="1893" priority="2113" stopIfTrue="1" operator="equal">
      <formula>"Towel"</formula>
    </cfRule>
    <cfRule type="cellIs" dxfId="1892" priority="2114" stopIfTrue="1" operator="equal">
      <formula>"Napkin Hs"</formula>
    </cfRule>
  </conditionalFormatting>
  <conditionalFormatting sqref="C104">
    <cfRule type="cellIs" dxfId="1891" priority="2105" stopIfTrue="1" operator="equal">
      <formula>"Towel"</formula>
    </cfRule>
    <cfRule type="cellIs" dxfId="1890" priority="2106" stopIfTrue="1" operator="equal">
      <formula>"Napkin Hs"</formula>
    </cfRule>
  </conditionalFormatting>
  <conditionalFormatting sqref="C104">
    <cfRule type="cellIs" dxfId="1889" priority="2103" stopIfTrue="1" operator="equal">
      <formula>"Towel"</formula>
    </cfRule>
    <cfRule type="cellIs" dxfId="1888" priority="2104" stopIfTrue="1" operator="equal">
      <formula>"Napkin Hs"</formula>
    </cfRule>
  </conditionalFormatting>
  <conditionalFormatting sqref="B104:C104">
    <cfRule type="cellIs" dxfId="1887" priority="2101" stopIfTrue="1" operator="equal">
      <formula>"Towel"</formula>
    </cfRule>
    <cfRule type="cellIs" dxfId="1886" priority="2102" stopIfTrue="1" operator="equal">
      <formula>"Napkin Hs"</formula>
    </cfRule>
  </conditionalFormatting>
  <conditionalFormatting sqref="C109">
    <cfRule type="cellIs" dxfId="1885" priority="2027" stopIfTrue="1" operator="equal">
      <formula>"Towel"</formula>
    </cfRule>
    <cfRule type="cellIs" dxfId="1884" priority="2028" stopIfTrue="1" operator="equal">
      <formula>"Napkin Hs"</formula>
    </cfRule>
  </conditionalFormatting>
  <conditionalFormatting sqref="C109">
    <cfRule type="cellIs" dxfId="1883" priority="2025" stopIfTrue="1" operator="equal">
      <formula>"Towel"</formula>
    </cfRule>
    <cfRule type="cellIs" dxfId="1882" priority="2026" stopIfTrue="1" operator="equal">
      <formula>"Napkin Hs"</formula>
    </cfRule>
  </conditionalFormatting>
  <conditionalFormatting sqref="B109:C109">
    <cfRule type="cellIs" dxfId="1881" priority="2023" stopIfTrue="1" operator="equal">
      <formula>"Towel"</formula>
    </cfRule>
    <cfRule type="cellIs" dxfId="1880" priority="2024" stopIfTrue="1" operator="equal">
      <formula>"Napkin Hs"</formula>
    </cfRule>
  </conditionalFormatting>
  <conditionalFormatting sqref="B109:C109">
    <cfRule type="cellIs" dxfId="1879" priority="2017" stopIfTrue="1" operator="equal">
      <formula>"Towel"</formula>
    </cfRule>
    <cfRule type="cellIs" dxfId="1878" priority="2018" stopIfTrue="1" operator="equal">
      <formula>"Napkin Hs"</formula>
    </cfRule>
  </conditionalFormatting>
  <conditionalFormatting sqref="C109">
    <cfRule type="cellIs" dxfId="1877" priority="2019" stopIfTrue="1" operator="equal">
      <formula>"Towel"</formula>
    </cfRule>
    <cfRule type="cellIs" dxfId="1876" priority="2020" stopIfTrue="1" operator="equal">
      <formula>"Napkin Hs"</formula>
    </cfRule>
  </conditionalFormatting>
  <conditionalFormatting sqref="C109">
    <cfRule type="cellIs" dxfId="1875" priority="2021" stopIfTrue="1" operator="equal">
      <formula>"Towel"</formula>
    </cfRule>
    <cfRule type="cellIs" dxfId="1874" priority="2022" stopIfTrue="1" operator="equal">
      <formula>"Napkin Hs"</formula>
    </cfRule>
  </conditionalFormatting>
  <conditionalFormatting sqref="B109:C109">
    <cfRule type="cellIs" dxfId="1873" priority="2033" stopIfTrue="1" operator="equal">
      <formula>"Towel"</formula>
    </cfRule>
    <cfRule type="cellIs" dxfId="1872" priority="2034" stopIfTrue="1" operator="equal">
      <formula>"Napkin Hs"</formula>
    </cfRule>
  </conditionalFormatting>
  <conditionalFormatting sqref="C109">
    <cfRule type="cellIs" dxfId="1871" priority="2031" stopIfTrue="1" operator="equal">
      <formula>"Towel"</formula>
    </cfRule>
    <cfRule type="cellIs" dxfId="1870" priority="2032" stopIfTrue="1" operator="equal">
      <formula>"Napkin Hs"</formula>
    </cfRule>
  </conditionalFormatting>
  <conditionalFormatting sqref="C109">
    <cfRule type="cellIs" dxfId="1869" priority="2029" stopIfTrue="1" operator="equal">
      <formula>"Towel"</formula>
    </cfRule>
    <cfRule type="cellIs" dxfId="1868" priority="2030" stopIfTrue="1" operator="equal">
      <formula>"Napkin Hs"</formula>
    </cfRule>
  </conditionalFormatting>
  <conditionalFormatting sqref="C109">
    <cfRule type="cellIs" dxfId="1867" priority="1979" stopIfTrue="1" operator="equal">
      <formula>"Towel"</formula>
    </cfRule>
    <cfRule type="cellIs" dxfId="1866" priority="1980" stopIfTrue="1" operator="equal">
      <formula>"Napkin Hs"</formula>
    </cfRule>
  </conditionalFormatting>
  <conditionalFormatting sqref="C109">
    <cfRule type="cellIs" dxfId="1865" priority="1977" stopIfTrue="1" operator="equal">
      <formula>"Towel"</formula>
    </cfRule>
    <cfRule type="cellIs" dxfId="1864" priority="1978" stopIfTrue="1" operator="equal">
      <formula>"Napkin Hs"</formula>
    </cfRule>
  </conditionalFormatting>
  <conditionalFormatting sqref="B109:C109">
    <cfRule type="cellIs" dxfId="1863" priority="1975" stopIfTrue="1" operator="equal">
      <formula>"Towel"</formula>
    </cfRule>
    <cfRule type="cellIs" dxfId="1862" priority="1976" stopIfTrue="1" operator="equal">
      <formula>"Napkin Hs"</formula>
    </cfRule>
  </conditionalFormatting>
  <conditionalFormatting sqref="C109">
    <cfRule type="cellIs" dxfId="1861" priority="1985" stopIfTrue="1" operator="equal">
      <formula>"Towel"</formula>
    </cfRule>
    <cfRule type="cellIs" dxfId="1860" priority="1986" stopIfTrue="1" operator="equal">
      <formula>"Napkin Hs"</formula>
    </cfRule>
  </conditionalFormatting>
  <conditionalFormatting sqref="C109">
    <cfRule type="cellIs" dxfId="1859" priority="1983" stopIfTrue="1" operator="equal">
      <formula>"Towel"</formula>
    </cfRule>
    <cfRule type="cellIs" dxfId="1858" priority="1984" stopIfTrue="1" operator="equal">
      <formula>"Napkin Hs"</formula>
    </cfRule>
  </conditionalFormatting>
  <conditionalFormatting sqref="B109:C109">
    <cfRule type="cellIs" dxfId="1857" priority="1981" stopIfTrue="1" operator="equal">
      <formula>"Towel"</formula>
    </cfRule>
    <cfRule type="cellIs" dxfId="1856" priority="1982" stopIfTrue="1" operator="equal">
      <formula>"Napkin Hs"</formula>
    </cfRule>
  </conditionalFormatting>
  <conditionalFormatting sqref="B109:C109">
    <cfRule type="cellIs" dxfId="1855" priority="1991" stopIfTrue="1" operator="equal">
      <formula>"Towel"</formula>
    </cfRule>
    <cfRule type="cellIs" dxfId="1854" priority="1992" stopIfTrue="1" operator="equal">
      <formula>"Napkin Hs"</formula>
    </cfRule>
  </conditionalFormatting>
  <conditionalFormatting sqref="C109">
    <cfRule type="cellIs" dxfId="1853" priority="1989" stopIfTrue="1" operator="equal">
      <formula>"Towel"</formula>
    </cfRule>
    <cfRule type="cellIs" dxfId="1852" priority="1990" stopIfTrue="1" operator="equal">
      <formula>"Napkin Hs"</formula>
    </cfRule>
  </conditionalFormatting>
  <conditionalFormatting sqref="C109">
    <cfRule type="cellIs" dxfId="1851" priority="1987" stopIfTrue="1" operator="equal">
      <formula>"Towel"</formula>
    </cfRule>
    <cfRule type="cellIs" dxfId="1850" priority="1988" stopIfTrue="1" operator="equal">
      <formula>"Napkin Hs"</formula>
    </cfRule>
  </conditionalFormatting>
  <conditionalFormatting sqref="C114">
    <cfRule type="cellIs" dxfId="1849" priority="1913" stopIfTrue="1" operator="equal">
      <formula>"Towel"</formula>
    </cfRule>
    <cfRule type="cellIs" dxfId="1848" priority="1914" stopIfTrue="1" operator="equal">
      <formula>"Napkin Hs"</formula>
    </cfRule>
  </conditionalFormatting>
  <conditionalFormatting sqref="C114">
    <cfRule type="cellIs" dxfId="1847" priority="1911" stopIfTrue="1" operator="equal">
      <formula>"Towel"</formula>
    </cfRule>
    <cfRule type="cellIs" dxfId="1846" priority="1912" stopIfTrue="1" operator="equal">
      <formula>"Napkin Hs"</formula>
    </cfRule>
  </conditionalFormatting>
  <conditionalFormatting sqref="B114:C114">
    <cfRule type="cellIs" dxfId="1845" priority="1909" stopIfTrue="1" operator="equal">
      <formula>"Towel"</formula>
    </cfRule>
    <cfRule type="cellIs" dxfId="1844" priority="1910" stopIfTrue="1" operator="equal">
      <formula>"Napkin Hs"</formula>
    </cfRule>
  </conditionalFormatting>
  <conditionalFormatting sqref="B114:C114">
    <cfRule type="cellIs" dxfId="1843" priority="1903" stopIfTrue="1" operator="equal">
      <formula>"Towel"</formula>
    </cfRule>
    <cfRule type="cellIs" dxfId="1842" priority="1904" stopIfTrue="1" operator="equal">
      <formula>"Napkin Hs"</formula>
    </cfRule>
  </conditionalFormatting>
  <conditionalFormatting sqref="C114">
    <cfRule type="cellIs" dxfId="1841" priority="1905" stopIfTrue="1" operator="equal">
      <formula>"Towel"</formula>
    </cfRule>
    <cfRule type="cellIs" dxfId="1840" priority="1906" stopIfTrue="1" operator="equal">
      <formula>"Napkin Hs"</formula>
    </cfRule>
  </conditionalFormatting>
  <conditionalFormatting sqref="C114">
    <cfRule type="cellIs" dxfId="1839" priority="1907" stopIfTrue="1" operator="equal">
      <formula>"Towel"</formula>
    </cfRule>
    <cfRule type="cellIs" dxfId="1838" priority="1908" stopIfTrue="1" operator="equal">
      <formula>"Napkin Hs"</formula>
    </cfRule>
  </conditionalFormatting>
  <conditionalFormatting sqref="B114:C114">
    <cfRule type="cellIs" dxfId="1837" priority="1919" stopIfTrue="1" operator="equal">
      <formula>"Towel"</formula>
    </cfRule>
    <cfRule type="cellIs" dxfId="1836" priority="1920" stopIfTrue="1" operator="equal">
      <formula>"Napkin Hs"</formula>
    </cfRule>
  </conditionalFormatting>
  <conditionalFormatting sqref="C114">
    <cfRule type="cellIs" dxfId="1835" priority="1917" stopIfTrue="1" operator="equal">
      <formula>"Towel"</formula>
    </cfRule>
    <cfRule type="cellIs" dxfId="1834" priority="1918" stopIfTrue="1" operator="equal">
      <formula>"Napkin Hs"</formula>
    </cfRule>
  </conditionalFormatting>
  <conditionalFormatting sqref="C114">
    <cfRule type="cellIs" dxfId="1833" priority="1915" stopIfTrue="1" operator="equal">
      <formula>"Towel"</formula>
    </cfRule>
    <cfRule type="cellIs" dxfId="1832" priority="1916" stopIfTrue="1" operator="equal">
      <formula>"Napkin Hs"</formula>
    </cfRule>
  </conditionalFormatting>
  <conditionalFormatting sqref="C114">
    <cfRule type="cellIs" dxfId="1831" priority="1883" stopIfTrue="1" operator="equal">
      <formula>"Towel"</formula>
    </cfRule>
    <cfRule type="cellIs" dxfId="1830" priority="1884" stopIfTrue="1" operator="equal">
      <formula>"Napkin Hs"</formula>
    </cfRule>
  </conditionalFormatting>
  <conditionalFormatting sqref="C114">
    <cfRule type="cellIs" dxfId="1829" priority="1881" stopIfTrue="1" operator="equal">
      <formula>"Towel"</formula>
    </cfRule>
    <cfRule type="cellIs" dxfId="1828" priority="1882" stopIfTrue="1" operator="equal">
      <formula>"Napkin Hs"</formula>
    </cfRule>
  </conditionalFormatting>
  <conditionalFormatting sqref="B114:C114">
    <cfRule type="cellIs" dxfId="1827" priority="1879" stopIfTrue="1" operator="equal">
      <formula>"Towel"</formula>
    </cfRule>
    <cfRule type="cellIs" dxfId="1826" priority="1880" stopIfTrue="1" operator="equal">
      <formula>"Napkin Hs"</formula>
    </cfRule>
  </conditionalFormatting>
  <conditionalFormatting sqref="C114">
    <cfRule type="cellIs" dxfId="1825" priority="1889" stopIfTrue="1" operator="equal">
      <formula>"Towel"</formula>
    </cfRule>
    <cfRule type="cellIs" dxfId="1824" priority="1890" stopIfTrue="1" operator="equal">
      <formula>"Napkin Hs"</formula>
    </cfRule>
  </conditionalFormatting>
  <conditionalFormatting sqref="C114">
    <cfRule type="cellIs" dxfId="1823" priority="1887" stopIfTrue="1" operator="equal">
      <formula>"Towel"</formula>
    </cfRule>
    <cfRule type="cellIs" dxfId="1822" priority="1888" stopIfTrue="1" operator="equal">
      <formula>"Napkin Hs"</formula>
    </cfRule>
  </conditionalFormatting>
  <conditionalFormatting sqref="B114:C114">
    <cfRule type="cellIs" dxfId="1821" priority="1885" stopIfTrue="1" operator="equal">
      <formula>"Towel"</formula>
    </cfRule>
    <cfRule type="cellIs" dxfId="1820" priority="1886" stopIfTrue="1" operator="equal">
      <formula>"Napkin Hs"</formula>
    </cfRule>
  </conditionalFormatting>
  <conditionalFormatting sqref="B114:C114">
    <cfRule type="cellIs" dxfId="1819" priority="1895" stopIfTrue="1" operator="equal">
      <formula>"Towel"</formula>
    </cfRule>
    <cfRule type="cellIs" dxfId="1818" priority="1896" stopIfTrue="1" operator="equal">
      <formula>"Napkin Hs"</formula>
    </cfRule>
  </conditionalFormatting>
  <conditionalFormatting sqref="C114">
    <cfRule type="cellIs" dxfId="1817" priority="1893" stopIfTrue="1" operator="equal">
      <formula>"Towel"</formula>
    </cfRule>
    <cfRule type="cellIs" dxfId="1816" priority="1894" stopIfTrue="1" operator="equal">
      <formula>"Napkin Hs"</formula>
    </cfRule>
  </conditionalFormatting>
  <conditionalFormatting sqref="C114">
    <cfRule type="cellIs" dxfId="1815" priority="1891" stopIfTrue="1" operator="equal">
      <formula>"Towel"</formula>
    </cfRule>
    <cfRule type="cellIs" dxfId="1814" priority="1892" stopIfTrue="1" operator="equal">
      <formula>"Napkin Hs"</formula>
    </cfRule>
  </conditionalFormatting>
  <conditionalFormatting sqref="B114:C114">
    <cfRule type="cellIs" dxfId="1813" priority="1835" stopIfTrue="1" operator="equal">
      <formula>"Towel"</formula>
    </cfRule>
    <cfRule type="cellIs" dxfId="1812" priority="1836" stopIfTrue="1" operator="equal">
      <formula>"Napkin Hs"</formula>
    </cfRule>
  </conditionalFormatting>
  <conditionalFormatting sqref="C114">
    <cfRule type="cellIs" dxfId="1811" priority="1831" stopIfTrue="1" operator="equal">
      <formula>"Towel"</formula>
    </cfRule>
    <cfRule type="cellIs" dxfId="1810" priority="1832" stopIfTrue="1" operator="equal">
      <formula>"Napkin Hs"</formula>
    </cfRule>
  </conditionalFormatting>
  <conditionalFormatting sqref="C114">
    <cfRule type="cellIs" dxfId="1809" priority="1833" stopIfTrue="1" operator="equal">
      <formula>"Towel"</formula>
    </cfRule>
    <cfRule type="cellIs" dxfId="1808" priority="1834" stopIfTrue="1" operator="equal">
      <formula>"Napkin Hs"</formula>
    </cfRule>
  </conditionalFormatting>
  <conditionalFormatting sqref="B114:C114">
    <cfRule type="cellIs" dxfId="1807" priority="1793" stopIfTrue="1" operator="equal">
      <formula>"Towel"</formula>
    </cfRule>
    <cfRule type="cellIs" dxfId="1806" priority="1794" stopIfTrue="1" operator="equal">
      <formula>"Napkin Hs"</formula>
    </cfRule>
  </conditionalFormatting>
  <conditionalFormatting sqref="C114">
    <cfRule type="cellIs" dxfId="1805" priority="1791" stopIfTrue="1" operator="equal">
      <formula>"Towel"</formula>
    </cfRule>
    <cfRule type="cellIs" dxfId="1804" priority="1792" stopIfTrue="1" operator="equal">
      <formula>"Napkin Hs"</formula>
    </cfRule>
  </conditionalFormatting>
  <conditionalFormatting sqref="C114">
    <cfRule type="cellIs" dxfId="1803" priority="1789" stopIfTrue="1" operator="equal">
      <formula>"Towel"</formula>
    </cfRule>
    <cfRule type="cellIs" dxfId="1802" priority="1790" stopIfTrue="1" operator="equal">
      <formula>"Napkin Hs"</formula>
    </cfRule>
  </conditionalFormatting>
  <conditionalFormatting sqref="C114">
    <cfRule type="cellIs" dxfId="1801" priority="1781" stopIfTrue="1" operator="equal">
      <formula>"Towel"</formula>
    </cfRule>
    <cfRule type="cellIs" dxfId="1800" priority="1782" stopIfTrue="1" operator="equal">
      <formula>"Napkin Hs"</formula>
    </cfRule>
  </conditionalFormatting>
  <conditionalFormatting sqref="B114:C114">
    <cfRule type="cellIs" dxfId="1799" priority="1783" stopIfTrue="1" operator="equal">
      <formula>"Towel"</formula>
    </cfRule>
    <cfRule type="cellIs" dxfId="1798" priority="1784" stopIfTrue="1" operator="equal">
      <formula>"Napkin Hs"</formula>
    </cfRule>
  </conditionalFormatting>
  <conditionalFormatting sqref="C114">
    <cfRule type="cellIs" dxfId="1797" priority="1779" stopIfTrue="1" operator="equal">
      <formula>"Towel"</formula>
    </cfRule>
    <cfRule type="cellIs" dxfId="1796" priority="1780" stopIfTrue="1" operator="equal">
      <formula>"Napkin Hs"</formula>
    </cfRule>
  </conditionalFormatting>
  <conditionalFormatting sqref="B114:C114">
    <cfRule type="cellIs" dxfId="1795" priority="1777" stopIfTrue="1" operator="equal">
      <formula>"Towel"</formula>
    </cfRule>
    <cfRule type="cellIs" dxfId="1794" priority="1778" stopIfTrue="1" operator="equal">
      <formula>"Napkin Hs"</formula>
    </cfRule>
  </conditionalFormatting>
  <conditionalFormatting sqref="C114">
    <cfRule type="cellIs" dxfId="1793" priority="1785" stopIfTrue="1" operator="equal">
      <formula>"Towel"</formula>
    </cfRule>
    <cfRule type="cellIs" dxfId="1792" priority="1786" stopIfTrue="1" operator="equal">
      <formula>"Napkin Hs"</formula>
    </cfRule>
  </conditionalFormatting>
  <conditionalFormatting sqref="C114">
    <cfRule type="cellIs" dxfId="1791" priority="1787" stopIfTrue="1" operator="equal">
      <formula>"Towel"</formula>
    </cfRule>
    <cfRule type="cellIs" dxfId="1790" priority="1788" stopIfTrue="1" operator="equal">
      <formula>"Napkin Hs"</formula>
    </cfRule>
  </conditionalFormatting>
  <conditionalFormatting sqref="B119:C119">
    <cfRule type="cellIs" dxfId="1789" priority="1619" stopIfTrue="1" operator="equal">
      <formula>"Towel"</formula>
    </cfRule>
    <cfRule type="cellIs" dxfId="1788" priority="1620" stopIfTrue="1" operator="equal">
      <formula>"Napkin Hs"</formula>
    </cfRule>
  </conditionalFormatting>
  <conditionalFormatting sqref="C119">
    <cfRule type="cellIs" dxfId="1787" priority="1599" stopIfTrue="1" operator="equal">
      <formula>"Towel"</formula>
    </cfRule>
    <cfRule type="cellIs" dxfId="1786" priority="1600" stopIfTrue="1" operator="equal">
      <formula>"Napkin Hs"</formula>
    </cfRule>
  </conditionalFormatting>
  <conditionalFormatting sqref="B119:C119">
    <cfRule type="cellIs" dxfId="1785" priority="1597" stopIfTrue="1" operator="equal">
      <formula>"Towel"</formula>
    </cfRule>
    <cfRule type="cellIs" dxfId="1784" priority="1598" stopIfTrue="1" operator="equal">
      <formula>"Napkin Hs"</formula>
    </cfRule>
  </conditionalFormatting>
  <conditionalFormatting sqref="C119">
    <cfRule type="cellIs" dxfId="1783" priority="1605" stopIfTrue="1" operator="equal">
      <formula>"Towel"</formula>
    </cfRule>
    <cfRule type="cellIs" dxfId="1782" priority="1606" stopIfTrue="1" operator="equal">
      <formula>"Napkin Hs"</formula>
    </cfRule>
  </conditionalFormatting>
  <conditionalFormatting sqref="B119:C119">
    <cfRule type="cellIs" dxfId="1781" priority="1603" stopIfTrue="1" operator="equal">
      <formula>"Towel"</formula>
    </cfRule>
    <cfRule type="cellIs" dxfId="1780" priority="1604" stopIfTrue="1" operator="equal">
      <formula>"Napkin Hs"</formula>
    </cfRule>
  </conditionalFormatting>
  <conditionalFormatting sqref="C119">
    <cfRule type="cellIs" dxfId="1779" priority="1601" stopIfTrue="1" operator="equal">
      <formula>"Towel"</formula>
    </cfRule>
    <cfRule type="cellIs" dxfId="1778" priority="1602" stopIfTrue="1" operator="equal">
      <formula>"Napkin Hs"</formula>
    </cfRule>
  </conditionalFormatting>
  <conditionalFormatting sqref="C119">
    <cfRule type="cellIs" dxfId="1777" priority="1611" stopIfTrue="1" operator="equal">
      <formula>"Towel"</formula>
    </cfRule>
    <cfRule type="cellIs" dxfId="1776" priority="1612" stopIfTrue="1" operator="equal">
      <formula>"Napkin Hs"</formula>
    </cfRule>
  </conditionalFormatting>
  <conditionalFormatting sqref="C119">
    <cfRule type="cellIs" dxfId="1775" priority="1609" stopIfTrue="1" operator="equal">
      <formula>"Towel"</formula>
    </cfRule>
    <cfRule type="cellIs" dxfId="1774" priority="1610" stopIfTrue="1" operator="equal">
      <formula>"Napkin Hs"</formula>
    </cfRule>
  </conditionalFormatting>
  <conditionalFormatting sqref="C119">
    <cfRule type="cellIs" dxfId="1773" priority="1607" stopIfTrue="1" operator="equal">
      <formula>"Towel"</formula>
    </cfRule>
    <cfRule type="cellIs" dxfId="1772" priority="1608" stopIfTrue="1" operator="equal">
      <formula>"Napkin Hs"</formula>
    </cfRule>
  </conditionalFormatting>
  <conditionalFormatting sqref="C119">
    <cfRule type="cellIs" dxfId="1771" priority="1615" stopIfTrue="1" operator="equal">
      <formula>"Towel"</formula>
    </cfRule>
    <cfRule type="cellIs" dxfId="1770" priority="1616" stopIfTrue="1" operator="equal">
      <formula>"Napkin Hs"</formula>
    </cfRule>
  </conditionalFormatting>
  <conditionalFormatting sqref="C119">
    <cfRule type="cellIs" dxfId="1769" priority="1617" stopIfTrue="1" operator="equal">
      <formula>"Towel"</formula>
    </cfRule>
    <cfRule type="cellIs" dxfId="1768" priority="1618" stopIfTrue="1" operator="equal">
      <formula>"Napkin Hs"</formula>
    </cfRule>
  </conditionalFormatting>
  <conditionalFormatting sqref="B119:C119">
    <cfRule type="cellIs" dxfId="1767" priority="1613" stopIfTrue="1" operator="equal">
      <formula>"Towel"</formula>
    </cfRule>
    <cfRule type="cellIs" dxfId="1766" priority="1614" stopIfTrue="1" operator="equal">
      <formula>"Napkin Hs"</formula>
    </cfRule>
  </conditionalFormatting>
  <conditionalFormatting sqref="B134:C134">
    <cfRule type="cellIs" dxfId="1765" priority="1491" stopIfTrue="1" operator="equal">
      <formula>"Towel"</formula>
    </cfRule>
    <cfRule type="cellIs" dxfId="1764" priority="1492" stopIfTrue="1" operator="equal">
      <formula>"Napkin Hs"</formula>
    </cfRule>
  </conditionalFormatting>
  <conditionalFormatting sqref="C134">
    <cfRule type="cellIs" dxfId="1763" priority="1490" stopIfTrue="1" operator="equal">
      <formula>"Napkin Hs"</formula>
    </cfRule>
  </conditionalFormatting>
  <conditionalFormatting sqref="C134">
    <cfRule type="cellIs" dxfId="1762" priority="1489" stopIfTrue="1" operator="equal">
      <formula>"Towel"</formula>
    </cfRule>
  </conditionalFormatting>
  <conditionalFormatting sqref="C134">
    <cfRule type="cellIs" dxfId="1761" priority="1487" stopIfTrue="1" operator="equal">
      <formula>"Towel"</formula>
    </cfRule>
    <cfRule type="cellIs" dxfId="1760" priority="1488" stopIfTrue="1" operator="equal">
      <formula>"Napkin Hs"</formula>
    </cfRule>
  </conditionalFormatting>
  <conditionalFormatting sqref="B159:C159 B165:C165">
    <cfRule type="cellIs" dxfId="1759" priority="1153" stopIfTrue="1" operator="equal">
      <formula>"Towel"</formula>
    </cfRule>
    <cfRule type="cellIs" dxfId="1758" priority="1154" stopIfTrue="1" operator="equal">
      <formula>"Napkin Hs"</formula>
    </cfRule>
  </conditionalFormatting>
  <conditionalFormatting sqref="C159 C165">
    <cfRule type="cellIs" dxfId="1757" priority="1152" stopIfTrue="1" operator="equal">
      <formula>"Napkin Hs"</formula>
    </cfRule>
  </conditionalFormatting>
  <conditionalFormatting sqref="C159 C165">
    <cfRule type="cellIs" dxfId="1756" priority="1151" stopIfTrue="1" operator="equal">
      <formula>"Towel"</formula>
    </cfRule>
  </conditionalFormatting>
  <conditionalFormatting sqref="C159 C165">
    <cfRule type="cellIs" dxfId="1755" priority="1149" stopIfTrue="1" operator="equal">
      <formula>"Towel"</formula>
    </cfRule>
    <cfRule type="cellIs" dxfId="1754" priority="1150" stopIfTrue="1" operator="equal">
      <formula>"Napkin Hs"</formula>
    </cfRule>
  </conditionalFormatting>
  <conditionalFormatting sqref="B149:C149">
    <cfRule type="cellIs" dxfId="1753" priority="973" stopIfTrue="1" operator="equal">
      <formula>"Towel"</formula>
    </cfRule>
    <cfRule type="cellIs" dxfId="1752" priority="974" stopIfTrue="1" operator="equal">
      <formula>"Napkin Hs"</formula>
    </cfRule>
  </conditionalFormatting>
  <conditionalFormatting sqref="C149">
    <cfRule type="cellIs" dxfId="1751" priority="969" stopIfTrue="1" operator="equal">
      <formula>"Towel"</formula>
    </cfRule>
    <cfRule type="cellIs" dxfId="1750" priority="970" stopIfTrue="1" operator="equal">
      <formula>"Napkin Hs"</formula>
    </cfRule>
  </conditionalFormatting>
  <conditionalFormatting sqref="C149">
    <cfRule type="cellIs" dxfId="1749" priority="971" stopIfTrue="1" operator="equal">
      <formula>"Towel"</formula>
    </cfRule>
    <cfRule type="cellIs" dxfId="1748" priority="972" stopIfTrue="1" operator="equal">
      <formula>"Napkin Hs"</formula>
    </cfRule>
  </conditionalFormatting>
  <conditionalFormatting sqref="B149:C149">
    <cfRule type="cellIs" dxfId="1747" priority="967" stopIfTrue="1" operator="equal">
      <formula>"Towel"</formula>
    </cfRule>
    <cfRule type="cellIs" dxfId="1746" priority="968" stopIfTrue="1" operator="equal">
      <formula>"Napkin Hs"</formula>
    </cfRule>
  </conditionalFormatting>
  <conditionalFormatting sqref="C149">
    <cfRule type="cellIs" dxfId="1745" priority="965" stopIfTrue="1" operator="equal">
      <formula>"Towel"</formula>
    </cfRule>
    <cfRule type="cellIs" dxfId="1744" priority="966" stopIfTrue="1" operator="equal">
      <formula>"Napkin Hs"</formula>
    </cfRule>
  </conditionalFormatting>
  <conditionalFormatting sqref="C149">
    <cfRule type="cellIs" dxfId="1743" priority="963" stopIfTrue="1" operator="equal">
      <formula>"Towel"</formula>
    </cfRule>
    <cfRule type="cellIs" dxfId="1742" priority="964" stopIfTrue="1" operator="equal">
      <formula>"Napkin Hs"</formula>
    </cfRule>
  </conditionalFormatting>
  <conditionalFormatting sqref="C149">
    <cfRule type="cellIs" dxfId="1741" priority="955" stopIfTrue="1" operator="equal">
      <formula>"Towel"</formula>
    </cfRule>
    <cfRule type="cellIs" dxfId="1740" priority="956" stopIfTrue="1" operator="equal">
      <formula>"Napkin Hs"</formula>
    </cfRule>
  </conditionalFormatting>
  <conditionalFormatting sqref="B149:C149">
    <cfRule type="cellIs" dxfId="1739" priority="957" stopIfTrue="1" operator="equal">
      <formula>"Towel"</formula>
    </cfRule>
    <cfRule type="cellIs" dxfId="1738" priority="958" stopIfTrue="1" operator="equal">
      <formula>"Napkin Hs"</formula>
    </cfRule>
  </conditionalFormatting>
  <conditionalFormatting sqref="C149">
    <cfRule type="cellIs" dxfId="1737" priority="953" stopIfTrue="1" operator="equal">
      <formula>"Towel"</formula>
    </cfRule>
    <cfRule type="cellIs" dxfId="1736" priority="954" stopIfTrue="1" operator="equal">
      <formula>"Napkin Hs"</formula>
    </cfRule>
  </conditionalFormatting>
  <conditionalFormatting sqref="B149:C149">
    <cfRule type="cellIs" dxfId="1735" priority="951" stopIfTrue="1" operator="equal">
      <formula>"Towel"</formula>
    </cfRule>
    <cfRule type="cellIs" dxfId="1734" priority="952" stopIfTrue="1" operator="equal">
      <formula>"Napkin Hs"</formula>
    </cfRule>
  </conditionalFormatting>
  <conditionalFormatting sqref="C149">
    <cfRule type="cellIs" dxfId="1733" priority="959" stopIfTrue="1" operator="equal">
      <formula>"Towel"</formula>
    </cfRule>
    <cfRule type="cellIs" dxfId="1732" priority="960" stopIfTrue="1" operator="equal">
      <formula>"Napkin Hs"</formula>
    </cfRule>
  </conditionalFormatting>
  <conditionalFormatting sqref="C149">
    <cfRule type="cellIs" dxfId="1731" priority="961" stopIfTrue="1" operator="equal">
      <formula>"Towel"</formula>
    </cfRule>
    <cfRule type="cellIs" dxfId="1730" priority="962" stopIfTrue="1" operator="equal">
      <formula>"Napkin Hs"</formula>
    </cfRule>
  </conditionalFormatting>
  <conditionalFormatting sqref="B154:C154">
    <cfRule type="cellIs" dxfId="1729" priority="895" stopIfTrue="1" operator="equal">
      <formula>"Towel"</formula>
    </cfRule>
    <cfRule type="cellIs" dxfId="1728" priority="896" stopIfTrue="1" operator="equal">
      <formula>"Napkin Hs"</formula>
    </cfRule>
  </conditionalFormatting>
  <conditionalFormatting sqref="C154">
    <cfRule type="cellIs" dxfId="1727" priority="891" stopIfTrue="1" operator="equal">
      <formula>"Towel"</formula>
    </cfRule>
    <cfRule type="cellIs" dxfId="1726" priority="892" stopIfTrue="1" operator="equal">
      <formula>"Napkin Hs"</formula>
    </cfRule>
  </conditionalFormatting>
  <conditionalFormatting sqref="C154">
    <cfRule type="cellIs" dxfId="1725" priority="893" stopIfTrue="1" operator="equal">
      <formula>"Towel"</formula>
    </cfRule>
    <cfRule type="cellIs" dxfId="1724" priority="894" stopIfTrue="1" operator="equal">
      <formula>"Napkin Hs"</formula>
    </cfRule>
  </conditionalFormatting>
  <conditionalFormatting sqref="B154:C154">
    <cfRule type="cellIs" dxfId="1723" priority="889" stopIfTrue="1" operator="equal">
      <formula>"Towel"</formula>
    </cfRule>
    <cfRule type="cellIs" dxfId="1722" priority="890" stopIfTrue="1" operator="equal">
      <formula>"Napkin Hs"</formula>
    </cfRule>
  </conditionalFormatting>
  <conditionalFormatting sqref="C154">
    <cfRule type="cellIs" dxfId="1721" priority="887" stopIfTrue="1" operator="equal">
      <formula>"Towel"</formula>
    </cfRule>
    <cfRule type="cellIs" dxfId="1720" priority="888" stopIfTrue="1" operator="equal">
      <formula>"Napkin Hs"</formula>
    </cfRule>
  </conditionalFormatting>
  <conditionalFormatting sqref="C154">
    <cfRule type="cellIs" dxfId="1719" priority="885" stopIfTrue="1" operator="equal">
      <formula>"Towel"</formula>
    </cfRule>
    <cfRule type="cellIs" dxfId="1718" priority="886" stopIfTrue="1" operator="equal">
      <formula>"Napkin Hs"</formula>
    </cfRule>
  </conditionalFormatting>
  <conditionalFormatting sqref="C154">
    <cfRule type="cellIs" dxfId="1717" priority="877" stopIfTrue="1" operator="equal">
      <formula>"Towel"</formula>
    </cfRule>
    <cfRule type="cellIs" dxfId="1716" priority="878" stopIfTrue="1" operator="equal">
      <formula>"Napkin Hs"</formula>
    </cfRule>
  </conditionalFormatting>
  <conditionalFormatting sqref="B154:C154">
    <cfRule type="cellIs" dxfId="1715" priority="879" stopIfTrue="1" operator="equal">
      <formula>"Towel"</formula>
    </cfRule>
    <cfRule type="cellIs" dxfId="1714" priority="880" stopIfTrue="1" operator="equal">
      <formula>"Napkin Hs"</formula>
    </cfRule>
  </conditionalFormatting>
  <conditionalFormatting sqref="C154">
    <cfRule type="cellIs" dxfId="1713" priority="875" stopIfTrue="1" operator="equal">
      <formula>"Towel"</formula>
    </cfRule>
    <cfRule type="cellIs" dxfId="1712" priority="876" stopIfTrue="1" operator="equal">
      <formula>"Napkin Hs"</formula>
    </cfRule>
  </conditionalFormatting>
  <conditionalFormatting sqref="B154:C154">
    <cfRule type="cellIs" dxfId="1711" priority="873" stopIfTrue="1" operator="equal">
      <formula>"Towel"</formula>
    </cfRule>
    <cfRule type="cellIs" dxfId="1710" priority="874" stopIfTrue="1" operator="equal">
      <formula>"Napkin Hs"</formula>
    </cfRule>
  </conditionalFormatting>
  <conditionalFormatting sqref="C154">
    <cfRule type="cellIs" dxfId="1709" priority="881" stopIfTrue="1" operator="equal">
      <formula>"Towel"</formula>
    </cfRule>
    <cfRule type="cellIs" dxfId="1708" priority="882" stopIfTrue="1" operator="equal">
      <formula>"Napkin Hs"</formula>
    </cfRule>
  </conditionalFormatting>
  <conditionalFormatting sqref="C154">
    <cfRule type="cellIs" dxfId="1707" priority="883" stopIfTrue="1" operator="equal">
      <formula>"Towel"</formula>
    </cfRule>
    <cfRule type="cellIs" dxfId="1706" priority="884" stopIfTrue="1" operator="equal">
      <formula>"Napkin Hs"</formula>
    </cfRule>
  </conditionalFormatting>
  <conditionalFormatting sqref="B6:C9">
    <cfRule type="cellIs" dxfId="1705" priority="847" stopIfTrue="1" operator="equal">
      <formula>"Towel"</formula>
    </cfRule>
    <cfRule type="cellIs" dxfId="1704" priority="848" stopIfTrue="1" operator="equal">
      <formula>"Napkin Hs"</formula>
    </cfRule>
  </conditionalFormatting>
  <conditionalFormatting sqref="C6:C9">
    <cfRule type="cellIs" dxfId="1703" priority="846" stopIfTrue="1" operator="equal">
      <formula>"Napkin Hs"</formula>
    </cfRule>
  </conditionalFormatting>
  <conditionalFormatting sqref="C6:C9">
    <cfRule type="cellIs" dxfId="1702" priority="843" stopIfTrue="1" operator="equal">
      <formula>"Towel"</formula>
    </cfRule>
    <cfRule type="cellIs" dxfId="1701" priority="844" stopIfTrue="1" operator="equal">
      <formula>"Napkin Hs"</formula>
    </cfRule>
  </conditionalFormatting>
  <conditionalFormatting sqref="C6:C9">
    <cfRule type="cellIs" dxfId="1700" priority="845" stopIfTrue="1" operator="equal">
      <formula>"Towel"</formula>
    </cfRule>
  </conditionalFormatting>
  <conditionalFormatting sqref="B18:C18">
    <cfRule type="cellIs" dxfId="1699" priority="823" stopIfTrue="1" operator="equal">
      <formula>"Towel"</formula>
    </cfRule>
    <cfRule type="cellIs" dxfId="1698" priority="824" stopIfTrue="1" operator="equal">
      <formula>"Napkin Hs"</formula>
    </cfRule>
  </conditionalFormatting>
  <conditionalFormatting sqref="C18">
    <cfRule type="cellIs" dxfId="1697" priority="822" stopIfTrue="1" operator="equal">
      <formula>"Napkin Hs"</formula>
    </cfRule>
  </conditionalFormatting>
  <conditionalFormatting sqref="C18">
    <cfRule type="cellIs" dxfId="1696" priority="819" stopIfTrue="1" operator="equal">
      <formula>"Towel"</formula>
    </cfRule>
    <cfRule type="cellIs" dxfId="1695" priority="820" stopIfTrue="1" operator="equal">
      <formula>"Napkin Hs"</formula>
    </cfRule>
  </conditionalFormatting>
  <conditionalFormatting sqref="C18">
    <cfRule type="cellIs" dxfId="1694" priority="821" stopIfTrue="1" operator="equal">
      <formula>"Towel"</formula>
    </cfRule>
  </conditionalFormatting>
  <conditionalFormatting sqref="B24:C24">
    <cfRule type="cellIs" dxfId="1693" priority="817" stopIfTrue="1" operator="equal">
      <formula>"Towel"</formula>
    </cfRule>
    <cfRule type="cellIs" dxfId="1692" priority="818" stopIfTrue="1" operator="equal">
      <formula>"Napkin Hs"</formula>
    </cfRule>
  </conditionalFormatting>
  <conditionalFormatting sqref="C24">
    <cfRule type="cellIs" dxfId="1691" priority="816" stopIfTrue="1" operator="equal">
      <formula>"Napkin Hs"</formula>
    </cfRule>
  </conditionalFormatting>
  <conditionalFormatting sqref="C24">
    <cfRule type="cellIs" dxfId="1690" priority="813" stopIfTrue="1" operator="equal">
      <formula>"Towel"</formula>
    </cfRule>
    <cfRule type="cellIs" dxfId="1689" priority="814" stopIfTrue="1" operator="equal">
      <formula>"Napkin Hs"</formula>
    </cfRule>
  </conditionalFormatting>
  <conditionalFormatting sqref="C24">
    <cfRule type="cellIs" dxfId="1688" priority="815" stopIfTrue="1" operator="equal">
      <formula>"Towel"</formula>
    </cfRule>
  </conditionalFormatting>
  <conditionalFormatting sqref="B31:C31">
    <cfRule type="cellIs" dxfId="1687" priority="783" stopIfTrue="1" operator="equal">
      <formula>"Towel"</formula>
    </cfRule>
    <cfRule type="cellIs" dxfId="1686" priority="784" stopIfTrue="1" operator="equal">
      <formula>"Napkin Hs"</formula>
    </cfRule>
  </conditionalFormatting>
  <conditionalFormatting sqref="C31">
    <cfRule type="cellIs" dxfId="1685" priority="782" stopIfTrue="1" operator="equal">
      <formula>"Napkin Hs"</formula>
    </cfRule>
  </conditionalFormatting>
  <conditionalFormatting sqref="C31">
    <cfRule type="cellIs" dxfId="1684" priority="779" stopIfTrue="1" operator="equal">
      <formula>"Towel"</formula>
    </cfRule>
    <cfRule type="cellIs" dxfId="1683" priority="780" stopIfTrue="1" operator="equal">
      <formula>"Napkin Hs"</formula>
    </cfRule>
  </conditionalFormatting>
  <conditionalFormatting sqref="C31">
    <cfRule type="cellIs" dxfId="1682" priority="781" stopIfTrue="1" operator="equal">
      <formula>"Towel"</formula>
    </cfRule>
  </conditionalFormatting>
  <conditionalFormatting sqref="B37:C37">
    <cfRule type="cellIs" dxfId="1681" priority="753" stopIfTrue="1" operator="equal">
      <formula>"Towel"</formula>
    </cfRule>
    <cfRule type="cellIs" dxfId="1680" priority="754" stopIfTrue="1" operator="equal">
      <formula>"Napkin Hs"</formula>
    </cfRule>
  </conditionalFormatting>
  <conditionalFormatting sqref="C37">
    <cfRule type="cellIs" dxfId="1679" priority="752" stopIfTrue="1" operator="equal">
      <formula>"Napkin Hs"</formula>
    </cfRule>
  </conditionalFormatting>
  <conditionalFormatting sqref="C37">
    <cfRule type="cellIs" dxfId="1678" priority="749" stopIfTrue="1" operator="equal">
      <formula>"Towel"</formula>
    </cfRule>
    <cfRule type="cellIs" dxfId="1677" priority="750" stopIfTrue="1" operator="equal">
      <formula>"Napkin Hs"</formula>
    </cfRule>
  </conditionalFormatting>
  <conditionalFormatting sqref="C37">
    <cfRule type="cellIs" dxfId="1676" priority="751" stopIfTrue="1" operator="equal">
      <formula>"Towel"</formula>
    </cfRule>
  </conditionalFormatting>
  <conditionalFormatting sqref="C16:C17">
    <cfRule type="cellIs" dxfId="1675" priority="745" stopIfTrue="1" operator="equal">
      <formula>"Towel"</formula>
    </cfRule>
    <cfRule type="cellIs" dxfId="1674" priority="746" stopIfTrue="1" operator="equal">
      <formula>"Napkin Hs"</formula>
    </cfRule>
  </conditionalFormatting>
  <conditionalFormatting sqref="C16:C17">
    <cfRule type="cellIs" dxfId="1673" priority="747" stopIfTrue="1" operator="equal">
      <formula>"Towel"</formula>
    </cfRule>
    <cfRule type="cellIs" dxfId="1672" priority="748" stopIfTrue="1" operator="equal">
      <formula>"Napkin Hs"</formula>
    </cfRule>
  </conditionalFormatting>
  <conditionalFormatting sqref="B16:C17">
    <cfRule type="cellIs" dxfId="1671" priority="743" stopIfTrue="1" operator="equal">
      <formula>"Towel"</formula>
    </cfRule>
    <cfRule type="cellIs" dxfId="1670" priority="744" stopIfTrue="1" operator="equal">
      <formula>"Napkin Hs"</formula>
    </cfRule>
  </conditionalFormatting>
  <conditionalFormatting sqref="B16:C17">
    <cfRule type="cellIs" dxfId="1669" priority="737" stopIfTrue="1" operator="equal">
      <formula>"Towel"</formula>
    </cfRule>
    <cfRule type="cellIs" dxfId="1668" priority="738" stopIfTrue="1" operator="equal">
      <formula>"Napkin Hs"</formula>
    </cfRule>
  </conditionalFormatting>
  <conditionalFormatting sqref="C16:C17">
    <cfRule type="cellIs" dxfId="1667" priority="739" stopIfTrue="1" operator="equal">
      <formula>"Towel"</formula>
    </cfRule>
    <cfRule type="cellIs" dxfId="1666" priority="740" stopIfTrue="1" operator="equal">
      <formula>"Napkin Hs"</formula>
    </cfRule>
  </conditionalFormatting>
  <conditionalFormatting sqref="C16:C17">
    <cfRule type="cellIs" dxfId="1665" priority="741" stopIfTrue="1" operator="equal">
      <formula>"Towel"</formula>
    </cfRule>
    <cfRule type="cellIs" dxfId="1664" priority="742" stopIfTrue="1" operator="equal">
      <formula>"Napkin Hs"</formula>
    </cfRule>
  </conditionalFormatting>
  <conditionalFormatting sqref="B14:C15">
    <cfRule type="cellIs" dxfId="1663" priority="735" stopIfTrue="1" operator="equal">
      <formula>"Towel"</formula>
    </cfRule>
    <cfRule type="cellIs" dxfId="1662" priority="736" stopIfTrue="1" operator="equal">
      <formula>"Napkin Hs"</formula>
    </cfRule>
  </conditionalFormatting>
  <conditionalFormatting sqref="C14:C15">
    <cfRule type="cellIs" dxfId="1661" priority="734" stopIfTrue="1" operator="equal">
      <formula>"Napkin Hs"</formula>
    </cfRule>
  </conditionalFormatting>
  <conditionalFormatting sqref="C14:C15">
    <cfRule type="cellIs" dxfId="1660" priority="731" stopIfTrue="1" operator="equal">
      <formula>"Towel"</formula>
    </cfRule>
    <cfRule type="cellIs" dxfId="1659" priority="732" stopIfTrue="1" operator="equal">
      <formula>"Napkin Hs"</formula>
    </cfRule>
  </conditionalFormatting>
  <conditionalFormatting sqref="C14:C15">
    <cfRule type="cellIs" dxfId="1658" priority="733" stopIfTrue="1" operator="equal">
      <formula>"Towel"</formula>
    </cfRule>
  </conditionalFormatting>
  <conditionalFormatting sqref="B13:C13">
    <cfRule type="cellIs" dxfId="1657" priority="729" stopIfTrue="1" operator="equal">
      <formula>"Towel"</formula>
    </cfRule>
    <cfRule type="cellIs" dxfId="1656" priority="730" stopIfTrue="1" operator="equal">
      <formula>"Napkin Hs"</formula>
    </cfRule>
  </conditionalFormatting>
  <conditionalFormatting sqref="C13">
    <cfRule type="cellIs" dxfId="1655" priority="728" stopIfTrue="1" operator="equal">
      <formula>"Napkin Hs"</formula>
    </cfRule>
  </conditionalFormatting>
  <conditionalFormatting sqref="C13">
    <cfRule type="cellIs" dxfId="1654" priority="725" stopIfTrue="1" operator="equal">
      <formula>"Towel"</formula>
    </cfRule>
    <cfRule type="cellIs" dxfId="1653" priority="726" stopIfTrue="1" operator="equal">
      <formula>"Napkin Hs"</formula>
    </cfRule>
  </conditionalFormatting>
  <conditionalFormatting sqref="C13">
    <cfRule type="cellIs" dxfId="1652" priority="727" stopIfTrue="1" operator="equal">
      <formula>"Towel"</formula>
    </cfRule>
  </conditionalFormatting>
  <conditionalFormatting sqref="C12">
    <cfRule type="cellIs" dxfId="1651" priority="723" stopIfTrue="1" operator="equal">
      <formula>"Towel"</formula>
    </cfRule>
    <cfRule type="cellIs" dxfId="1650" priority="724" stopIfTrue="1" operator="equal">
      <formula>"Napkin Hs"</formula>
    </cfRule>
  </conditionalFormatting>
  <conditionalFormatting sqref="C12">
    <cfRule type="cellIs" dxfId="1649" priority="722" stopIfTrue="1" operator="equal">
      <formula>"Napkin Hs"</formula>
    </cfRule>
  </conditionalFormatting>
  <conditionalFormatting sqref="C12">
    <cfRule type="cellIs" dxfId="1648" priority="719" stopIfTrue="1" operator="equal">
      <formula>"Towel"</formula>
    </cfRule>
    <cfRule type="cellIs" dxfId="1647" priority="720" stopIfTrue="1" operator="equal">
      <formula>"Napkin Hs"</formula>
    </cfRule>
  </conditionalFormatting>
  <conditionalFormatting sqref="C12">
    <cfRule type="cellIs" dxfId="1646" priority="721" stopIfTrue="1" operator="equal">
      <formula>"Towel"</formula>
    </cfRule>
  </conditionalFormatting>
  <conditionalFormatting sqref="C20 B21:C23">
    <cfRule type="cellIs" dxfId="1645" priority="717" stopIfTrue="1" operator="equal">
      <formula>"Towel"</formula>
    </cfRule>
    <cfRule type="cellIs" dxfId="1644" priority="718" stopIfTrue="1" operator="equal">
      <formula>"Napkin Hs"</formula>
    </cfRule>
  </conditionalFormatting>
  <conditionalFormatting sqref="C20:C23">
    <cfRule type="cellIs" dxfId="1643" priority="716" stopIfTrue="1" operator="equal">
      <formula>"Napkin Hs"</formula>
    </cfRule>
  </conditionalFormatting>
  <conditionalFormatting sqref="C20:C23">
    <cfRule type="cellIs" dxfId="1642" priority="713" stopIfTrue="1" operator="equal">
      <formula>"Towel"</formula>
    </cfRule>
    <cfRule type="cellIs" dxfId="1641" priority="714" stopIfTrue="1" operator="equal">
      <formula>"Napkin Hs"</formula>
    </cfRule>
  </conditionalFormatting>
  <conditionalFormatting sqref="C20:C23">
    <cfRule type="cellIs" dxfId="1640" priority="715" stopIfTrue="1" operator="equal">
      <formula>"Towel"</formula>
    </cfRule>
  </conditionalFormatting>
  <conditionalFormatting sqref="C19">
    <cfRule type="cellIs" dxfId="1639" priority="711" stopIfTrue="1" operator="equal">
      <formula>"Towel"</formula>
    </cfRule>
    <cfRule type="cellIs" dxfId="1638" priority="712" stopIfTrue="1" operator="equal">
      <formula>"Napkin Hs"</formula>
    </cfRule>
  </conditionalFormatting>
  <conditionalFormatting sqref="C19">
    <cfRule type="cellIs" dxfId="1637" priority="710" stopIfTrue="1" operator="equal">
      <formula>"Napkin Hs"</formula>
    </cfRule>
  </conditionalFormatting>
  <conditionalFormatting sqref="C19">
    <cfRule type="cellIs" dxfId="1636" priority="707" stopIfTrue="1" operator="equal">
      <formula>"Towel"</formula>
    </cfRule>
    <cfRule type="cellIs" dxfId="1635" priority="708" stopIfTrue="1" operator="equal">
      <formula>"Napkin Hs"</formula>
    </cfRule>
  </conditionalFormatting>
  <conditionalFormatting sqref="C19">
    <cfRule type="cellIs" dxfId="1634" priority="709" stopIfTrue="1" operator="equal">
      <formula>"Towel"</formula>
    </cfRule>
  </conditionalFormatting>
  <conditionalFormatting sqref="B12">
    <cfRule type="cellIs" dxfId="1633" priority="705" stopIfTrue="1" operator="equal">
      <formula>"Towel"</formula>
    </cfRule>
    <cfRule type="cellIs" dxfId="1632" priority="706" stopIfTrue="1" operator="equal">
      <formula>"Napkin Hs"</formula>
    </cfRule>
  </conditionalFormatting>
  <conditionalFormatting sqref="B19:B20">
    <cfRule type="cellIs" dxfId="1631" priority="703" stopIfTrue="1" operator="equal">
      <formula>"Towel"</formula>
    </cfRule>
    <cfRule type="cellIs" dxfId="1630" priority="704" stopIfTrue="1" operator="equal">
      <formula>"Napkin Hs"</formula>
    </cfRule>
  </conditionalFormatting>
  <conditionalFormatting sqref="C26 B27:C28">
    <cfRule type="cellIs" dxfId="1629" priority="701" stopIfTrue="1" operator="equal">
      <formula>"Towel"</formula>
    </cfRule>
    <cfRule type="cellIs" dxfId="1628" priority="702" stopIfTrue="1" operator="equal">
      <formula>"Napkin Hs"</formula>
    </cfRule>
  </conditionalFormatting>
  <conditionalFormatting sqref="C26:C28">
    <cfRule type="cellIs" dxfId="1627" priority="700" stopIfTrue="1" operator="equal">
      <formula>"Napkin Hs"</formula>
    </cfRule>
  </conditionalFormatting>
  <conditionalFormatting sqref="C26:C28">
    <cfRule type="cellIs" dxfId="1626" priority="697" stopIfTrue="1" operator="equal">
      <formula>"Towel"</formula>
    </cfRule>
    <cfRule type="cellIs" dxfId="1625" priority="698" stopIfTrue="1" operator="equal">
      <formula>"Napkin Hs"</formula>
    </cfRule>
  </conditionalFormatting>
  <conditionalFormatting sqref="C26:C28">
    <cfRule type="cellIs" dxfId="1624" priority="699" stopIfTrue="1" operator="equal">
      <formula>"Towel"</formula>
    </cfRule>
  </conditionalFormatting>
  <conditionalFormatting sqref="C25">
    <cfRule type="cellIs" dxfId="1623" priority="695" stopIfTrue="1" operator="equal">
      <formula>"Towel"</formula>
    </cfRule>
    <cfRule type="cellIs" dxfId="1622" priority="696" stopIfTrue="1" operator="equal">
      <formula>"Napkin Hs"</formula>
    </cfRule>
  </conditionalFormatting>
  <conditionalFormatting sqref="C25">
    <cfRule type="cellIs" dxfId="1621" priority="694" stopIfTrue="1" operator="equal">
      <formula>"Napkin Hs"</formula>
    </cfRule>
  </conditionalFormatting>
  <conditionalFormatting sqref="C25">
    <cfRule type="cellIs" dxfId="1620" priority="691" stopIfTrue="1" operator="equal">
      <formula>"Towel"</formula>
    </cfRule>
    <cfRule type="cellIs" dxfId="1619" priority="692" stopIfTrue="1" operator="equal">
      <formula>"Napkin Hs"</formula>
    </cfRule>
  </conditionalFormatting>
  <conditionalFormatting sqref="C25">
    <cfRule type="cellIs" dxfId="1618" priority="693" stopIfTrue="1" operator="equal">
      <formula>"Towel"</formula>
    </cfRule>
  </conditionalFormatting>
  <conditionalFormatting sqref="B25:B26">
    <cfRule type="cellIs" dxfId="1617" priority="689" stopIfTrue="1" operator="equal">
      <formula>"Towel"</formula>
    </cfRule>
    <cfRule type="cellIs" dxfId="1616" priority="690" stopIfTrue="1" operator="equal">
      <formula>"Napkin Hs"</formula>
    </cfRule>
  </conditionalFormatting>
  <conditionalFormatting sqref="B29:C29">
    <cfRule type="cellIs" dxfId="1615" priority="687" stopIfTrue="1" operator="equal">
      <formula>"Towel"</formula>
    </cfRule>
    <cfRule type="cellIs" dxfId="1614" priority="688" stopIfTrue="1" operator="equal">
      <formula>"Napkin Hs"</formula>
    </cfRule>
  </conditionalFormatting>
  <conditionalFormatting sqref="C29">
    <cfRule type="cellIs" dxfId="1613" priority="686" stopIfTrue="1" operator="equal">
      <formula>"Napkin Hs"</formula>
    </cfRule>
  </conditionalFormatting>
  <conditionalFormatting sqref="C29">
    <cfRule type="cellIs" dxfId="1612" priority="683" stopIfTrue="1" operator="equal">
      <formula>"Towel"</formula>
    </cfRule>
    <cfRule type="cellIs" dxfId="1611" priority="684" stopIfTrue="1" operator="equal">
      <formula>"Napkin Hs"</formula>
    </cfRule>
  </conditionalFormatting>
  <conditionalFormatting sqref="C29">
    <cfRule type="cellIs" dxfId="1610" priority="685" stopIfTrue="1" operator="equal">
      <formula>"Towel"</formula>
    </cfRule>
  </conditionalFormatting>
  <conditionalFormatting sqref="C30">
    <cfRule type="cellIs" dxfId="1609" priority="679" stopIfTrue="1" operator="equal">
      <formula>"Towel"</formula>
    </cfRule>
    <cfRule type="cellIs" dxfId="1608" priority="680" stopIfTrue="1" operator="equal">
      <formula>"Napkin Hs"</formula>
    </cfRule>
  </conditionalFormatting>
  <conditionalFormatting sqref="C30">
    <cfRule type="cellIs" dxfId="1607" priority="681" stopIfTrue="1" operator="equal">
      <formula>"Towel"</formula>
    </cfRule>
    <cfRule type="cellIs" dxfId="1606" priority="682" stopIfTrue="1" operator="equal">
      <formula>"Napkin Hs"</formula>
    </cfRule>
  </conditionalFormatting>
  <conditionalFormatting sqref="B30:C30">
    <cfRule type="cellIs" dxfId="1605" priority="677" stopIfTrue="1" operator="equal">
      <formula>"Towel"</formula>
    </cfRule>
    <cfRule type="cellIs" dxfId="1604" priority="678" stopIfTrue="1" operator="equal">
      <formula>"Napkin Hs"</formula>
    </cfRule>
  </conditionalFormatting>
  <conditionalFormatting sqref="B30:C30">
    <cfRule type="cellIs" dxfId="1603" priority="671" stopIfTrue="1" operator="equal">
      <formula>"Towel"</formula>
    </cfRule>
    <cfRule type="cellIs" dxfId="1602" priority="672" stopIfTrue="1" operator="equal">
      <formula>"Napkin Hs"</formula>
    </cfRule>
  </conditionalFormatting>
  <conditionalFormatting sqref="C30">
    <cfRule type="cellIs" dxfId="1601" priority="673" stopIfTrue="1" operator="equal">
      <formula>"Towel"</formula>
    </cfRule>
    <cfRule type="cellIs" dxfId="1600" priority="674" stopIfTrue="1" operator="equal">
      <formula>"Napkin Hs"</formula>
    </cfRule>
  </conditionalFormatting>
  <conditionalFormatting sqref="C30">
    <cfRule type="cellIs" dxfId="1599" priority="675" stopIfTrue="1" operator="equal">
      <formula>"Towel"</formula>
    </cfRule>
    <cfRule type="cellIs" dxfId="1598" priority="676" stopIfTrue="1" operator="equal">
      <formula>"Napkin Hs"</formula>
    </cfRule>
  </conditionalFormatting>
  <conditionalFormatting sqref="C33 B34:C36">
    <cfRule type="cellIs" dxfId="1597" priority="669" stopIfTrue="1" operator="equal">
      <formula>"Towel"</formula>
    </cfRule>
    <cfRule type="cellIs" dxfId="1596" priority="670" stopIfTrue="1" operator="equal">
      <formula>"Napkin Hs"</formula>
    </cfRule>
  </conditionalFormatting>
  <conditionalFormatting sqref="C33:C36">
    <cfRule type="cellIs" dxfId="1595" priority="668" stopIfTrue="1" operator="equal">
      <formula>"Napkin Hs"</formula>
    </cfRule>
  </conditionalFormatting>
  <conditionalFormatting sqref="C33:C36">
    <cfRule type="cellIs" dxfId="1594" priority="665" stopIfTrue="1" operator="equal">
      <formula>"Towel"</formula>
    </cfRule>
    <cfRule type="cellIs" dxfId="1593" priority="666" stopIfTrue="1" operator="equal">
      <formula>"Napkin Hs"</formula>
    </cfRule>
  </conditionalFormatting>
  <conditionalFormatting sqref="C33:C36">
    <cfRule type="cellIs" dxfId="1592" priority="667" stopIfTrue="1" operator="equal">
      <formula>"Towel"</formula>
    </cfRule>
  </conditionalFormatting>
  <conditionalFormatting sqref="B33">
    <cfRule type="cellIs" dxfId="1591" priority="657" stopIfTrue="1" operator="equal">
      <formula>"Towel"</formula>
    </cfRule>
    <cfRule type="cellIs" dxfId="1590" priority="658" stopIfTrue="1" operator="equal">
      <formula>"Napkin Hs"</formula>
    </cfRule>
  </conditionalFormatting>
  <conditionalFormatting sqref="C32">
    <cfRule type="cellIs" dxfId="1589" priority="655" stopIfTrue="1" operator="equal">
      <formula>"Towel"</formula>
    </cfRule>
    <cfRule type="cellIs" dxfId="1588" priority="656" stopIfTrue="1" operator="equal">
      <formula>"Napkin Hs"</formula>
    </cfRule>
  </conditionalFormatting>
  <conditionalFormatting sqref="C32">
    <cfRule type="cellIs" dxfId="1587" priority="654" stopIfTrue="1" operator="equal">
      <formula>"Napkin Hs"</formula>
    </cfRule>
  </conditionalFormatting>
  <conditionalFormatting sqref="C32">
    <cfRule type="cellIs" dxfId="1586" priority="651" stopIfTrue="1" operator="equal">
      <formula>"Towel"</formula>
    </cfRule>
    <cfRule type="cellIs" dxfId="1585" priority="652" stopIfTrue="1" operator="equal">
      <formula>"Napkin Hs"</formula>
    </cfRule>
  </conditionalFormatting>
  <conditionalFormatting sqref="C32">
    <cfRule type="cellIs" dxfId="1584" priority="653" stopIfTrue="1" operator="equal">
      <formula>"Towel"</formula>
    </cfRule>
  </conditionalFormatting>
  <conditionalFormatting sqref="B32">
    <cfRule type="cellIs" dxfId="1583" priority="649" stopIfTrue="1" operator="equal">
      <formula>"Towel"</formula>
    </cfRule>
    <cfRule type="cellIs" dxfId="1582" priority="650" stopIfTrue="1" operator="equal">
      <formula>"Napkin Hs"</formula>
    </cfRule>
  </conditionalFormatting>
  <conditionalFormatting sqref="B41:C42 C39:C40">
    <cfRule type="cellIs" dxfId="1581" priority="647" stopIfTrue="1" operator="equal">
      <formula>"Towel"</formula>
    </cfRule>
    <cfRule type="cellIs" dxfId="1580" priority="648" stopIfTrue="1" operator="equal">
      <formula>"Napkin Hs"</formula>
    </cfRule>
  </conditionalFormatting>
  <conditionalFormatting sqref="C39:C42">
    <cfRule type="cellIs" dxfId="1579" priority="646" stopIfTrue="1" operator="equal">
      <formula>"Napkin Hs"</formula>
    </cfRule>
  </conditionalFormatting>
  <conditionalFormatting sqref="C39:C42">
    <cfRule type="cellIs" dxfId="1578" priority="643" stopIfTrue="1" operator="equal">
      <formula>"Towel"</formula>
    </cfRule>
    <cfRule type="cellIs" dxfId="1577" priority="644" stopIfTrue="1" operator="equal">
      <formula>"Napkin Hs"</formula>
    </cfRule>
  </conditionalFormatting>
  <conditionalFormatting sqref="C39:C42">
    <cfRule type="cellIs" dxfId="1576" priority="645" stopIfTrue="1" operator="equal">
      <formula>"Towel"</formula>
    </cfRule>
  </conditionalFormatting>
  <conditionalFormatting sqref="B39:B40">
    <cfRule type="cellIs" dxfId="1575" priority="641" stopIfTrue="1" operator="equal">
      <formula>"Towel"</formula>
    </cfRule>
    <cfRule type="cellIs" dxfId="1574" priority="642" stopIfTrue="1" operator="equal">
      <formula>"Napkin Hs"</formula>
    </cfRule>
  </conditionalFormatting>
  <conditionalFormatting sqref="C38">
    <cfRule type="cellIs" dxfId="1573" priority="631" stopIfTrue="1" operator="equal">
      <formula>"Towel"</formula>
    </cfRule>
    <cfRule type="cellIs" dxfId="1572" priority="632" stopIfTrue="1" operator="equal">
      <formula>"Napkin Hs"</formula>
    </cfRule>
  </conditionalFormatting>
  <conditionalFormatting sqref="C38">
    <cfRule type="cellIs" dxfId="1571" priority="630" stopIfTrue="1" operator="equal">
      <formula>"Napkin Hs"</formula>
    </cfRule>
  </conditionalFormatting>
  <conditionalFormatting sqref="C38">
    <cfRule type="cellIs" dxfId="1570" priority="627" stopIfTrue="1" operator="equal">
      <formula>"Towel"</formula>
    </cfRule>
    <cfRule type="cellIs" dxfId="1569" priority="628" stopIfTrue="1" operator="equal">
      <formula>"Napkin Hs"</formula>
    </cfRule>
  </conditionalFormatting>
  <conditionalFormatting sqref="C38">
    <cfRule type="cellIs" dxfId="1568" priority="629" stopIfTrue="1" operator="equal">
      <formula>"Towel"</formula>
    </cfRule>
  </conditionalFormatting>
  <conditionalFormatting sqref="B38">
    <cfRule type="cellIs" dxfId="1567" priority="625" stopIfTrue="1" operator="equal">
      <formula>"Towel"</formula>
    </cfRule>
    <cfRule type="cellIs" dxfId="1566" priority="626" stopIfTrue="1" operator="equal">
      <formula>"Napkin Hs"</formula>
    </cfRule>
  </conditionalFormatting>
  <conditionalFormatting sqref="B47:C48 C45:C46">
    <cfRule type="cellIs" dxfId="1565" priority="623" stopIfTrue="1" operator="equal">
      <formula>"Towel"</formula>
    </cfRule>
    <cfRule type="cellIs" dxfId="1564" priority="624" stopIfTrue="1" operator="equal">
      <formula>"Napkin Hs"</formula>
    </cfRule>
  </conditionalFormatting>
  <conditionalFormatting sqref="C45:C48">
    <cfRule type="cellIs" dxfId="1563" priority="622" stopIfTrue="1" operator="equal">
      <formula>"Napkin Hs"</formula>
    </cfRule>
  </conditionalFormatting>
  <conditionalFormatting sqref="C45:C48">
    <cfRule type="cellIs" dxfId="1562" priority="619" stopIfTrue="1" operator="equal">
      <formula>"Towel"</formula>
    </cfRule>
    <cfRule type="cellIs" dxfId="1561" priority="620" stopIfTrue="1" operator="equal">
      <formula>"Napkin Hs"</formula>
    </cfRule>
  </conditionalFormatting>
  <conditionalFormatting sqref="C45:C48">
    <cfRule type="cellIs" dxfId="1560" priority="621" stopIfTrue="1" operator="equal">
      <formula>"Towel"</formula>
    </cfRule>
  </conditionalFormatting>
  <conditionalFormatting sqref="B45:B46">
    <cfRule type="cellIs" dxfId="1559" priority="617" stopIfTrue="1" operator="equal">
      <formula>"Towel"</formula>
    </cfRule>
    <cfRule type="cellIs" dxfId="1558" priority="618" stopIfTrue="1" operator="equal">
      <formula>"Napkin Hs"</formula>
    </cfRule>
  </conditionalFormatting>
  <conditionalFormatting sqref="C44">
    <cfRule type="cellIs" dxfId="1557" priority="607" stopIfTrue="1" operator="equal">
      <formula>"Towel"</formula>
    </cfRule>
    <cfRule type="cellIs" dxfId="1556" priority="608" stopIfTrue="1" operator="equal">
      <formula>"Napkin Hs"</formula>
    </cfRule>
  </conditionalFormatting>
  <conditionalFormatting sqref="C44">
    <cfRule type="cellIs" dxfId="1555" priority="606" stopIfTrue="1" operator="equal">
      <formula>"Napkin Hs"</formula>
    </cfRule>
  </conditionalFormatting>
  <conditionalFormatting sqref="C44">
    <cfRule type="cellIs" dxfId="1554" priority="603" stopIfTrue="1" operator="equal">
      <formula>"Towel"</formula>
    </cfRule>
    <cfRule type="cellIs" dxfId="1553" priority="604" stopIfTrue="1" operator="equal">
      <formula>"Napkin Hs"</formula>
    </cfRule>
  </conditionalFormatting>
  <conditionalFormatting sqref="C44">
    <cfRule type="cellIs" dxfId="1552" priority="605" stopIfTrue="1" operator="equal">
      <formula>"Towel"</formula>
    </cfRule>
  </conditionalFormatting>
  <conditionalFormatting sqref="B44">
    <cfRule type="cellIs" dxfId="1551" priority="601" stopIfTrue="1" operator="equal">
      <formula>"Towel"</formula>
    </cfRule>
    <cfRule type="cellIs" dxfId="1550" priority="602" stopIfTrue="1" operator="equal">
      <formula>"Napkin Hs"</formula>
    </cfRule>
  </conditionalFormatting>
  <conditionalFormatting sqref="B53:C53 C51:C52">
    <cfRule type="cellIs" dxfId="1549" priority="599" stopIfTrue="1" operator="equal">
      <formula>"Towel"</formula>
    </cfRule>
    <cfRule type="cellIs" dxfId="1548" priority="600" stopIfTrue="1" operator="equal">
      <formula>"Napkin Hs"</formula>
    </cfRule>
  </conditionalFormatting>
  <conditionalFormatting sqref="C51:C53">
    <cfRule type="cellIs" dxfId="1547" priority="598" stopIfTrue="1" operator="equal">
      <formula>"Napkin Hs"</formula>
    </cfRule>
  </conditionalFormatting>
  <conditionalFormatting sqref="C51:C53">
    <cfRule type="cellIs" dxfId="1546" priority="595" stopIfTrue="1" operator="equal">
      <formula>"Towel"</formula>
    </cfRule>
    <cfRule type="cellIs" dxfId="1545" priority="596" stopIfTrue="1" operator="equal">
      <formula>"Napkin Hs"</formula>
    </cfRule>
  </conditionalFormatting>
  <conditionalFormatting sqref="C51:C53">
    <cfRule type="cellIs" dxfId="1544" priority="597" stopIfTrue="1" operator="equal">
      <formula>"Towel"</formula>
    </cfRule>
  </conditionalFormatting>
  <conditionalFormatting sqref="B51:B52">
    <cfRule type="cellIs" dxfId="1543" priority="593" stopIfTrue="1" operator="equal">
      <formula>"Towel"</formula>
    </cfRule>
    <cfRule type="cellIs" dxfId="1542" priority="594" stopIfTrue="1" operator="equal">
      <formula>"Napkin Hs"</formula>
    </cfRule>
  </conditionalFormatting>
  <conditionalFormatting sqref="C50">
    <cfRule type="cellIs" dxfId="1541" priority="583" stopIfTrue="1" operator="equal">
      <formula>"Towel"</formula>
    </cfRule>
    <cfRule type="cellIs" dxfId="1540" priority="584" stopIfTrue="1" operator="equal">
      <formula>"Napkin Hs"</formula>
    </cfRule>
  </conditionalFormatting>
  <conditionalFormatting sqref="C50">
    <cfRule type="cellIs" dxfId="1539" priority="582" stopIfTrue="1" operator="equal">
      <formula>"Napkin Hs"</formula>
    </cfRule>
  </conditionalFormatting>
  <conditionalFormatting sqref="C50">
    <cfRule type="cellIs" dxfId="1538" priority="579" stopIfTrue="1" operator="equal">
      <formula>"Towel"</formula>
    </cfRule>
    <cfRule type="cellIs" dxfId="1537" priority="580" stopIfTrue="1" operator="equal">
      <formula>"Napkin Hs"</formula>
    </cfRule>
  </conditionalFormatting>
  <conditionalFormatting sqref="C50">
    <cfRule type="cellIs" dxfId="1536" priority="581" stopIfTrue="1" operator="equal">
      <formula>"Towel"</formula>
    </cfRule>
  </conditionalFormatting>
  <conditionalFormatting sqref="B50">
    <cfRule type="cellIs" dxfId="1535" priority="577" stopIfTrue="1" operator="equal">
      <formula>"Towel"</formula>
    </cfRule>
    <cfRule type="cellIs" dxfId="1534" priority="578" stopIfTrue="1" operator="equal">
      <formula>"Napkin Hs"</formula>
    </cfRule>
  </conditionalFormatting>
  <conditionalFormatting sqref="B58:C58 C57">
    <cfRule type="cellIs" dxfId="1533" priority="575" stopIfTrue="1" operator="equal">
      <formula>"Towel"</formula>
    </cfRule>
    <cfRule type="cellIs" dxfId="1532" priority="576" stopIfTrue="1" operator="equal">
      <formula>"Napkin Hs"</formula>
    </cfRule>
  </conditionalFormatting>
  <conditionalFormatting sqref="C57:C58">
    <cfRule type="cellIs" dxfId="1531" priority="574" stopIfTrue="1" operator="equal">
      <formula>"Napkin Hs"</formula>
    </cfRule>
  </conditionalFormatting>
  <conditionalFormatting sqref="C57:C58">
    <cfRule type="cellIs" dxfId="1530" priority="571" stopIfTrue="1" operator="equal">
      <formula>"Towel"</formula>
    </cfRule>
    <cfRule type="cellIs" dxfId="1529" priority="572" stopIfTrue="1" operator="equal">
      <formula>"Napkin Hs"</formula>
    </cfRule>
  </conditionalFormatting>
  <conditionalFormatting sqref="C57:C58">
    <cfRule type="cellIs" dxfId="1528" priority="573" stopIfTrue="1" operator="equal">
      <formula>"Towel"</formula>
    </cfRule>
  </conditionalFormatting>
  <conditionalFormatting sqref="B57">
    <cfRule type="cellIs" dxfId="1527" priority="569" stopIfTrue="1" operator="equal">
      <formula>"Towel"</formula>
    </cfRule>
    <cfRule type="cellIs" dxfId="1526" priority="570" stopIfTrue="1" operator="equal">
      <formula>"Napkin Hs"</formula>
    </cfRule>
  </conditionalFormatting>
  <conditionalFormatting sqref="C55:C56">
    <cfRule type="cellIs" dxfId="1525" priority="559" stopIfTrue="1" operator="equal">
      <formula>"Towel"</formula>
    </cfRule>
    <cfRule type="cellIs" dxfId="1524" priority="560" stopIfTrue="1" operator="equal">
      <formula>"Napkin Hs"</formula>
    </cfRule>
  </conditionalFormatting>
  <conditionalFormatting sqref="C55:C56">
    <cfRule type="cellIs" dxfId="1523" priority="558" stopIfTrue="1" operator="equal">
      <formula>"Napkin Hs"</formula>
    </cfRule>
  </conditionalFormatting>
  <conditionalFormatting sqref="C55:C56">
    <cfRule type="cellIs" dxfId="1522" priority="555" stopIfTrue="1" operator="equal">
      <formula>"Towel"</formula>
    </cfRule>
    <cfRule type="cellIs" dxfId="1521" priority="556" stopIfTrue="1" operator="equal">
      <formula>"Napkin Hs"</formula>
    </cfRule>
  </conditionalFormatting>
  <conditionalFormatting sqref="C55:C56">
    <cfRule type="cellIs" dxfId="1520" priority="557" stopIfTrue="1" operator="equal">
      <formula>"Towel"</formula>
    </cfRule>
  </conditionalFormatting>
  <conditionalFormatting sqref="B55:B56">
    <cfRule type="cellIs" dxfId="1519" priority="553" stopIfTrue="1" operator="equal">
      <formula>"Towel"</formula>
    </cfRule>
    <cfRule type="cellIs" dxfId="1518" priority="554" stopIfTrue="1" operator="equal">
      <formula>"Napkin Hs"</formula>
    </cfRule>
  </conditionalFormatting>
  <conditionalFormatting sqref="B63:C63 C62">
    <cfRule type="cellIs" dxfId="1517" priority="551" stopIfTrue="1" operator="equal">
      <formula>"Towel"</formula>
    </cfRule>
    <cfRule type="cellIs" dxfId="1516" priority="552" stopIfTrue="1" operator="equal">
      <formula>"Napkin Hs"</formula>
    </cfRule>
  </conditionalFormatting>
  <conditionalFormatting sqref="C62:C63">
    <cfRule type="cellIs" dxfId="1515" priority="550" stopIfTrue="1" operator="equal">
      <formula>"Napkin Hs"</formula>
    </cfRule>
  </conditionalFormatting>
  <conditionalFormatting sqref="C62:C63">
    <cfRule type="cellIs" dxfId="1514" priority="547" stopIfTrue="1" operator="equal">
      <formula>"Towel"</formula>
    </cfRule>
    <cfRule type="cellIs" dxfId="1513" priority="548" stopIfTrue="1" operator="equal">
      <formula>"Napkin Hs"</formula>
    </cfRule>
  </conditionalFormatting>
  <conditionalFormatting sqref="C62:C63">
    <cfRule type="cellIs" dxfId="1512" priority="549" stopIfTrue="1" operator="equal">
      <formula>"Towel"</formula>
    </cfRule>
  </conditionalFormatting>
  <conditionalFormatting sqref="B62">
    <cfRule type="cellIs" dxfId="1511" priority="545" stopIfTrue="1" operator="equal">
      <formula>"Towel"</formula>
    </cfRule>
    <cfRule type="cellIs" dxfId="1510" priority="546" stopIfTrue="1" operator="equal">
      <formula>"Napkin Hs"</formula>
    </cfRule>
  </conditionalFormatting>
  <conditionalFormatting sqref="C61">
    <cfRule type="cellIs" dxfId="1509" priority="543" stopIfTrue="1" operator="equal">
      <formula>"Towel"</formula>
    </cfRule>
    <cfRule type="cellIs" dxfId="1508" priority="544" stopIfTrue="1" operator="equal">
      <formula>"Napkin Hs"</formula>
    </cfRule>
  </conditionalFormatting>
  <conditionalFormatting sqref="C61">
    <cfRule type="cellIs" dxfId="1507" priority="542" stopIfTrue="1" operator="equal">
      <formula>"Napkin Hs"</formula>
    </cfRule>
  </conditionalFormatting>
  <conditionalFormatting sqref="C61">
    <cfRule type="cellIs" dxfId="1506" priority="539" stopIfTrue="1" operator="equal">
      <formula>"Towel"</formula>
    </cfRule>
    <cfRule type="cellIs" dxfId="1505" priority="540" stopIfTrue="1" operator="equal">
      <formula>"Napkin Hs"</formula>
    </cfRule>
  </conditionalFormatting>
  <conditionalFormatting sqref="C61">
    <cfRule type="cellIs" dxfId="1504" priority="541" stopIfTrue="1" operator="equal">
      <formula>"Towel"</formula>
    </cfRule>
  </conditionalFormatting>
  <conditionalFormatting sqref="B61">
    <cfRule type="cellIs" dxfId="1503" priority="537" stopIfTrue="1" operator="equal">
      <formula>"Towel"</formula>
    </cfRule>
    <cfRule type="cellIs" dxfId="1502" priority="538" stopIfTrue="1" operator="equal">
      <formula>"Napkin Hs"</formula>
    </cfRule>
  </conditionalFormatting>
  <conditionalFormatting sqref="C60">
    <cfRule type="cellIs" dxfId="1501" priority="535" stopIfTrue="1" operator="equal">
      <formula>"Towel"</formula>
    </cfRule>
    <cfRule type="cellIs" dxfId="1500" priority="536" stopIfTrue="1" operator="equal">
      <formula>"Napkin Hs"</formula>
    </cfRule>
  </conditionalFormatting>
  <conditionalFormatting sqref="C60">
    <cfRule type="cellIs" dxfId="1499" priority="534" stopIfTrue="1" operator="equal">
      <formula>"Napkin Hs"</formula>
    </cfRule>
  </conditionalFormatting>
  <conditionalFormatting sqref="C60">
    <cfRule type="cellIs" dxfId="1498" priority="531" stopIfTrue="1" operator="equal">
      <formula>"Towel"</formula>
    </cfRule>
    <cfRule type="cellIs" dxfId="1497" priority="532" stopIfTrue="1" operator="equal">
      <formula>"Napkin Hs"</formula>
    </cfRule>
  </conditionalFormatting>
  <conditionalFormatting sqref="C60">
    <cfRule type="cellIs" dxfId="1496" priority="533" stopIfTrue="1" operator="equal">
      <formula>"Towel"</formula>
    </cfRule>
  </conditionalFormatting>
  <conditionalFormatting sqref="B60">
    <cfRule type="cellIs" dxfId="1495" priority="529" stopIfTrue="1" operator="equal">
      <formula>"Towel"</formula>
    </cfRule>
    <cfRule type="cellIs" dxfId="1494" priority="530" stopIfTrue="1" operator="equal">
      <formula>"Napkin Hs"</formula>
    </cfRule>
  </conditionalFormatting>
  <conditionalFormatting sqref="B68:C68 C67">
    <cfRule type="cellIs" dxfId="1493" priority="527" stopIfTrue="1" operator="equal">
      <formula>"Towel"</formula>
    </cfRule>
    <cfRule type="cellIs" dxfId="1492" priority="528" stopIfTrue="1" operator="equal">
      <formula>"Napkin Hs"</formula>
    </cfRule>
  </conditionalFormatting>
  <conditionalFormatting sqref="C67:C68">
    <cfRule type="cellIs" dxfId="1491" priority="526" stopIfTrue="1" operator="equal">
      <formula>"Napkin Hs"</formula>
    </cfRule>
  </conditionalFormatting>
  <conditionalFormatting sqref="C67:C68">
    <cfRule type="cellIs" dxfId="1490" priority="523" stopIfTrue="1" operator="equal">
      <formula>"Towel"</formula>
    </cfRule>
    <cfRule type="cellIs" dxfId="1489" priority="524" stopIfTrue="1" operator="equal">
      <formula>"Napkin Hs"</formula>
    </cfRule>
  </conditionalFormatting>
  <conditionalFormatting sqref="C67:C68">
    <cfRule type="cellIs" dxfId="1488" priority="525" stopIfTrue="1" operator="equal">
      <formula>"Towel"</formula>
    </cfRule>
  </conditionalFormatting>
  <conditionalFormatting sqref="B67">
    <cfRule type="cellIs" dxfId="1487" priority="521" stopIfTrue="1" operator="equal">
      <formula>"Towel"</formula>
    </cfRule>
    <cfRule type="cellIs" dxfId="1486" priority="522" stopIfTrue="1" operator="equal">
      <formula>"Napkin Hs"</formula>
    </cfRule>
  </conditionalFormatting>
  <conditionalFormatting sqref="C66">
    <cfRule type="cellIs" dxfId="1485" priority="519" stopIfTrue="1" operator="equal">
      <formula>"Towel"</formula>
    </cfRule>
    <cfRule type="cellIs" dxfId="1484" priority="520" stopIfTrue="1" operator="equal">
      <formula>"Napkin Hs"</formula>
    </cfRule>
  </conditionalFormatting>
  <conditionalFormatting sqref="C66">
    <cfRule type="cellIs" dxfId="1483" priority="518" stopIfTrue="1" operator="equal">
      <formula>"Napkin Hs"</formula>
    </cfRule>
  </conditionalFormatting>
  <conditionalFormatting sqref="C66">
    <cfRule type="cellIs" dxfId="1482" priority="515" stopIfTrue="1" operator="equal">
      <formula>"Towel"</formula>
    </cfRule>
    <cfRule type="cellIs" dxfId="1481" priority="516" stopIfTrue="1" operator="equal">
      <formula>"Napkin Hs"</formula>
    </cfRule>
  </conditionalFormatting>
  <conditionalFormatting sqref="C66">
    <cfRule type="cellIs" dxfId="1480" priority="517" stopIfTrue="1" operator="equal">
      <formula>"Towel"</formula>
    </cfRule>
  </conditionalFormatting>
  <conditionalFormatting sqref="B66">
    <cfRule type="cellIs" dxfId="1479" priority="513" stopIfTrue="1" operator="equal">
      <formula>"Towel"</formula>
    </cfRule>
    <cfRule type="cellIs" dxfId="1478" priority="514" stopIfTrue="1" operator="equal">
      <formula>"Napkin Hs"</formula>
    </cfRule>
  </conditionalFormatting>
  <conditionalFormatting sqref="C65">
    <cfRule type="cellIs" dxfId="1477" priority="503" stopIfTrue="1" operator="equal">
      <formula>"Towel"</formula>
    </cfRule>
    <cfRule type="cellIs" dxfId="1476" priority="504" stopIfTrue="1" operator="equal">
      <formula>"Napkin Hs"</formula>
    </cfRule>
  </conditionalFormatting>
  <conditionalFormatting sqref="C65">
    <cfRule type="cellIs" dxfId="1475" priority="502" stopIfTrue="1" operator="equal">
      <formula>"Napkin Hs"</formula>
    </cfRule>
  </conditionalFormatting>
  <conditionalFormatting sqref="C65">
    <cfRule type="cellIs" dxfId="1474" priority="499" stopIfTrue="1" operator="equal">
      <formula>"Towel"</formula>
    </cfRule>
    <cfRule type="cellIs" dxfId="1473" priority="500" stopIfTrue="1" operator="equal">
      <formula>"Napkin Hs"</formula>
    </cfRule>
  </conditionalFormatting>
  <conditionalFormatting sqref="C65">
    <cfRule type="cellIs" dxfId="1472" priority="501" stopIfTrue="1" operator="equal">
      <formula>"Towel"</formula>
    </cfRule>
  </conditionalFormatting>
  <conditionalFormatting sqref="B65">
    <cfRule type="cellIs" dxfId="1471" priority="497" stopIfTrue="1" operator="equal">
      <formula>"Towel"</formula>
    </cfRule>
    <cfRule type="cellIs" dxfId="1470" priority="498" stopIfTrue="1" operator="equal">
      <formula>"Napkin Hs"</formula>
    </cfRule>
  </conditionalFormatting>
  <conditionalFormatting sqref="B74:C74">
    <cfRule type="cellIs" dxfId="1469" priority="495" stopIfTrue="1" operator="equal">
      <formula>"Towel"</formula>
    </cfRule>
    <cfRule type="cellIs" dxfId="1468" priority="496" stopIfTrue="1" operator="equal">
      <formula>"Napkin Hs"</formula>
    </cfRule>
  </conditionalFormatting>
  <conditionalFormatting sqref="C74">
    <cfRule type="cellIs" dxfId="1467" priority="491" stopIfTrue="1" operator="equal">
      <formula>"Towel"</formula>
    </cfRule>
    <cfRule type="cellIs" dxfId="1466" priority="492" stopIfTrue="1" operator="equal">
      <formula>"Napkin Hs"</formula>
    </cfRule>
  </conditionalFormatting>
  <conditionalFormatting sqref="C74">
    <cfRule type="cellIs" dxfId="1465" priority="493" stopIfTrue="1" operator="equal">
      <formula>"Towel"</formula>
    </cfRule>
    <cfRule type="cellIs" dxfId="1464" priority="494" stopIfTrue="1" operator="equal">
      <formula>"Napkin Hs"</formula>
    </cfRule>
  </conditionalFormatting>
  <conditionalFormatting sqref="B73:C73 C72">
    <cfRule type="cellIs" dxfId="1463" priority="489" stopIfTrue="1" operator="equal">
      <formula>"Towel"</formula>
    </cfRule>
    <cfRule type="cellIs" dxfId="1462" priority="490" stopIfTrue="1" operator="equal">
      <formula>"Napkin Hs"</formula>
    </cfRule>
  </conditionalFormatting>
  <conditionalFormatting sqref="C72:C73">
    <cfRule type="cellIs" dxfId="1461" priority="488" stopIfTrue="1" operator="equal">
      <formula>"Napkin Hs"</formula>
    </cfRule>
  </conditionalFormatting>
  <conditionalFormatting sqref="C72:C73">
    <cfRule type="cellIs" dxfId="1460" priority="485" stopIfTrue="1" operator="equal">
      <formula>"Towel"</formula>
    </cfRule>
    <cfRule type="cellIs" dxfId="1459" priority="486" stopIfTrue="1" operator="equal">
      <formula>"Napkin Hs"</formula>
    </cfRule>
  </conditionalFormatting>
  <conditionalFormatting sqref="C72:C73">
    <cfRule type="cellIs" dxfId="1458" priority="487" stopIfTrue="1" operator="equal">
      <formula>"Towel"</formula>
    </cfRule>
  </conditionalFormatting>
  <conditionalFormatting sqref="B72">
    <cfRule type="cellIs" dxfId="1457" priority="483" stopIfTrue="1" operator="equal">
      <formula>"Towel"</formula>
    </cfRule>
    <cfRule type="cellIs" dxfId="1456" priority="484" stopIfTrue="1" operator="equal">
      <formula>"Napkin Hs"</formula>
    </cfRule>
  </conditionalFormatting>
  <conditionalFormatting sqref="C70:C71">
    <cfRule type="cellIs" dxfId="1455" priority="473" stopIfTrue="1" operator="equal">
      <formula>"Towel"</formula>
    </cfRule>
    <cfRule type="cellIs" dxfId="1454" priority="474" stopIfTrue="1" operator="equal">
      <formula>"Napkin Hs"</formula>
    </cfRule>
  </conditionalFormatting>
  <conditionalFormatting sqref="C70:C71">
    <cfRule type="cellIs" dxfId="1453" priority="472" stopIfTrue="1" operator="equal">
      <formula>"Napkin Hs"</formula>
    </cfRule>
  </conditionalFormatting>
  <conditionalFormatting sqref="C70:C71">
    <cfRule type="cellIs" dxfId="1452" priority="469" stopIfTrue="1" operator="equal">
      <formula>"Towel"</formula>
    </cfRule>
    <cfRule type="cellIs" dxfId="1451" priority="470" stopIfTrue="1" operator="equal">
      <formula>"Napkin Hs"</formula>
    </cfRule>
  </conditionalFormatting>
  <conditionalFormatting sqref="C70:C71">
    <cfRule type="cellIs" dxfId="1450" priority="471" stopIfTrue="1" operator="equal">
      <formula>"Towel"</formula>
    </cfRule>
  </conditionalFormatting>
  <conditionalFormatting sqref="B70:B71">
    <cfRule type="cellIs" dxfId="1449" priority="467" stopIfTrue="1" operator="equal">
      <formula>"Towel"</formula>
    </cfRule>
    <cfRule type="cellIs" dxfId="1448" priority="468" stopIfTrue="1" operator="equal">
      <formula>"Napkin Hs"</formula>
    </cfRule>
  </conditionalFormatting>
  <conditionalFormatting sqref="B78:C78 C77">
    <cfRule type="cellIs" dxfId="1447" priority="465" stopIfTrue="1" operator="equal">
      <formula>"Towel"</formula>
    </cfRule>
    <cfRule type="cellIs" dxfId="1446" priority="466" stopIfTrue="1" operator="equal">
      <formula>"Napkin Hs"</formula>
    </cfRule>
  </conditionalFormatting>
  <conditionalFormatting sqref="C77:C78">
    <cfRule type="cellIs" dxfId="1445" priority="464" stopIfTrue="1" operator="equal">
      <formula>"Napkin Hs"</formula>
    </cfRule>
  </conditionalFormatting>
  <conditionalFormatting sqref="C77:C78">
    <cfRule type="cellIs" dxfId="1444" priority="461" stopIfTrue="1" operator="equal">
      <formula>"Towel"</formula>
    </cfRule>
    <cfRule type="cellIs" dxfId="1443" priority="462" stopIfTrue="1" operator="equal">
      <formula>"Napkin Hs"</formula>
    </cfRule>
  </conditionalFormatting>
  <conditionalFormatting sqref="C77:C78">
    <cfRule type="cellIs" dxfId="1442" priority="463" stopIfTrue="1" operator="equal">
      <formula>"Towel"</formula>
    </cfRule>
  </conditionalFormatting>
  <conditionalFormatting sqref="B77">
    <cfRule type="cellIs" dxfId="1441" priority="459" stopIfTrue="1" operator="equal">
      <formula>"Towel"</formula>
    </cfRule>
    <cfRule type="cellIs" dxfId="1440" priority="460" stopIfTrue="1" operator="equal">
      <formula>"Napkin Hs"</formula>
    </cfRule>
  </conditionalFormatting>
  <conditionalFormatting sqref="C75">
    <cfRule type="cellIs" dxfId="1439" priority="449" stopIfTrue="1" operator="equal">
      <formula>"Towel"</formula>
    </cfRule>
    <cfRule type="cellIs" dxfId="1438" priority="450" stopIfTrue="1" operator="equal">
      <formula>"Napkin Hs"</formula>
    </cfRule>
  </conditionalFormatting>
  <conditionalFormatting sqref="C75">
    <cfRule type="cellIs" dxfId="1437" priority="448" stopIfTrue="1" operator="equal">
      <formula>"Napkin Hs"</formula>
    </cfRule>
  </conditionalFormatting>
  <conditionalFormatting sqref="C75">
    <cfRule type="cellIs" dxfId="1436" priority="445" stopIfTrue="1" operator="equal">
      <formula>"Towel"</formula>
    </cfRule>
    <cfRule type="cellIs" dxfId="1435" priority="446" stopIfTrue="1" operator="equal">
      <formula>"Napkin Hs"</formula>
    </cfRule>
  </conditionalFormatting>
  <conditionalFormatting sqref="C75">
    <cfRule type="cellIs" dxfId="1434" priority="447" stopIfTrue="1" operator="equal">
      <formula>"Towel"</formula>
    </cfRule>
  </conditionalFormatting>
  <conditionalFormatting sqref="B75">
    <cfRule type="cellIs" dxfId="1433" priority="443" stopIfTrue="1" operator="equal">
      <formula>"Towel"</formula>
    </cfRule>
    <cfRule type="cellIs" dxfId="1432" priority="444" stopIfTrue="1" operator="equal">
      <formula>"Napkin Hs"</formula>
    </cfRule>
  </conditionalFormatting>
  <conditionalFormatting sqref="C76">
    <cfRule type="cellIs" dxfId="1431" priority="441" stopIfTrue="1" operator="equal">
      <formula>"Towel"</formula>
    </cfRule>
    <cfRule type="cellIs" dxfId="1430" priority="442" stopIfTrue="1" operator="equal">
      <formula>"Napkin Hs"</formula>
    </cfRule>
  </conditionalFormatting>
  <conditionalFormatting sqref="C76">
    <cfRule type="cellIs" dxfId="1429" priority="440" stopIfTrue="1" operator="equal">
      <formula>"Napkin Hs"</formula>
    </cfRule>
  </conditionalFormatting>
  <conditionalFormatting sqref="C76">
    <cfRule type="cellIs" dxfId="1428" priority="437" stopIfTrue="1" operator="equal">
      <formula>"Towel"</formula>
    </cfRule>
    <cfRule type="cellIs" dxfId="1427" priority="438" stopIfTrue="1" operator="equal">
      <formula>"Napkin Hs"</formula>
    </cfRule>
  </conditionalFormatting>
  <conditionalFormatting sqref="C76">
    <cfRule type="cellIs" dxfId="1426" priority="439" stopIfTrue="1" operator="equal">
      <formula>"Towel"</formula>
    </cfRule>
  </conditionalFormatting>
  <conditionalFormatting sqref="B76">
    <cfRule type="cellIs" dxfId="1425" priority="435" stopIfTrue="1" operator="equal">
      <formula>"Towel"</formula>
    </cfRule>
    <cfRule type="cellIs" dxfId="1424" priority="436" stopIfTrue="1" operator="equal">
      <formula>"Napkin Hs"</formula>
    </cfRule>
  </conditionalFormatting>
  <conditionalFormatting sqref="B83:C83 C82">
    <cfRule type="cellIs" dxfId="1423" priority="433" stopIfTrue="1" operator="equal">
      <formula>"Towel"</formula>
    </cfRule>
    <cfRule type="cellIs" dxfId="1422" priority="434" stopIfTrue="1" operator="equal">
      <formula>"Napkin Hs"</formula>
    </cfRule>
  </conditionalFormatting>
  <conditionalFormatting sqref="C82:C83">
    <cfRule type="cellIs" dxfId="1421" priority="432" stopIfTrue="1" operator="equal">
      <formula>"Napkin Hs"</formula>
    </cfRule>
  </conditionalFormatting>
  <conditionalFormatting sqref="C82:C83">
    <cfRule type="cellIs" dxfId="1420" priority="429" stopIfTrue="1" operator="equal">
      <formula>"Towel"</formula>
    </cfRule>
    <cfRule type="cellIs" dxfId="1419" priority="430" stopIfTrue="1" operator="equal">
      <formula>"Napkin Hs"</formula>
    </cfRule>
  </conditionalFormatting>
  <conditionalFormatting sqref="C82:C83">
    <cfRule type="cellIs" dxfId="1418" priority="431" stopIfTrue="1" operator="equal">
      <formula>"Towel"</formula>
    </cfRule>
  </conditionalFormatting>
  <conditionalFormatting sqref="B82">
    <cfRule type="cellIs" dxfId="1417" priority="427" stopIfTrue="1" operator="equal">
      <formula>"Towel"</formula>
    </cfRule>
    <cfRule type="cellIs" dxfId="1416" priority="428" stopIfTrue="1" operator="equal">
      <formula>"Napkin Hs"</formula>
    </cfRule>
  </conditionalFormatting>
  <conditionalFormatting sqref="C81">
    <cfRule type="cellIs" dxfId="1415" priority="417" stopIfTrue="1" operator="equal">
      <formula>"Towel"</formula>
    </cfRule>
    <cfRule type="cellIs" dxfId="1414" priority="418" stopIfTrue="1" operator="equal">
      <formula>"Napkin Hs"</formula>
    </cfRule>
  </conditionalFormatting>
  <conditionalFormatting sqref="C81">
    <cfRule type="cellIs" dxfId="1413" priority="416" stopIfTrue="1" operator="equal">
      <formula>"Napkin Hs"</formula>
    </cfRule>
  </conditionalFormatting>
  <conditionalFormatting sqref="C81">
    <cfRule type="cellIs" dxfId="1412" priority="413" stopIfTrue="1" operator="equal">
      <formula>"Towel"</formula>
    </cfRule>
    <cfRule type="cellIs" dxfId="1411" priority="414" stopIfTrue="1" operator="equal">
      <formula>"Napkin Hs"</formula>
    </cfRule>
  </conditionalFormatting>
  <conditionalFormatting sqref="C81">
    <cfRule type="cellIs" dxfId="1410" priority="415" stopIfTrue="1" operator="equal">
      <formula>"Towel"</formula>
    </cfRule>
  </conditionalFormatting>
  <conditionalFormatting sqref="B81">
    <cfRule type="cellIs" dxfId="1409" priority="411" stopIfTrue="1" operator="equal">
      <formula>"Towel"</formula>
    </cfRule>
    <cfRule type="cellIs" dxfId="1408" priority="412" stopIfTrue="1" operator="equal">
      <formula>"Napkin Hs"</formula>
    </cfRule>
  </conditionalFormatting>
  <conditionalFormatting sqref="C80">
    <cfRule type="cellIs" dxfId="1407" priority="409" stopIfTrue="1" operator="equal">
      <formula>"Towel"</formula>
    </cfRule>
    <cfRule type="cellIs" dxfId="1406" priority="410" stopIfTrue="1" operator="equal">
      <formula>"Napkin Hs"</formula>
    </cfRule>
  </conditionalFormatting>
  <conditionalFormatting sqref="C80">
    <cfRule type="cellIs" dxfId="1405" priority="408" stopIfTrue="1" operator="equal">
      <formula>"Napkin Hs"</formula>
    </cfRule>
  </conditionalFormatting>
  <conditionalFormatting sqref="C80">
    <cfRule type="cellIs" dxfId="1404" priority="405" stopIfTrue="1" operator="equal">
      <formula>"Towel"</formula>
    </cfRule>
    <cfRule type="cellIs" dxfId="1403" priority="406" stopIfTrue="1" operator="equal">
      <formula>"Napkin Hs"</formula>
    </cfRule>
  </conditionalFormatting>
  <conditionalFormatting sqref="C80">
    <cfRule type="cellIs" dxfId="1402" priority="407" stopIfTrue="1" operator="equal">
      <formula>"Towel"</formula>
    </cfRule>
  </conditionalFormatting>
  <conditionalFormatting sqref="B80">
    <cfRule type="cellIs" dxfId="1401" priority="403" stopIfTrue="1" operator="equal">
      <formula>"Towel"</formula>
    </cfRule>
    <cfRule type="cellIs" dxfId="1400" priority="404" stopIfTrue="1" operator="equal">
      <formula>"Napkin Hs"</formula>
    </cfRule>
  </conditionalFormatting>
  <conditionalFormatting sqref="B88:C88 C87">
    <cfRule type="cellIs" dxfId="1399" priority="401" stopIfTrue="1" operator="equal">
      <formula>"Towel"</formula>
    </cfRule>
    <cfRule type="cellIs" dxfId="1398" priority="402" stopIfTrue="1" operator="equal">
      <formula>"Napkin Hs"</formula>
    </cfRule>
  </conditionalFormatting>
  <conditionalFormatting sqref="C87:C88">
    <cfRule type="cellIs" dxfId="1397" priority="400" stopIfTrue="1" operator="equal">
      <formula>"Napkin Hs"</formula>
    </cfRule>
  </conditionalFormatting>
  <conditionalFormatting sqref="C87:C88">
    <cfRule type="cellIs" dxfId="1396" priority="397" stopIfTrue="1" operator="equal">
      <formula>"Towel"</formula>
    </cfRule>
    <cfRule type="cellIs" dxfId="1395" priority="398" stopIfTrue="1" operator="equal">
      <formula>"Napkin Hs"</formula>
    </cfRule>
  </conditionalFormatting>
  <conditionalFormatting sqref="C87:C88">
    <cfRule type="cellIs" dxfId="1394" priority="399" stopIfTrue="1" operator="equal">
      <formula>"Towel"</formula>
    </cfRule>
  </conditionalFormatting>
  <conditionalFormatting sqref="B87">
    <cfRule type="cellIs" dxfId="1393" priority="395" stopIfTrue="1" operator="equal">
      <formula>"Towel"</formula>
    </cfRule>
    <cfRule type="cellIs" dxfId="1392" priority="396" stopIfTrue="1" operator="equal">
      <formula>"Napkin Hs"</formula>
    </cfRule>
  </conditionalFormatting>
  <conditionalFormatting sqref="C86">
    <cfRule type="cellIs" dxfId="1391" priority="393" stopIfTrue="1" operator="equal">
      <formula>"Towel"</formula>
    </cfRule>
    <cfRule type="cellIs" dxfId="1390" priority="394" stopIfTrue="1" operator="equal">
      <formula>"Napkin Hs"</formula>
    </cfRule>
  </conditionalFormatting>
  <conditionalFormatting sqref="C86">
    <cfRule type="cellIs" dxfId="1389" priority="392" stopIfTrue="1" operator="equal">
      <formula>"Napkin Hs"</formula>
    </cfRule>
  </conditionalFormatting>
  <conditionalFormatting sqref="C86">
    <cfRule type="cellIs" dxfId="1388" priority="389" stopIfTrue="1" operator="equal">
      <formula>"Towel"</formula>
    </cfRule>
    <cfRule type="cellIs" dxfId="1387" priority="390" stopIfTrue="1" operator="equal">
      <formula>"Napkin Hs"</formula>
    </cfRule>
  </conditionalFormatting>
  <conditionalFormatting sqref="C86">
    <cfRule type="cellIs" dxfId="1386" priority="391" stopIfTrue="1" operator="equal">
      <formula>"Towel"</formula>
    </cfRule>
  </conditionalFormatting>
  <conditionalFormatting sqref="B86">
    <cfRule type="cellIs" dxfId="1385" priority="387" stopIfTrue="1" operator="equal">
      <formula>"Towel"</formula>
    </cfRule>
    <cfRule type="cellIs" dxfId="1384" priority="388" stopIfTrue="1" operator="equal">
      <formula>"Napkin Hs"</formula>
    </cfRule>
  </conditionalFormatting>
  <conditionalFormatting sqref="C85">
    <cfRule type="cellIs" dxfId="1383" priority="385" stopIfTrue="1" operator="equal">
      <formula>"Towel"</formula>
    </cfRule>
    <cfRule type="cellIs" dxfId="1382" priority="386" stopIfTrue="1" operator="equal">
      <formula>"Napkin Hs"</formula>
    </cfRule>
  </conditionalFormatting>
  <conditionalFormatting sqref="C85">
    <cfRule type="cellIs" dxfId="1381" priority="384" stopIfTrue="1" operator="equal">
      <formula>"Napkin Hs"</formula>
    </cfRule>
  </conditionalFormatting>
  <conditionalFormatting sqref="C85">
    <cfRule type="cellIs" dxfId="1380" priority="381" stopIfTrue="1" operator="equal">
      <formula>"Towel"</formula>
    </cfRule>
    <cfRule type="cellIs" dxfId="1379" priority="382" stopIfTrue="1" operator="equal">
      <formula>"Napkin Hs"</formula>
    </cfRule>
  </conditionalFormatting>
  <conditionalFormatting sqref="C85">
    <cfRule type="cellIs" dxfId="1378" priority="383" stopIfTrue="1" operator="equal">
      <formula>"Towel"</formula>
    </cfRule>
  </conditionalFormatting>
  <conditionalFormatting sqref="B85">
    <cfRule type="cellIs" dxfId="1377" priority="379" stopIfTrue="1" operator="equal">
      <formula>"Towel"</formula>
    </cfRule>
    <cfRule type="cellIs" dxfId="1376" priority="380" stopIfTrue="1" operator="equal">
      <formula>"Napkin Hs"</formula>
    </cfRule>
  </conditionalFormatting>
  <conditionalFormatting sqref="B93:C93 C92">
    <cfRule type="cellIs" dxfId="1375" priority="377" stopIfTrue="1" operator="equal">
      <formula>"Towel"</formula>
    </cfRule>
    <cfRule type="cellIs" dxfId="1374" priority="378" stopIfTrue="1" operator="equal">
      <formula>"Napkin Hs"</formula>
    </cfRule>
  </conditionalFormatting>
  <conditionalFormatting sqref="C92:C93">
    <cfRule type="cellIs" dxfId="1373" priority="376" stopIfTrue="1" operator="equal">
      <formula>"Napkin Hs"</formula>
    </cfRule>
  </conditionalFormatting>
  <conditionalFormatting sqref="C92:C93">
    <cfRule type="cellIs" dxfId="1372" priority="373" stopIfTrue="1" operator="equal">
      <formula>"Towel"</formula>
    </cfRule>
    <cfRule type="cellIs" dxfId="1371" priority="374" stopIfTrue="1" operator="equal">
      <formula>"Napkin Hs"</formula>
    </cfRule>
  </conditionalFormatting>
  <conditionalFormatting sqref="C92:C93">
    <cfRule type="cellIs" dxfId="1370" priority="375" stopIfTrue="1" operator="equal">
      <formula>"Towel"</formula>
    </cfRule>
  </conditionalFormatting>
  <conditionalFormatting sqref="B92">
    <cfRule type="cellIs" dxfId="1369" priority="371" stopIfTrue="1" operator="equal">
      <formula>"Towel"</formula>
    </cfRule>
    <cfRule type="cellIs" dxfId="1368" priority="372" stopIfTrue="1" operator="equal">
      <formula>"Napkin Hs"</formula>
    </cfRule>
  </conditionalFormatting>
  <conditionalFormatting sqref="C91">
    <cfRule type="cellIs" dxfId="1367" priority="369" stopIfTrue="1" operator="equal">
      <formula>"Towel"</formula>
    </cfRule>
    <cfRule type="cellIs" dxfId="1366" priority="370" stopIfTrue="1" operator="equal">
      <formula>"Napkin Hs"</formula>
    </cfRule>
  </conditionalFormatting>
  <conditionalFormatting sqref="C91">
    <cfRule type="cellIs" dxfId="1365" priority="368" stopIfTrue="1" operator="equal">
      <formula>"Napkin Hs"</formula>
    </cfRule>
  </conditionalFormatting>
  <conditionalFormatting sqref="C91">
    <cfRule type="cellIs" dxfId="1364" priority="365" stopIfTrue="1" operator="equal">
      <formula>"Towel"</formula>
    </cfRule>
    <cfRule type="cellIs" dxfId="1363" priority="366" stopIfTrue="1" operator="equal">
      <formula>"Napkin Hs"</formula>
    </cfRule>
  </conditionalFormatting>
  <conditionalFormatting sqref="C91">
    <cfRule type="cellIs" dxfId="1362" priority="367" stopIfTrue="1" operator="equal">
      <formula>"Towel"</formula>
    </cfRule>
  </conditionalFormatting>
  <conditionalFormatting sqref="B91">
    <cfRule type="cellIs" dxfId="1361" priority="363" stopIfTrue="1" operator="equal">
      <formula>"Towel"</formula>
    </cfRule>
    <cfRule type="cellIs" dxfId="1360" priority="364" stopIfTrue="1" operator="equal">
      <formula>"Napkin Hs"</formula>
    </cfRule>
  </conditionalFormatting>
  <conditionalFormatting sqref="C90">
    <cfRule type="cellIs" dxfId="1359" priority="361" stopIfTrue="1" operator="equal">
      <formula>"Towel"</formula>
    </cfRule>
    <cfRule type="cellIs" dxfId="1358" priority="362" stopIfTrue="1" operator="equal">
      <formula>"Napkin Hs"</formula>
    </cfRule>
  </conditionalFormatting>
  <conditionalFormatting sqref="C90">
    <cfRule type="cellIs" dxfId="1357" priority="360" stopIfTrue="1" operator="equal">
      <formula>"Napkin Hs"</formula>
    </cfRule>
  </conditionalFormatting>
  <conditionalFormatting sqref="C90">
    <cfRule type="cellIs" dxfId="1356" priority="357" stopIfTrue="1" operator="equal">
      <formula>"Towel"</formula>
    </cfRule>
    <cfRule type="cellIs" dxfId="1355" priority="358" stopIfTrue="1" operator="equal">
      <formula>"Napkin Hs"</formula>
    </cfRule>
  </conditionalFormatting>
  <conditionalFormatting sqref="C90">
    <cfRule type="cellIs" dxfId="1354" priority="359" stopIfTrue="1" operator="equal">
      <formula>"Towel"</formula>
    </cfRule>
  </conditionalFormatting>
  <conditionalFormatting sqref="B90">
    <cfRule type="cellIs" dxfId="1353" priority="355" stopIfTrue="1" operator="equal">
      <formula>"Towel"</formula>
    </cfRule>
    <cfRule type="cellIs" dxfId="1352" priority="356" stopIfTrue="1" operator="equal">
      <formula>"Napkin Hs"</formula>
    </cfRule>
  </conditionalFormatting>
  <conditionalFormatting sqref="B98:C98 C97">
    <cfRule type="cellIs" dxfId="1351" priority="353" stopIfTrue="1" operator="equal">
      <formula>"Towel"</formula>
    </cfRule>
    <cfRule type="cellIs" dxfId="1350" priority="354" stopIfTrue="1" operator="equal">
      <formula>"Napkin Hs"</formula>
    </cfRule>
  </conditionalFormatting>
  <conditionalFormatting sqref="C97:C98">
    <cfRule type="cellIs" dxfId="1349" priority="352" stopIfTrue="1" operator="equal">
      <formula>"Napkin Hs"</formula>
    </cfRule>
  </conditionalFormatting>
  <conditionalFormatting sqref="C97:C98">
    <cfRule type="cellIs" dxfId="1348" priority="349" stopIfTrue="1" operator="equal">
      <formula>"Towel"</formula>
    </cfRule>
    <cfRule type="cellIs" dxfId="1347" priority="350" stopIfTrue="1" operator="equal">
      <formula>"Napkin Hs"</formula>
    </cfRule>
  </conditionalFormatting>
  <conditionalFormatting sqref="C97:C98">
    <cfRule type="cellIs" dxfId="1346" priority="351" stopIfTrue="1" operator="equal">
      <formula>"Towel"</formula>
    </cfRule>
  </conditionalFormatting>
  <conditionalFormatting sqref="B97">
    <cfRule type="cellIs" dxfId="1345" priority="347" stopIfTrue="1" operator="equal">
      <formula>"Towel"</formula>
    </cfRule>
    <cfRule type="cellIs" dxfId="1344" priority="348" stopIfTrue="1" operator="equal">
      <formula>"Napkin Hs"</formula>
    </cfRule>
  </conditionalFormatting>
  <conditionalFormatting sqref="C96">
    <cfRule type="cellIs" dxfId="1343" priority="345" stopIfTrue="1" operator="equal">
      <formula>"Towel"</formula>
    </cfRule>
    <cfRule type="cellIs" dxfId="1342" priority="346" stopIfTrue="1" operator="equal">
      <formula>"Napkin Hs"</formula>
    </cfRule>
  </conditionalFormatting>
  <conditionalFormatting sqref="C96">
    <cfRule type="cellIs" dxfId="1341" priority="344" stopIfTrue="1" operator="equal">
      <formula>"Napkin Hs"</formula>
    </cfRule>
  </conditionalFormatting>
  <conditionalFormatting sqref="C96">
    <cfRule type="cellIs" dxfId="1340" priority="341" stopIfTrue="1" operator="equal">
      <formula>"Towel"</formula>
    </cfRule>
    <cfRule type="cellIs" dxfId="1339" priority="342" stopIfTrue="1" operator="equal">
      <formula>"Napkin Hs"</formula>
    </cfRule>
  </conditionalFormatting>
  <conditionalFormatting sqref="C96">
    <cfRule type="cellIs" dxfId="1338" priority="343" stopIfTrue="1" operator="equal">
      <formula>"Towel"</formula>
    </cfRule>
  </conditionalFormatting>
  <conditionalFormatting sqref="B96">
    <cfRule type="cellIs" dxfId="1337" priority="339" stopIfTrue="1" operator="equal">
      <formula>"Towel"</formula>
    </cfRule>
    <cfRule type="cellIs" dxfId="1336" priority="340" stopIfTrue="1" operator="equal">
      <formula>"Napkin Hs"</formula>
    </cfRule>
  </conditionalFormatting>
  <conditionalFormatting sqref="C95">
    <cfRule type="cellIs" dxfId="1335" priority="337" stopIfTrue="1" operator="equal">
      <formula>"Towel"</formula>
    </cfRule>
    <cfRule type="cellIs" dxfId="1334" priority="338" stopIfTrue="1" operator="equal">
      <formula>"Napkin Hs"</formula>
    </cfRule>
  </conditionalFormatting>
  <conditionalFormatting sqref="C95">
    <cfRule type="cellIs" dxfId="1333" priority="336" stopIfTrue="1" operator="equal">
      <formula>"Napkin Hs"</formula>
    </cfRule>
  </conditionalFormatting>
  <conditionalFormatting sqref="C95">
    <cfRule type="cellIs" dxfId="1332" priority="333" stopIfTrue="1" operator="equal">
      <formula>"Towel"</formula>
    </cfRule>
    <cfRule type="cellIs" dxfId="1331" priority="334" stopIfTrue="1" operator="equal">
      <formula>"Napkin Hs"</formula>
    </cfRule>
  </conditionalFormatting>
  <conditionalFormatting sqref="C95">
    <cfRule type="cellIs" dxfId="1330" priority="335" stopIfTrue="1" operator="equal">
      <formula>"Towel"</formula>
    </cfRule>
  </conditionalFormatting>
  <conditionalFormatting sqref="B95">
    <cfRule type="cellIs" dxfId="1329" priority="331" stopIfTrue="1" operator="equal">
      <formula>"Towel"</formula>
    </cfRule>
    <cfRule type="cellIs" dxfId="1328" priority="332" stopIfTrue="1" operator="equal">
      <formula>"Napkin Hs"</formula>
    </cfRule>
  </conditionalFormatting>
  <conditionalFormatting sqref="B103:C103">
    <cfRule type="cellIs" dxfId="1327" priority="329" stopIfTrue="1" operator="equal">
      <formula>"Towel"</formula>
    </cfRule>
    <cfRule type="cellIs" dxfId="1326" priority="330" stopIfTrue="1" operator="equal">
      <formula>"Napkin Hs"</formula>
    </cfRule>
  </conditionalFormatting>
  <conditionalFormatting sqref="C103">
    <cfRule type="cellIs" dxfId="1325" priority="328" stopIfTrue="1" operator="equal">
      <formula>"Napkin Hs"</formula>
    </cfRule>
  </conditionalFormatting>
  <conditionalFormatting sqref="C103">
    <cfRule type="cellIs" dxfId="1324" priority="325" stopIfTrue="1" operator="equal">
      <formula>"Towel"</formula>
    </cfRule>
    <cfRule type="cellIs" dxfId="1323" priority="326" stopIfTrue="1" operator="equal">
      <formula>"Napkin Hs"</formula>
    </cfRule>
  </conditionalFormatting>
  <conditionalFormatting sqref="C103">
    <cfRule type="cellIs" dxfId="1322" priority="327" stopIfTrue="1" operator="equal">
      <formula>"Towel"</formula>
    </cfRule>
  </conditionalFormatting>
  <conditionalFormatting sqref="C100">
    <cfRule type="cellIs" dxfId="1321" priority="313" stopIfTrue="1" operator="equal">
      <formula>"Towel"</formula>
    </cfRule>
    <cfRule type="cellIs" dxfId="1320" priority="314" stopIfTrue="1" operator="equal">
      <formula>"Napkin Hs"</formula>
    </cfRule>
  </conditionalFormatting>
  <conditionalFormatting sqref="C100">
    <cfRule type="cellIs" dxfId="1319" priority="312" stopIfTrue="1" operator="equal">
      <formula>"Napkin Hs"</formula>
    </cfRule>
  </conditionalFormatting>
  <conditionalFormatting sqref="C100">
    <cfRule type="cellIs" dxfId="1318" priority="309" stopIfTrue="1" operator="equal">
      <formula>"Towel"</formula>
    </cfRule>
    <cfRule type="cellIs" dxfId="1317" priority="310" stopIfTrue="1" operator="equal">
      <formula>"Napkin Hs"</formula>
    </cfRule>
  </conditionalFormatting>
  <conditionalFormatting sqref="C100">
    <cfRule type="cellIs" dxfId="1316" priority="311" stopIfTrue="1" operator="equal">
      <formula>"Towel"</formula>
    </cfRule>
  </conditionalFormatting>
  <conditionalFormatting sqref="B100">
    <cfRule type="cellIs" dxfId="1315" priority="307" stopIfTrue="1" operator="equal">
      <formula>"Towel"</formula>
    </cfRule>
    <cfRule type="cellIs" dxfId="1314" priority="308" stopIfTrue="1" operator="equal">
      <formula>"Napkin Hs"</formula>
    </cfRule>
  </conditionalFormatting>
  <conditionalFormatting sqref="B108:C108 C107">
    <cfRule type="cellIs" dxfId="1313" priority="305" stopIfTrue="1" operator="equal">
      <formula>"Towel"</formula>
    </cfRule>
    <cfRule type="cellIs" dxfId="1312" priority="306" stopIfTrue="1" operator="equal">
      <formula>"Napkin Hs"</formula>
    </cfRule>
  </conditionalFormatting>
  <conditionalFormatting sqref="C107:C108">
    <cfRule type="cellIs" dxfId="1311" priority="304" stopIfTrue="1" operator="equal">
      <formula>"Napkin Hs"</formula>
    </cfRule>
  </conditionalFormatting>
  <conditionalFormatting sqref="C107:C108">
    <cfRule type="cellIs" dxfId="1310" priority="301" stopIfTrue="1" operator="equal">
      <formula>"Towel"</formula>
    </cfRule>
    <cfRule type="cellIs" dxfId="1309" priority="302" stopIfTrue="1" operator="equal">
      <formula>"Napkin Hs"</formula>
    </cfRule>
  </conditionalFormatting>
  <conditionalFormatting sqref="C107:C108">
    <cfRule type="cellIs" dxfId="1308" priority="303" stopIfTrue="1" operator="equal">
      <formula>"Towel"</formula>
    </cfRule>
  </conditionalFormatting>
  <conditionalFormatting sqref="B107">
    <cfRule type="cellIs" dxfId="1307" priority="299" stopIfTrue="1" operator="equal">
      <formula>"Towel"</formula>
    </cfRule>
    <cfRule type="cellIs" dxfId="1306" priority="300" stopIfTrue="1" operator="equal">
      <formula>"Napkin Hs"</formula>
    </cfRule>
  </conditionalFormatting>
  <conditionalFormatting sqref="C106">
    <cfRule type="cellIs" dxfId="1305" priority="297" stopIfTrue="1" operator="equal">
      <formula>"Towel"</formula>
    </cfRule>
    <cfRule type="cellIs" dxfId="1304" priority="298" stopIfTrue="1" operator="equal">
      <formula>"Napkin Hs"</formula>
    </cfRule>
  </conditionalFormatting>
  <conditionalFormatting sqref="C106">
    <cfRule type="cellIs" dxfId="1303" priority="296" stopIfTrue="1" operator="equal">
      <formula>"Napkin Hs"</formula>
    </cfRule>
  </conditionalFormatting>
  <conditionalFormatting sqref="C106">
    <cfRule type="cellIs" dxfId="1302" priority="293" stopIfTrue="1" operator="equal">
      <formula>"Towel"</formula>
    </cfRule>
    <cfRule type="cellIs" dxfId="1301" priority="294" stopIfTrue="1" operator="equal">
      <formula>"Napkin Hs"</formula>
    </cfRule>
  </conditionalFormatting>
  <conditionalFormatting sqref="C106">
    <cfRule type="cellIs" dxfId="1300" priority="295" stopIfTrue="1" operator="equal">
      <formula>"Towel"</formula>
    </cfRule>
  </conditionalFormatting>
  <conditionalFormatting sqref="B106">
    <cfRule type="cellIs" dxfId="1299" priority="291" stopIfTrue="1" operator="equal">
      <formula>"Towel"</formula>
    </cfRule>
    <cfRule type="cellIs" dxfId="1298" priority="292" stopIfTrue="1" operator="equal">
      <formula>"Napkin Hs"</formula>
    </cfRule>
  </conditionalFormatting>
  <conditionalFormatting sqref="B101:C101">
    <cfRule type="cellIs" dxfId="1297" priority="281" stopIfTrue="1" operator="equal">
      <formula>"Towel"</formula>
    </cfRule>
    <cfRule type="cellIs" dxfId="1296" priority="282" stopIfTrue="1" operator="equal">
      <formula>"Napkin Hs"</formula>
    </cfRule>
  </conditionalFormatting>
  <conditionalFormatting sqref="C101">
    <cfRule type="cellIs" dxfId="1295" priority="280" stopIfTrue="1" operator="equal">
      <formula>"Napkin Hs"</formula>
    </cfRule>
  </conditionalFormatting>
  <conditionalFormatting sqref="C101">
    <cfRule type="cellIs" dxfId="1294" priority="277" stopIfTrue="1" operator="equal">
      <formula>"Towel"</formula>
    </cfRule>
    <cfRule type="cellIs" dxfId="1293" priority="278" stopIfTrue="1" operator="equal">
      <formula>"Napkin Hs"</formula>
    </cfRule>
  </conditionalFormatting>
  <conditionalFormatting sqref="C101">
    <cfRule type="cellIs" dxfId="1292" priority="279" stopIfTrue="1" operator="equal">
      <formula>"Towel"</formula>
    </cfRule>
  </conditionalFormatting>
  <conditionalFormatting sqref="B105:C105">
    <cfRule type="cellIs" dxfId="1291" priority="275" stopIfTrue="1" operator="equal">
      <formula>"Towel"</formula>
    </cfRule>
    <cfRule type="cellIs" dxfId="1290" priority="276" stopIfTrue="1" operator="equal">
      <formula>"Napkin Hs"</formula>
    </cfRule>
  </conditionalFormatting>
  <conditionalFormatting sqref="C105">
    <cfRule type="cellIs" dxfId="1289" priority="274" stopIfTrue="1" operator="equal">
      <formula>"Napkin Hs"</formula>
    </cfRule>
  </conditionalFormatting>
  <conditionalFormatting sqref="C105">
    <cfRule type="cellIs" dxfId="1288" priority="271" stopIfTrue="1" operator="equal">
      <formula>"Towel"</formula>
    </cfRule>
    <cfRule type="cellIs" dxfId="1287" priority="272" stopIfTrue="1" operator="equal">
      <formula>"Napkin Hs"</formula>
    </cfRule>
  </conditionalFormatting>
  <conditionalFormatting sqref="C105">
    <cfRule type="cellIs" dxfId="1286" priority="273" stopIfTrue="1" operator="equal">
      <formula>"Towel"</formula>
    </cfRule>
  </conditionalFormatting>
  <conditionalFormatting sqref="B102:C102">
    <cfRule type="cellIs" dxfId="1285" priority="269" stopIfTrue="1" operator="equal">
      <formula>"Towel"</formula>
    </cfRule>
    <cfRule type="cellIs" dxfId="1284" priority="270" stopIfTrue="1" operator="equal">
      <formula>"Napkin Hs"</formula>
    </cfRule>
  </conditionalFormatting>
  <conditionalFormatting sqref="C102">
    <cfRule type="cellIs" dxfId="1283" priority="268" stopIfTrue="1" operator="equal">
      <formula>"Napkin Hs"</formula>
    </cfRule>
  </conditionalFormatting>
  <conditionalFormatting sqref="C102">
    <cfRule type="cellIs" dxfId="1282" priority="265" stopIfTrue="1" operator="equal">
      <formula>"Towel"</formula>
    </cfRule>
    <cfRule type="cellIs" dxfId="1281" priority="266" stopIfTrue="1" operator="equal">
      <formula>"Napkin Hs"</formula>
    </cfRule>
  </conditionalFormatting>
  <conditionalFormatting sqref="C102">
    <cfRule type="cellIs" dxfId="1280" priority="267" stopIfTrue="1" operator="equal">
      <formula>"Towel"</formula>
    </cfRule>
  </conditionalFormatting>
  <conditionalFormatting sqref="B113:C113 C112">
    <cfRule type="cellIs" dxfId="1279" priority="263" stopIfTrue="1" operator="equal">
      <formula>"Towel"</formula>
    </cfRule>
    <cfRule type="cellIs" dxfId="1278" priority="264" stopIfTrue="1" operator="equal">
      <formula>"Napkin Hs"</formula>
    </cfRule>
  </conditionalFormatting>
  <conditionalFormatting sqref="C112:C113">
    <cfRule type="cellIs" dxfId="1277" priority="262" stopIfTrue="1" operator="equal">
      <formula>"Napkin Hs"</formula>
    </cfRule>
  </conditionalFormatting>
  <conditionalFormatting sqref="C112:C113">
    <cfRule type="cellIs" dxfId="1276" priority="259" stopIfTrue="1" operator="equal">
      <formula>"Towel"</formula>
    </cfRule>
    <cfRule type="cellIs" dxfId="1275" priority="260" stopIfTrue="1" operator="equal">
      <formula>"Napkin Hs"</formula>
    </cfRule>
  </conditionalFormatting>
  <conditionalFormatting sqref="C112:C113">
    <cfRule type="cellIs" dxfId="1274" priority="261" stopIfTrue="1" operator="equal">
      <formula>"Towel"</formula>
    </cfRule>
  </conditionalFormatting>
  <conditionalFormatting sqref="B112">
    <cfRule type="cellIs" dxfId="1273" priority="257" stopIfTrue="1" operator="equal">
      <formula>"Towel"</formula>
    </cfRule>
    <cfRule type="cellIs" dxfId="1272" priority="258" stopIfTrue="1" operator="equal">
      <formula>"Napkin Hs"</formula>
    </cfRule>
  </conditionalFormatting>
  <conditionalFormatting sqref="C111">
    <cfRule type="cellIs" dxfId="1271" priority="255" stopIfTrue="1" operator="equal">
      <formula>"Towel"</formula>
    </cfRule>
    <cfRule type="cellIs" dxfId="1270" priority="256" stopIfTrue="1" operator="equal">
      <formula>"Napkin Hs"</formula>
    </cfRule>
  </conditionalFormatting>
  <conditionalFormatting sqref="C111">
    <cfRule type="cellIs" dxfId="1269" priority="254" stopIfTrue="1" operator="equal">
      <formula>"Napkin Hs"</formula>
    </cfRule>
  </conditionalFormatting>
  <conditionalFormatting sqref="C111">
    <cfRule type="cellIs" dxfId="1268" priority="251" stopIfTrue="1" operator="equal">
      <formula>"Towel"</formula>
    </cfRule>
    <cfRule type="cellIs" dxfId="1267" priority="252" stopIfTrue="1" operator="equal">
      <formula>"Napkin Hs"</formula>
    </cfRule>
  </conditionalFormatting>
  <conditionalFormatting sqref="C111">
    <cfRule type="cellIs" dxfId="1266" priority="253" stopIfTrue="1" operator="equal">
      <formula>"Towel"</formula>
    </cfRule>
  </conditionalFormatting>
  <conditionalFormatting sqref="B111">
    <cfRule type="cellIs" dxfId="1265" priority="249" stopIfTrue="1" operator="equal">
      <formula>"Towel"</formula>
    </cfRule>
    <cfRule type="cellIs" dxfId="1264" priority="250" stopIfTrue="1" operator="equal">
      <formula>"Napkin Hs"</formula>
    </cfRule>
  </conditionalFormatting>
  <conditionalFormatting sqref="B110:C110">
    <cfRule type="cellIs" dxfId="1263" priority="247" stopIfTrue="1" operator="equal">
      <formula>"Towel"</formula>
    </cfRule>
    <cfRule type="cellIs" dxfId="1262" priority="248" stopIfTrue="1" operator="equal">
      <formula>"Napkin Hs"</formula>
    </cfRule>
  </conditionalFormatting>
  <conditionalFormatting sqref="C110">
    <cfRule type="cellIs" dxfId="1261" priority="246" stopIfTrue="1" operator="equal">
      <formula>"Napkin Hs"</formula>
    </cfRule>
  </conditionalFormatting>
  <conditionalFormatting sqref="C110">
    <cfRule type="cellIs" dxfId="1260" priority="243" stopIfTrue="1" operator="equal">
      <formula>"Towel"</formula>
    </cfRule>
    <cfRule type="cellIs" dxfId="1259" priority="244" stopIfTrue="1" operator="equal">
      <formula>"Napkin Hs"</formula>
    </cfRule>
  </conditionalFormatting>
  <conditionalFormatting sqref="C110">
    <cfRule type="cellIs" dxfId="1258" priority="245" stopIfTrue="1" operator="equal">
      <formula>"Towel"</formula>
    </cfRule>
  </conditionalFormatting>
  <conditionalFormatting sqref="B118:C118 C117">
    <cfRule type="cellIs" dxfId="1257" priority="241" stopIfTrue="1" operator="equal">
      <formula>"Towel"</formula>
    </cfRule>
    <cfRule type="cellIs" dxfId="1256" priority="242" stopIfTrue="1" operator="equal">
      <formula>"Napkin Hs"</formula>
    </cfRule>
  </conditionalFormatting>
  <conditionalFormatting sqref="C117:C118">
    <cfRule type="cellIs" dxfId="1255" priority="240" stopIfTrue="1" operator="equal">
      <formula>"Napkin Hs"</formula>
    </cfRule>
  </conditionalFormatting>
  <conditionalFormatting sqref="C117:C118">
    <cfRule type="cellIs" dxfId="1254" priority="237" stopIfTrue="1" operator="equal">
      <formula>"Towel"</formula>
    </cfRule>
    <cfRule type="cellIs" dxfId="1253" priority="238" stopIfTrue="1" operator="equal">
      <formula>"Napkin Hs"</formula>
    </cfRule>
  </conditionalFormatting>
  <conditionalFormatting sqref="C117:C118">
    <cfRule type="cellIs" dxfId="1252" priority="239" stopIfTrue="1" operator="equal">
      <formula>"Towel"</formula>
    </cfRule>
  </conditionalFormatting>
  <conditionalFormatting sqref="B117">
    <cfRule type="cellIs" dxfId="1251" priority="235" stopIfTrue="1" operator="equal">
      <formula>"Towel"</formula>
    </cfRule>
    <cfRule type="cellIs" dxfId="1250" priority="236" stopIfTrue="1" operator="equal">
      <formula>"Napkin Hs"</formula>
    </cfRule>
  </conditionalFormatting>
  <conditionalFormatting sqref="C116">
    <cfRule type="cellIs" dxfId="1249" priority="233" stopIfTrue="1" operator="equal">
      <formula>"Towel"</formula>
    </cfRule>
    <cfRule type="cellIs" dxfId="1248" priority="234" stopIfTrue="1" operator="equal">
      <formula>"Napkin Hs"</formula>
    </cfRule>
  </conditionalFormatting>
  <conditionalFormatting sqref="C116">
    <cfRule type="cellIs" dxfId="1247" priority="232" stopIfTrue="1" operator="equal">
      <formula>"Napkin Hs"</formula>
    </cfRule>
  </conditionalFormatting>
  <conditionalFormatting sqref="C116">
    <cfRule type="cellIs" dxfId="1246" priority="229" stopIfTrue="1" operator="equal">
      <formula>"Towel"</formula>
    </cfRule>
    <cfRule type="cellIs" dxfId="1245" priority="230" stopIfTrue="1" operator="equal">
      <formula>"Napkin Hs"</formula>
    </cfRule>
  </conditionalFormatting>
  <conditionalFormatting sqref="C116">
    <cfRule type="cellIs" dxfId="1244" priority="231" stopIfTrue="1" operator="equal">
      <formula>"Towel"</formula>
    </cfRule>
  </conditionalFormatting>
  <conditionalFormatting sqref="B116">
    <cfRule type="cellIs" dxfId="1243" priority="227" stopIfTrue="1" operator="equal">
      <formula>"Towel"</formula>
    </cfRule>
    <cfRule type="cellIs" dxfId="1242" priority="228" stopIfTrue="1" operator="equal">
      <formula>"Napkin Hs"</formula>
    </cfRule>
  </conditionalFormatting>
  <conditionalFormatting sqref="B115:C115">
    <cfRule type="cellIs" dxfId="1241" priority="225" stopIfTrue="1" operator="equal">
      <formula>"Towel"</formula>
    </cfRule>
    <cfRule type="cellIs" dxfId="1240" priority="226" stopIfTrue="1" operator="equal">
      <formula>"Napkin Hs"</formula>
    </cfRule>
  </conditionalFormatting>
  <conditionalFormatting sqref="C115">
    <cfRule type="cellIs" dxfId="1239" priority="224" stopIfTrue="1" operator="equal">
      <formula>"Napkin Hs"</formula>
    </cfRule>
  </conditionalFormatting>
  <conditionalFormatting sqref="C115">
    <cfRule type="cellIs" dxfId="1238" priority="221" stopIfTrue="1" operator="equal">
      <formula>"Towel"</formula>
    </cfRule>
    <cfRule type="cellIs" dxfId="1237" priority="222" stopIfTrue="1" operator="equal">
      <formula>"Napkin Hs"</formula>
    </cfRule>
  </conditionalFormatting>
  <conditionalFormatting sqref="C115">
    <cfRule type="cellIs" dxfId="1236" priority="223" stopIfTrue="1" operator="equal">
      <formula>"Towel"</formula>
    </cfRule>
  </conditionalFormatting>
  <conditionalFormatting sqref="B123:C123 C122">
    <cfRule type="cellIs" dxfId="1235" priority="219" stopIfTrue="1" operator="equal">
      <formula>"Towel"</formula>
    </cfRule>
    <cfRule type="cellIs" dxfId="1234" priority="220" stopIfTrue="1" operator="equal">
      <formula>"Napkin Hs"</formula>
    </cfRule>
  </conditionalFormatting>
  <conditionalFormatting sqref="C122:C123">
    <cfRule type="cellIs" dxfId="1233" priority="218" stopIfTrue="1" operator="equal">
      <formula>"Napkin Hs"</formula>
    </cfRule>
  </conditionalFormatting>
  <conditionalFormatting sqref="C122:C123">
    <cfRule type="cellIs" dxfId="1232" priority="215" stopIfTrue="1" operator="equal">
      <formula>"Towel"</formula>
    </cfRule>
    <cfRule type="cellIs" dxfId="1231" priority="216" stopIfTrue="1" operator="equal">
      <formula>"Napkin Hs"</formula>
    </cfRule>
  </conditionalFormatting>
  <conditionalFormatting sqref="C122:C123">
    <cfRule type="cellIs" dxfId="1230" priority="217" stopIfTrue="1" operator="equal">
      <formula>"Towel"</formula>
    </cfRule>
  </conditionalFormatting>
  <conditionalFormatting sqref="B122">
    <cfRule type="cellIs" dxfId="1229" priority="213" stopIfTrue="1" operator="equal">
      <formula>"Towel"</formula>
    </cfRule>
    <cfRule type="cellIs" dxfId="1228" priority="214" stopIfTrue="1" operator="equal">
      <formula>"Napkin Hs"</formula>
    </cfRule>
  </conditionalFormatting>
  <conditionalFormatting sqref="B120:C121">
    <cfRule type="cellIs" dxfId="1227" priority="203" stopIfTrue="1" operator="equal">
      <formula>"Towel"</formula>
    </cfRule>
    <cfRule type="cellIs" dxfId="1226" priority="204" stopIfTrue="1" operator="equal">
      <formula>"Napkin Hs"</formula>
    </cfRule>
  </conditionalFormatting>
  <conditionalFormatting sqref="C120:C121">
    <cfRule type="cellIs" dxfId="1225" priority="202" stopIfTrue="1" operator="equal">
      <formula>"Napkin Hs"</formula>
    </cfRule>
  </conditionalFormatting>
  <conditionalFormatting sqref="C120:C121">
    <cfRule type="cellIs" dxfId="1224" priority="199" stopIfTrue="1" operator="equal">
      <formula>"Towel"</formula>
    </cfRule>
    <cfRule type="cellIs" dxfId="1223" priority="200" stopIfTrue="1" operator="equal">
      <formula>"Napkin Hs"</formula>
    </cfRule>
  </conditionalFormatting>
  <conditionalFormatting sqref="C120:C121">
    <cfRule type="cellIs" dxfId="1222" priority="201" stopIfTrue="1" operator="equal">
      <formula>"Towel"</formula>
    </cfRule>
  </conditionalFormatting>
  <conditionalFormatting sqref="B128:C128 C127">
    <cfRule type="cellIs" dxfId="1221" priority="197" stopIfTrue="1" operator="equal">
      <formula>"Towel"</formula>
    </cfRule>
    <cfRule type="cellIs" dxfId="1220" priority="198" stopIfTrue="1" operator="equal">
      <formula>"Napkin Hs"</formula>
    </cfRule>
  </conditionalFormatting>
  <conditionalFormatting sqref="C127:C128">
    <cfRule type="cellIs" dxfId="1219" priority="196" stopIfTrue="1" operator="equal">
      <formula>"Napkin Hs"</formula>
    </cfRule>
  </conditionalFormatting>
  <conditionalFormatting sqref="C127:C128">
    <cfRule type="cellIs" dxfId="1218" priority="193" stopIfTrue="1" operator="equal">
      <formula>"Towel"</formula>
    </cfRule>
    <cfRule type="cellIs" dxfId="1217" priority="194" stopIfTrue="1" operator="equal">
      <formula>"Napkin Hs"</formula>
    </cfRule>
  </conditionalFormatting>
  <conditionalFormatting sqref="C127:C128">
    <cfRule type="cellIs" dxfId="1216" priority="195" stopIfTrue="1" operator="equal">
      <formula>"Towel"</formula>
    </cfRule>
  </conditionalFormatting>
  <conditionalFormatting sqref="B127">
    <cfRule type="cellIs" dxfId="1215" priority="191" stopIfTrue="1" operator="equal">
      <formula>"Towel"</formula>
    </cfRule>
    <cfRule type="cellIs" dxfId="1214" priority="192" stopIfTrue="1" operator="equal">
      <formula>"Napkin Hs"</formula>
    </cfRule>
  </conditionalFormatting>
  <conditionalFormatting sqref="B126:C126">
    <cfRule type="cellIs" dxfId="1213" priority="189" stopIfTrue="1" operator="equal">
      <formula>"Towel"</formula>
    </cfRule>
    <cfRule type="cellIs" dxfId="1212" priority="190" stopIfTrue="1" operator="equal">
      <formula>"Napkin Hs"</formula>
    </cfRule>
  </conditionalFormatting>
  <conditionalFormatting sqref="C126">
    <cfRule type="cellIs" dxfId="1211" priority="188" stopIfTrue="1" operator="equal">
      <formula>"Napkin Hs"</formula>
    </cfRule>
  </conditionalFormatting>
  <conditionalFormatting sqref="C126">
    <cfRule type="cellIs" dxfId="1210" priority="185" stopIfTrue="1" operator="equal">
      <formula>"Towel"</formula>
    </cfRule>
    <cfRule type="cellIs" dxfId="1209" priority="186" stopIfTrue="1" operator="equal">
      <formula>"Napkin Hs"</formula>
    </cfRule>
  </conditionalFormatting>
  <conditionalFormatting sqref="C126">
    <cfRule type="cellIs" dxfId="1208" priority="187" stopIfTrue="1" operator="equal">
      <formula>"Towel"</formula>
    </cfRule>
  </conditionalFormatting>
  <conditionalFormatting sqref="B125:C125">
    <cfRule type="cellIs" dxfId="1207" priority="183" stopIfTrue="1" operator="equal">
      <formula>"Towel"</formula>
    </cfRule>
    <cfRule type="cellIs" dxfId="1206" priority="184" stopIfTrue="1" operator="equal">
      <formula>"Napkin Hs"</formula>
    </cfRule>
  </conditionalFormatting>
  <conditionalFormatting sqref="C125">
    <cfRule type="cellIs" dxfId="1205" priority="182" stopIfTrue="1" operator="equal">
      <formula>"Napkin Hs"</formula>
    </cfRule>
  </conditionalFormatting>
  <conditionalFormatting sqref="C125">
    <cfRule type="cellIs" dxfId="1204" priority="179" stopIfTrue="1" operator="equal">
      <formula>"Towel"</formula>
    </cfRule>
    <cfRule type="cellIs" dxfId="1203" priority="180" stopIfTrue="1" operator="equal">
      <formula>"Napkin Hs"</formula>
    </cfRule>
  </conditionalFormatting>
  <conditionalFormatting sqref="C125">
    <cfRule type="cellIs" dxfId="1202" priority="181" stopIfTrue="1" operator="equal">
      <formula>"Towel"</formula>
    </cfRule>
  </conditionalFormatting>
  <conditionalFormatting sqref="B133:C133 C132">
    <cfRule type="cellIs" dxfId="1201" priority="177" stopIfTrue="1" operator="equal">
      <formula>"Towel"</formula>
    </cfRule>
    <cfRule type="cellIs" dxfId="1200" priority="178" stopIfTrue="1" operator="equal">
      <formula>"Napkin Hs"</formula>
    </cfRule>
  </conditionalFormatting>
  <conditionalFormatting sqref="C132:C133">
    <cfRule type="cellIs" dxfId="1199" priority="176" stopIfTrue="1" operator="equal">
      <formula>"Napkin Hs"</formula>
    </cfRule>
  </conditionalFormatting>
  <conditionalFormatting sqref="C132:C133">
    <cfRule type="cellIs" dxfId="1198" priority="173" stopIfTrue="1" operator="equal">
      <formula>"Towel"</formula>
    </cfRule>
    <cfRule type="cellIs" dxfId="1197" priority="174" stopIfTrue="1" operator="equal">
      <formula>"Napkin Hs"</formula>
    </cfRule>
  </conditionalFormatting>
  <conditionalFormatting sqref="C132:C133">
    <cfRule type="cellIs" dxfId="1196" priority="175" stopIfTrue="1" operator="equal">
      <formula>"Towel"</formula>
    </cfRule>
  </conditionalFormatting>
  <conditionalFormatting sqref="B132">
    <cfRule type="cellIs" dxfId="1195" priority="171" stopIfTrue="1" operator="equal">
      <formula>"Towel"</formula>
    </cfRule>
    <cfRule type="cellIs" dxfId="1194" priority="172" stopIfTrue="1" operator="equal">
      <formula>"Napkin Hs"</formula>
    </cfRule>
  </conditionalFormatting>
  <conditionalFormatting sqref="B131:C131">
    <cfRule type="cellIs" dxfId="1193" priority="169" stopIfTrue="1" operator="equal">
      <formula>"Towel"</formula>
    </cfRule>
    <cfRule type="cellIs" dxfId="1192" priority="170" stopIfTrue="1" operator="equal">
      <formula>"Napkin Hs"</formula>
    </cfRule>
  </conditionalFormatting>
  <conditionalFormatting sqref="C131">
    <cfRule type="cellIs" dxfId="1191" priority="168" stopIfTrue="1" operator="equal">
      <formula>"Napkin Hs"</formula>
    </cfRule>
  </conditionalFormatting>
  <conditionalFormatting sqref="C131">
    <cfRule type="cellIs" dxfId="1190" priority="165" stopIfTrue="1" operator="equal">
      <formula>"Towel"</formula>
    </cfRule>
    <cfRule type="cellIs" dxfId="1189" priority="166" stopIfTrue="1" operator="equal">
      <formula>"Napkin Hs"</formula>
    </cfRule>
  </conditionalFormatting>
  <conditionalFormatting sqref="C131">
    <cfRule type="cellIs" dxfId="1188" priority="167" stopIfTrue="1" operator="equal">
      <formula>"Towel"</formula>
    </cfRule>
  </conditionalFormatting>
  <conditionalFormatting sqref="B130:C130">
    <cfRule type="cellIs" dxfId="1187" priority="157" stopIfTrue="1" operator="equal">
      <formula>"Towel"</formula>
    </cfRule>
    <cfRule type="cellIs" dxfId="1186" priority="158" stopIfTrue="1" operator="equal">
      <formula>"Napkin Hs"</formula>
    </cfRule>
  </conditionalFormatting>
  <conditionalFormatting sqref="C130">
    <cfRule type="cellIs" dxfId="1185" priority="156" stopIfTrue="1" operator="equal">
      <formula>"Napkin Hs"</formula>
    </cfRule>
  </conditionalFormatting>
  <conditionalFormatting sqref="C130">
    <cfRule type="cellIs" dxfId="1184" priority="153" stopIfTrue="1" operator="equal">
      <formula>"Towel"</formula>
    </cfRule>
    <cfRule type="cellIs" dxfId="1183" priority="154" stopIfTrue="1" operator="equal">
      <formula>"Napkin Hs"</formula>
    </cfRule>
  </conditionalFormatting>
  <conditionalFormatting sqref="C130">
    <cfRule type="cellIs" dxfId="1182" priority="155" stopIfTrue="1" operator="equal">
      <formula>"Towel"</formula>
    </cfRule>
  </conditionalFormatting>
  <conditionalFormatting sqref="B138:C138 C137">
    <cfRule type="cellIs" dxfId="1181" priority="151" stopIfTrue="1" operator="equal">
      <formula>"Towel"</formula>
    </cfRule>
    <cfRule type="cellIs" dxfId="1180" priority="152" stopIfTrue="1" operator="equal">
      <formula>"Napkin Hs"</formula>
    </cfRule>
  </conditionalFormatting>
  <conditionalFormatting sqref="C137:C138">
    <cfRule type="cellIs" dxfId="1179" priority="150" stopIfTrue="1" operator="equal">
      <formula>"Napkin Hs"</formula>
    </cfRule>
  </conditionalFormatting>
  <conditionalFormatting sqref="C137:C138">
    <cfRule type="cellIs" dxfId="1178" priority="147" stopIfTrue="1" operator="equal">
      <formula>"Towel"</formula>
    </cfRule>
    <cfRule type="cellIs" dxfId="1177" priority="148" stopIfTrue="1" operator="equal">
      <formula>"Napkin Hs"</formula>
    </cfRule>
  </conditionalFormatting>
  <conditionalFormatting sqref="C137:C138">
    <cfRule type="cellIs" dxfId="1176" priority="149" stopIfTrue="1" operator="equal">
      <formula>"Towel"</formula>
    </cfRule>
  </conditionalFormatting>
  <conditionalFormatting sqref="B137">
    <cfRule type="cellIs" dxfId="1175" priority="145" stopIfTrue="1" operator="equal">
      <formula>"Towel"</formula>
    </cfRule>
    <cfRule type="cellIs" dxfId="1174" priority="146" stopIfTrue="1" operator="equal">
      <formula>"Napkin Hs"</formula>
    </cfRule>
  </conditionalFormatting>
  <conditionalFormatting sqref="B136:C136">
    <cfRule type="cellIs" dxfId="1173" priority="143" stopIfTrue="1" operator="equal">
      <formula>"Towel"</formula>
    </cfRule>
    <cfRule type="cellIs" dxfId="1172" priority="144" stopIfTrue="1" operator="equal">
      <formula>"Napkin Hs"</formula>
    </cfRule>
  </conditionalFormatting>
  <conditionalFormatting sqref="C136">
    <cfRule type="cellIs" dxfId="1171" priority="142" stopIfTrue="1" operator="equal">
      <formula>"Napkin Hs"</formula>
    </cfRule>
  </conditionalFormatting>
  <conditionalFormatting sqref="C136">
    <cfRule type="cellIs" dxfId="1170" priority="139" stopIfTrue="1" operator="equal">
      <formula>"Towel"</formula>
    </cfRule>
    <cfRule type="cellIs" dxfId="1169" priority="140" stopIfTrue="1" operator="equal">
      <formula>"Napkin Hs"</formula>
    </cfRule>
  </conditionalFormatting>
  <conditionalFormatting sqref="C136">
    <cfRule type="cellIs" dxfId="1168" priority="141" stopIfTrue="1" operator="equal">
      <formula>"Towel"</formula>
    </cfRule>
  </conditionalFormatting>
  <conditionalFormatting sqref="B135:C135">
    <cfRule type="cellIs" dxfId="1167" priority="131" stopIfTrue="1" operator="equal">
      <formula>"Towel"</formula>
    </cfRule>
    <cfRule type="cellIs" dxfId="1166" priority="132" stopIfTrue="1" operator="equal">
      <formula>"Napkin Hs"</formula>
    </cfRule>
  </conditionalFormatting>
  <conditionalFormatting sqref="C135">
    <cfRule type="cellIs" dxfId="1165" priority="130" stopIfTrue="1" operator="equal">
      <formula>"Napkin Hs"</formula>
    </cfRule>
  </conditionalFormatting>
  <conditionalFormatting sqref="C135">
    <cfRule type="cellIs" dxfId="1164" priority="127" stopIfTrue="1" operator="equal">
      <formula>"Towel"</formula>
    </cfRule>
    <cfRule type="cellIs" dxfId="1163" priority="128" stopIfTrue="1" operator="equal">
      <formula>"Napkin Hs"</formula>
    </cfRule>
  </conditionalFormatting>
  <conditionalFormatting sqref="C135">
    <cfRule type="cellIs" dxfId="1162" priority="129" stopIfTrue="1" operator="equal">
      <formula>"Towel"</formula>
    </cfRule>
  </conditionalFormatting>
  <conditionalFormatting sqref="B143:C143 C142">
    <cfRule type="cellIs" dxfId="1161" priority="125" stopIfTrue="1" operator="equal">
      <formula>"Towel"</formula>
    </cfRule>
    <cfRule type="cellIs" dxfId="1160" priority="126" stopIfTrue="1" operator="equal">
      <formula>"Napkin Hs"</formula>
    </cfRule>
  </conditionalFormatting>
  <conditionalFormatting sqref="C142:C143">
    <cfRule type="cellIs" dxfId="1159" priority="124" stopIfTrue="1" operator="equal">
      <formula>"Napkin Hs"</formula>
    </cfRule>
  </conditionalFormatting>
  <conditionalFormatting sqref="C142:C143">
    <cfRule type="cellIs" dxfId="1158" priority="121" stopIfTrue="1" operator="equal">
      <formula>"Towel"</formula>
    </cfRule>
    <cfRule type="cellIs" dxfId="1157" priority="122" stopIfTrue="1" operator="equal">
      <formula>"Napkin Hs"</formula>
    </cfRule>
  </conditionalFormatting>
  <conditionalFormatting sqref="C142:C143">
    <cfRule type="cellIs" dxfId="1156" priority="123" stopIfTrue="1" operator="equal">
      <formula>"Towel"</formula>
    </cfRule>
  </conditionalFormatting>
  <conditionalFormatting sqref="B142">
    <cfRule type="cellIs" dxfId="1155" priority="119" stopIfTrue="1" operator="equal">
      <formula>"Towel"</formula>
    </cfRule>
    <cfRule type="cellIs" dxfId="1154" priority="120" stopIfTrue="1" operator="equal">
      <formula>"Napkin Hs"</formula>
    </cfRule>
  </conditionalFormatting>
  <conditionalFormatting sqref="B141:C141">
    <cfRule type="cellIs" dxfId="1153" priority="117" stopIfTrue="1" operator="equal">
      <formula>"Towel"</formula>
    </cfRule>
    <cfRule type="cellIs" dxfId="1152" priority="118" stopIfTrue="1" operator="equal">
      <formula>"Napkin Hs"</formula>
    </cfRule>
  </conditionalFormatting>
  <conditionalFormatting sqref="C141">
    <cfRule type="cellIs" dxfId="1151" priority="116" stopIfTrue="1" operator="equal">
      <formula>"Napkin Hs"</formula>
    </cfRule>
  </conditionalFormatting>
  <conditionalFormatting sqref="C141">
    <cfRule type="cellIs" dxfId="1150" priority="113" stopIfTrue="1" operator="equal">
      <formula>"Towel"</formula>
    </cfRule>
    <cfRule type="cellIs" dxfId="1149" priority="114" stopIfTrue="1" operator="equal">
      <formula>"Napkin Hs"</formula>
    </cfRule>
  </conditionalFormatting>
  <conditionalFormatting sqref="C141">
    <cfRule type="cellIs" dxfId="1148" priority="115" stopIfTrue="1" operator="equal">
      <formula>"Towel"</formula>
    </cfRule>
  </conditionalFormatting>
  <conditionalFormatting sqref="B140:C140">
    <cfRule type="cellIs" dxfId="1147" priority="111" stopIfTrue="1" operator="equal">
      <formula>"Towel"</formula>
    </cfRule>
    <cfRule type="cellIs" dxfId="1146" priority="112" stopIfTrue="1" operator="equal">
      <formula>"Napkin Hs"</formula>
    </cfRule>
  </conditionalFormatting>
  <conditionalFormatting sqref="C140">
    <cfRule type="cellIs" dxfId="1145" priority="110" stopIfTrue="1" operator="equal">
      <formula>"Napkin Hs"</formula>
    </cfRule>
  </conditionalFormatting>
  <conditionalFormatting sqref="C140">
    <cfRule type="cellIs" dxfId="1144" priority="107" stopIfTrue="1" operator="equal">
      <formula>"Towel"</formula>
    </cfRule>
    <cfRule type="cellIs" dxfId="1143" priority="108" stopIfTrue="1" operator="equal">
      <formula>"Napkin Hs"</formula>
    </cfRule>
  </conditionalFormatting>
  <conditionalFormatting sqref="C140">
    <cfRule type="cellIs" dxfId="1142" priority="109" stopIfTrue="1" operator="equal">
      <formula>"Towel"</formula>
    </cfRule>
  </conditionalFormatting>
  <conditionalFormatting sqref="B148:C148 C147">
    <cfRule type="cellIs" dxfId="1141" priority="105" stopIfTrue="1" operator="equal">
      <formula>"Towel"</formula>
    </cfRule>
    <cfRule type="cellIs" dxfId="1140" priority="106" stopIfTrue="1" operator="equal">
      <formula>"Napkin Hs"</formula>
    </cfRule>
  </conditionalFormatting>
  <conditionalFormatting sqref="C147:C148">
    <cfRule type="cellIs" dxfId="1139" priority="104" stopIfTrue="1" operator="equal">
      <formula>"Napkin Hs"</formula>
    </cfRule>
  </conditionalFormatting>
  <conditionalFormatting sqref="C147:C148">
    <cfRule type="cellIs" dxfId="1138" priority="101" stopIfTrue="1" operator="equal">
      <formula>"Towel"</formula>
    </cfRule>
    <cfRule type="cellIs" dxfId="1137" priority="102" stopIfTrue="1" operator="equal">
      <formula>"Napkin Hs"</formula>
    </cfRule>
  </conditionalFormatting>
  <conditionalFormatting sqref="C147:C148">
    <cfRule type="cellIs" dxfId="1136" priority="103" stopIfTrue="1" operator="equal">
      <formula>"Towel"</formula>
    </cfRule>
  </conditionalFormatting>
  <conditionalFormatting sqref="B147">
    <cfRule type="cellIs" dxfId="1135" priority="99" stopIfTrue="1" operator="equal">
      <formula>"Towel"</formula>
    </cfRule>
    <cfRule type="cellIs" dxfId="1134" priority="100" stopIfTrue="1" operator="equal">
      <formula>"Napkin Hs"</formula>
    </cfRule>
  </conditionalFormatting>
  <conditionalFormatting sqref="B145:C146">
    <cfRule type="cellIs" dxfId="1133" priority="91" stopIfTrue="1" operator="equal">
      <formula>"Towel"</formula>
    </cfRule>
    <cfRule type="cellIs" dxfId="1132" priority="92" stopIfTrue="1" operator="equal">
      <formula>"Napkin Hs"</formula>
    </cfRule>
  </conditionalFormatting>
  <conditionalFormatting sqref="C145:C146">
    <cfRule type="cellIs" dxfId="1131" priority="90" stopIfTrue="1" operator="equal">
      <formula>"Napkin Hs"</formula>
    </cfRule>
  </conditionalFormatting>
  <conditionalFormatting sqref="C145:C146">
    <cfRule type="cellIs" dxfId="1130" priority="87" stopIfTrue="1" operator="equal">
      <formula>"Towel"</formula>
    </cfRule>
    <cfRule type="cellIs" dxfId="1129" priority="88" stopIfTrue="1" operator="equal">
      <formula>"Napkin Hs"</formula>
    </cfRule>
  </conditionalFormatting>
  <conditionalFormatting sqref="C145:C146">
    <cfRule type="cellIs" dxfId="1128" priority="89" stopIfTrue="1" operator="equal">
      <formula>"Towel"</formula>
    </cfRule>
  </conditionalFormatting>
  <conditionalFormatting sqref="B153:C153 C152">
    <cfRule type="cellIs" dxfId="1127" priority="85" stopIfTrue="1" operator="equal">
      <formula>"Towel"</formula>
    </cfRule>
    <cfRule type="cellIs" dxfId="1126" priority="86" stopIfTrue="1" operator="equal">
      <formula>"Napkin Hs"</formula>
    </cfRule>
  </conditionalFormatting>
  <conditionalFormatting sqref="C152:C153">
    <cfRule type="cellIs" dxfId="1125" priority="84" stopIfTrue="1" operator="equal">
      <formula>"Napkin Hs"</formula>
    </cfRule>
  </conditionalFormatting>
  <conditionalFormatting sqref="C152:C153">
    <cfRule type="cellIs" dxfId="1124" priority="81" stopIfTrue="1" operator="equal">
      <formula>"Towel"</formula>
    </cfRule>
    <cfRule type="cellIs" dxfId="1123" priority="82" stopIfTrue="1" operator="equal">
      <formula>"Napkin Hs"</formula>
    </cfRule>
  </conditionalFormatting>
  <conditionalFormatting sqref="C152:C153">
    <cfRule type="cellIs" dxfId="1122" priority="83" stopIfTrue="1" operator="equal">
      <formula>"Towel"</formula>
    </cfRule>
  </conditionalFormatting>
  <conditionalFormatting sqref="B152">
    <cfRule type="cellIs" dxfId="1121" priority="79" stopIfTrue="1" operator="equal">
      <formula>"Towel"</formula>
    </cfRule>
    <cfRule type="cellIs" dxfId="1120" priority="80" stopIfTrue="1" operator="equal">
      <formula>"Napkin Hs"</formula>
    </cfRule>
  </conditionalFormatting>
  <conditionalFormatting sqref="B150:C151">
    <cfRule type="cellIs" dxfId="1119" priority="77" stopIfTrue="1" operator="equal">
      <formula>"Towel"</formula>
    </cfRule>
    <cfRule type="cellIs" dxfId="1118" priority="78" stopIfTrue="1" operator="equal">
      <formula>"Napkin Hs"</formula>
    </cfRule>
  </conditionalFormatting>
  <conditionalFormatting sqref="C150:C151">
    <cfRule type="cellIs" dxfId="1117" priority="76" stopIfTrue="1" operator="equal">
      <formula>"Napkin Hs"</formula>
    </cfRule>
  </conditionalFormatting>
  <conditionalFormatting sqref="C150:C151">
    <cfRule type="cellIs" dxfId="1116" priority="73" stopIfTrue="1" operator="equal">
      <formula>"Towel"</formula>
    </cfRule>
    <cfRule type="cellIs" dxfId="1115" priority="74" stopIfTrue="1" operator="equal">
      <formula>"Napkin Hs"</formula>
    </cfRule>
  </conditionalFormatting>
  <conditionalFormatting sqref="C150:C151">
    <cfRule type="cellIs" dxfId="1114" priority="75" stopIfTrue="1" operator="equal">
      <formula>"Towel"</formula>
    </cfRule>
  </conditionalFormatting>
  <conditionalFormatting sqref="B158:C158 C157">
    <cfRule type="cellIs" dxfId="1113" priority="71" stopIfTrue="1" operator="equal">
      <formula>"Towel"</formula>
    </cfRule>
    <cfRule type="cellIs" dxfId="1112" priority="72" stopIfTrue="1" operator="equal">
      <formula>"Napkin Hs"</formula>
    </cfRule>
  </conditionalFormatting>
  <conditionalFormatting sqref="C157:C158">
    <cfRule type="cellIs" dxfId="1111" priority="70" stopIfTrue="1" operator="equal">
      <formula>"Napkin Hs"</formula>
    </cfRule>
  </conditionalFormatting>
  <conditionalFormatting sqref="C157:C158">
    <cfRule type="cellIs" dxfId="1110" priority="67" stopIfTrue="1" operator="equal">
      <formula>"Towel"</formula>
    </cfRule>
    <cfRule type="cellIs" dxfId="1109" priority="68" stopIfTrue="1" operator="equal">
      <formula>"Napkin Hs"</formula>
    </cfRule>
  </conditionalFormatting>
  <conditionalFormatting sqref="C157:C158">
    <cfRule type="cellIs" dxfId="1108" priority="69" stopIfTrue="1" operator="equal">
      <formula>"Towel"</formula>
    </cfRule>
  </conditionalFormatting>
  <conditionalFormatting sqref="B157">
    <cfRule type="cellIs" dxfId="1107" priority="65" stopIfTrue="1" operator="equal">
      <formula>"Towel"</formula>
    </cfRule>
    <cfRule type="cellIs" dxfId="1106" priority="66" stopIfTrue="1" operator="equal">
      <formula>"Napkin Hs"</formula>
    </cfRule>
  </conditionalFormatting>
  <conditionalFormatting sqref="B156:C156">
    <cfRule type="cellIs" dxfId="1105" priority="63" stopIfTrue="1" operator="equal">
      <formula>"Towel"</formula>
    </cfRule>
    <cfRule type="cellIs" dxfId="1104" priority="64" stopIfTrue="1" operator="equal">
      <formula>"Napkin Hs"</formula>
    </cfRule>
  </conditionalFormatting>
  <conditionalFormatting sqref="C156">
    <cfRule type="cellIs" dxfId="1103" priority="62" stopIfTrue="1" operator="equal">
      <formula>"Napkin Hs"</formula>
    </cfRule>
  </conditionalFormatting>
  <conditionalFormatting sqref="C156">
    <cfRule type="cellIs" dxfId="1102" priority="59" stopIfTrue="1" operator="equal">
      <formula>"Towel"</formula>
    </cfRule>
    <cfRule type="cellIs" dxfId="1101" priority="60" stopIfTrue="1" operator="equal">
      <formula>"Napkin Hs"</formula>
    </cfRule>
  </conditionalFormatting>
  <conditionalFormatting sqref="C156">
    <cfRule type="cellIs" dxfId="1100" priority="61" stopIfTrue="1" operator="equal">
      <formula>"Towel"</formula>
    </cfRule>
  </conditionalFormatting>
  <conditionalFormatting sqref="B155:C155">
    <cfRule type="cellIs" dxfId="1099" priority="51" stopIfTrue="1" operator="equal">
      <formula>"Towel"</formula>
    </cfRule>
    <cfRule type="cellIs" dxfId="1098" priority="52" stopIfTrue="1" operator="equal">
      <formula>"Napkin Hs"</formula>
    </cfRule>
  </conditionalFormatting>
  <conditionalFormatting sqref="C155">
    <cfRule type="cellIs" dxfId="1097" priority="50" stopIfTrue="1" operator="equal">
      <formula>"Napkin Hs"</formula>
    </cfRule>
  </conditionalFormatting>
  <conditionalFormatting sqref="C155">
    <cfRule type="cellIs" dxfId="1096" priority="47" stopIfTrue="1" operator="equal">
      <formula>"Towel"</formula>
    </cfRule>
    <cfRule type="cellIs" dxfId="1095" priority="48" stopIfTrue="1" operator="equal">
      <formula>"Napkin Hs"</formula>
    </cfRule>
  </conditionalFormatting>
  <conditionalFormatting sqref="C155">
    <cfRule type="cellIs" dxfId="1094" priority="49" stopIfTrue="1" operator="equal">
      <formula>"Towel"</formula>
    </cfRule>
  </conditionalFormatting>
  <conditionalFormatting sqref="B164:C164">
    <cfRule type="cellIs" dxfId="1093" priority="45" stopIfTrue="1" operator="equal">
      <formula>"Towel"</formula>
    </cfRule>
    <cfRule type="cellIs" dxfId="1092" priority="46" stopIfTrue="1" operator="equal">
      <formula>"Napkin Hs"</formula>
    </cfRule>
  </conditionalFormatting>
  <conditionalFormatting sqref="C164">
    <cfRule type="cellIs" dxfId="1091" priority="44" stopIfTrue="1" operator="equal">
      <formula>"Napkin Hs"</formula>
    </cfRule>
  </conditionalFormatting>
  <conditionalFormatting sqref="C164">
    <cfRule type="cellIs" dxfId="1090" priority="43" stopIfTrue="1" operator="equal">
      <formula>"Towel"</formula>
    </cfRule>
  </conditionalFormatting>
  <conditionalFormatting sqref="C164">
    <cfRule type="cellIs" dxfId="1089" priority="41" stopIfTrue="1" operator="equal">
      <formula>"Towel"</formula>
    </cfRule>
    <cfRule type="cellIs" dxfId="1088" priority="42" stopIfTrue="1" operator="equal">
      <formula>"Napkin Hs"</formula>
    </cfRule>
  </conditionalFormatting>
  <conditionalFormatting sqref="B163:C163 C162">
    <cfRule type="cellIs" dxfId="1087" priority="39" stopIfTrue="1" operator="equal">
      <formula>"Towel"</formula>
    </cfRule>
    <cfRule type="cellIs" dxfId="1086" priority="40" stopIfTrue="1" operator="equal">
      <formula>"Napkin Hs"</formula>
    </cfRule>
  </conditionalFormatting>
  <conditionalFormatting sqref="C162:C163">
    <cfRule type="cellIs" dxfId="1085" priority="38" stopIfTrue="1" operator="equal">
      <formula>"Napkin Hs"</formula>
    </cfRule>
  </conditionalFormatting>
  <conditionalFormatting sqref="C162:C163">
    <cfRule type="cellIs" dxfId="1084" priority="35" stopIfTrue="1" operator="equal">
      <formula>"Towel"</formula>
    </cfRule>
    <cfRule type="cellIs" dxfId="1083" priority="36" stopIfTrue="1" operator="equal">
      <formula>"Napkin Hs"</formula>
    </cfRule>
  </conditionalFormatting>
  <conditionalFormatting sqref="C162:C163">
    <cfRule type="cellIs" dxfId="1082" priority="37" stopIfTrue="1" operator="equal">
      <formula>"Towel"</formula>
    </cfRule>
  </conditionalFormatting>
  <conditionalFormatting sqref="B162">
    <cfRule type="cellIs" dxfId="1081" priority="33" stopIfTrue="1" operator="equal">
      <formula>"Towel"</formula>
    </cfRule>
    <cfRule type="cellIs" dxfId="1080" priority="34" stopIfTrue="1" operator="equal">
      <formula>"Napkin Hs"</formula>
    </cfRule>
  </conditionalFormatting>
  <conditionalFormatting sqref="B161:C161">
    <cfRule type="cellIs" dxfId="1079" priority="31" stopIfTrue="1" operator="equal">
      <formula>"Towel"</formula>
    </cfRule>
    <cfRule type="cellIs" dxfId="1078" priority="32" stopIfTrue="1" operator="equal">
      <formula>"Napkin Hs"</formula>
    </cfRule>
  </conditionalFormatting>
  <conditionalFormatting sqref="C161">
    <cfRule type="cellIs" dxfId="1077" priority="30" stopIfTrue="1" operator="equal">
      <formula>"Napkin Hs"</formula>
    </cfRule>
  </conditionalFormatting>
  <conditionalFormatting sqref="C161">
    <cfRule type="cellIs" dxfId="1076" priority="27" stopIfTrue="1" operator="equal">
      <formula>"Towel"</formula>
    </cfRule>
    <cfRule type="cellIs" dxfId="1075" priority="28" stopIfTrue="1" operator="equal">
      <formula>"Napkin Hs"</formula>
    </cfRule>
  </conditionalFormatting>
  <conditionalFormatting sqref="C161">
    <cfRule type="cellIs" dxfId="1074" priority="29" stopIfTrue="1" operator="equal">
      <formula>"Towel"</formula>
    </cfRule>
  </conditionalFormatting>
  <conditionalFormatting sqref="B160:C160">
    <cfRule type="cellIs" dxfId="1073" priority="25" stopIfTrue="1" operator="equal">
      <formula>"Towel"</formula>
    </cfRule>
    <cfRule type="cellIs" dxfId="1072" priority="26" stopIfTrue="1" operator="equal">
      <formula>"Napkin Hs"</formula>
    </cfRule>
  </conditionalFormatting>
  <conditionalFormatting sqref="C160">
    <cfRule type="cellIs" dxfId="1071" priority="24" stopIfTrue="1" operator="equal">
      <formula>"Napkin Hs"</formula>
    </cfRule>
  </conditionalFormatting>
  <conditionalFormatting sqref="C160">
    <cfRule type="cellIs" dxfId="1070" priority="21" stopIfTrue="1" operator="equal">
      <formula>"Towel"</formula>
    </cfRule>
    <cfRule type="cellIs" dxfId="1069" priority="22" stopIfTrue="1" operator="equal">
      <formula>"Napkin Hs"</formula>
    </cfRule>
  </conditionalFormatting>
  <conditionalFormatting sqref="C160">
    <cfRule type="cellIs" dxfId="1068" priority="23" stopIfTrue="1" operator="equal">
      <formula>"Towel"</formula>
    </cfRule>
  </conditionalFormatting>
  <conditionalFormatting sqref="C168 B169:C171">
    <cfRule type="cellIs" dxfId="1067" priority="19" stopIfTrue="1" operator="equal">
      <formula>"Towel"</formula>
    </cfRule>
    <cfRule type="cellIs" dxfId="1066" priority="20" stopIfTrue="1" operator="equal">
      <formula>"Napkin Hs"</formula>
    </cfRule>
  </conditionalFormatting>
  <conditionalFormatting sqref="C168:C171">
    <cfRule type="cellIs" dxfId="1065" priority="18" stopIfTrue="1" operator="equal">
      <formula>"Napkin Hs"</formula>
    </cfRule>
  </conditionalFormatting>
  <conditionalFormatting sqref="C168:C171">
    <cfRule type="cellIs" dxfId="1064" priority="15" stopIfTrue="1" operator="equal">
      <formula>"Towel"</formula>
    </cfRule>
    <cfRule type="cellIs" dxfId="1063" priority="16" stopIfTrue="1" operator="equal">
      <formula>"Napkin Hs"</formula>
    </cfRule>
  </conditionalFormatting>
  <conditionalFormatting sqref="C168:C171">
    <cfRule type="cellIs" dxfId="1062" priority="17" stopIfTrue="1" operator="equal">
      <formula>"Towel"</formula>
    </cfRule>
  </conditionalFormatting>
  <conditionalFormatting sqref="B168">
    <cfRule type="cellIs" dxfId="1061" priority="13" stopIfTrue="1" operator="equal">
      <formula>"Towel"</formula>
    </cfRule>
    <cfRule type="cellIs" dxfId="1060" priority="14" stopIfTrue="1" operator="equal">
      <formula>"Napkin Hs"</formula>
    </cfRule>
  </conditionalFormatting>
  <conditionalFormatting sqref="B166:C167">
    <cfRule type="cellIs" dxfId="1059" priority="5" stopIfTrue="1" operator="equal">
      <formula>"Towel"</formula>
    </cfRule>
    <cfRule type="cellIs" dxfId="1058" priority="6" stopIfTrue="1" operator="equal">
      <formula>"Napkin Hs"</formula>
    </cfRule>
  </conditionalFormatting>
  <conditionalFormatting sqref="C166:C167">
    <cfRule type="cellIs" dxfId="1057" priority="4" stopIfTrue="1" operator="equal">
      <formula>"Napkin Hs"</formula>
    </cfRule>
  </conditionalFormatting>
  <conditionalFormatting sqref="C166:C167">
    <cfRule type="cellIs" dxfId="1056" priority="1" stopIfTrue="1" operator="equal">
      <formula>"Towel"</formula>
    </cfRule>
    <cfRule type="cellIs" dxfId="1055" priority="2" stopIfTrue="1" operator="equal">
      <formula>"Napkin Hs"</formula>
    </cfRule>
  </conditionalFormatting>
  <conditionalFormatting sqref="C166:C167">
    <cfRule type="cellIs" dxfId="1054"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S251"/>
  <sheetViews>
    <sheetView zoomScale="90" zoomScaleNormal="90" workbookViewId="0">
      <pane xSplit="6" ySplit="6" topLeftCell="AW7" activePane="bottomRight" state="frozen"/>
      <selection pane="topRight" activeCell="F1" sqref="F1"/>
      <selection pane="bottomLeft" activeCell="A7" sqref="A7"/>
      <selection pane="bottomRight" activeCell="AX28" sqref="AX28"/>
    </sheetView>
  </sheetViews>
  <sheetFormatPr defaultColWidth="10.28515625" defaultRowHeight="12"/>
  <cols>
    <col min="1" max="1" width="12.28515625" style="32" customWidth="1"/>
    <col min="2" max="2" width="14.140625" style="32" customWidth="1"/>
    <col min="3" max="3" width="10.140625" style="32" customWidth="1"/>
    <col min="4" max="4" width="10.28515625" style="32" customWidth="1"/>
    <col min="5" max="5" width="7.5703125" style="32" bestFit="1" customWidth="1"/>
    <col min="6" max="6" width="7" style="57" customWidth="1"/>
    <col min="7" max="9" width="10.28515625" style="32" customWidth="1"/>
    <col min="10" max="11" width="10.28515625" style="86" customWidth="1"/>
    <col min="12" max="13" width="12.7109375" style="58" customWidth="1"/>
    <col min="14" max="15" width="10.28515625" style="32" customWidth="1"/>
    <col min="16" max="16" width="16.85546875" style="32" bestFit="1" customWidth="1"/>
    <col min="17" max="17" width="12.7109375" style="377" customWidth="1"/>
    <col min="18" max="19" width="10.28515625" style="32" customWidth="1"/>
    <col min="20" max="20" width="10.7109375" style="32" customWidth="1"/>
    <col min="21" max="21" width="10.28515625" style="32" customWidth="1"/>
    <col min="22" max="22" width="12.28515625" style="32" customWidth="1"/>
    <col min="23" max="23" width="13" style="32" customWidth="1"/>
    <col min="24" max="24" width="10.28515625" style="32" customWidth="1"/>
    <col min="25" max="25" width="10.140625" style="32" customWidth="1"/>
    <col min="26" max="28" width="10.28515625" style="32" customWidth="1"/>
    <col min="29" max="29" width="12" style="32" customWidth="1"/>
    <col min="30" max="30" width="11.42578125" style="32" bestFit="1" customWidth="1"/>
    <col min="31" max="31" width="41.42578125" style="32" customWidth="1"/>
    <col min="32" max="38" width="10.28515625" style="32" customWidth="1"/>
    <col min="39" max="39" width="11.7109375" style="32" customWidth="1"/>
    <col min="40" max="41" width="10.28515625" style="32" customWidth="1"/>
    <col min="42" max="43" width="12.42578125" style="32" customWidth="1"/>
    <col min="44" max="44" width="29.7109375" style="32" bestFit="1" customWidth="1"/>
    <col min="45" max="16384" width="10.28515625" style="32"/>
  </cols>
  <sheetData>
    <row r="1" spans="1:58" s="25" customFormat="1" ht="15.75" customHeight="1">
      <c r="A1" s="24" t="s">
        <v>405</v>
      </c>
      <c r="G1" s="26"/>
      <c r="H1" s="26"/>
      <c r="I1" s="26"/>
      <c r="J1" s="83"/>
      <c r="K1" s="83"/>
      <c r="L1" s="27"/>
      <c r="M1" s="27"/>
      <c r="O1" s="26"/>
      <c r="P1" s="28"/>
      <c r="Q1" s="26"/>
      <c r="R1" s="28"/>
      <c r="S1" s="28"/>
      <c r="W1" s="28"/>
      <c r="X1" s="29"/>
      <c r="Y1" s="29"/>
      <c r="Z1" s="28"/>
      <c r="AF1" s="28"/>
      <c r="AG1" s="28"/>
      <c r="AH1" s="28"/>
      <c r="AI1" s="28"/>
      <c r="AJ1" s="28"/>
      <c r="AK1" s="28"/>
      <c r="AL1" s="28"/>
      <c r="AM1" s="28"/>
      <c r="AN1" s="28"/>
      <c r="AO1" s="28"/>
      <c r="AP1" s="28"/>
      <c r="AQ1" s="28"/>
      <c r="AR1" s="28"/>
      <c r="AS1" s="28"/>
      <c r="AT1" s="28"/>
      <c r="AU1" s="28"/>
      <c r="AV1" s="28"/>
      <c r="AW1" s="28"/>
      <c r="AX1" s="28"/>
      <c r="AY1" s="28"/>
      <c r="AZ1" s="28"/>
      <c r="BA1" s="28"/>
    </row>
    <row r="2" spans="1:58" s="25" customFormat="1">
      <c r="A2" s="93"/>
      <c r="G2" s="26"/>
      <c r="H2" s="26"/>
      <c r="I2" s="26"/>
      <c r="J2" s="83"/>
      <c r="K2" s="83"/>
      <c r="L2" s="27"/>
      <c r="M2" s="27"/>
      <c r="O2" s="26"/>
      <c r="P2" s="28"/>
      <c r="Q2" s="26"/>
      <c r="R2" s="28"/>
      <c r="S2" s="28"/>
      <c r="W2" s="28"/>
      <c r="X2" s="29"/>
      <c r="Y2" s="29"/>
      <c r="Z2" s="28"/>
      <c r="AF2" s="28"/>
      <c r="AG2" s="28"/>
      <c r="AH2" s="28"/>
      <c r="AI2" s="28"/>
      <c r="AJ2" s="28"/>
      <c r="AK2" s="28"/>
      <c r="AL2" s="28"/>
      <c r="AM2" s="28"/>
      <c r="AN2" s="28"/>
      <c r="AO2" s="28"/>
      <c r="AP2" s="28"/>
      <c r="AQ2" s="28"/>
      <c r="AR2" s="28"/>
      <c r="AS2" s="28"/>
      <c r="AT2" s="28"/>
      <c r="AU2" s="28"/>
      <c r="AV2" s="28"/>
      <c r="AW2" s="28"/>
      <c r="AX2" s="28"/>
      <c r="AY2" s="28"/>
      <c r="AZ2" s="28"/>
      <c r="BA2" s="28"/>
    </row>
    <row r="3" spans="1:58" ht="24" customHeight="1">
      <c r="A3" s="678" t="s">
        <v>9</v>
      </c>
      <c r="B3" s="678" t="s">
        <v>10</v>
      </c>
      <c r="C3" s="678" t="s">
        <v>200</v>
      </c>
      <c r="D3" s="678" t="s">
        <v>105</v>
      </c>
      <c r="E3" s="678" t="s">
        <v>106</v>
      </c>
      <c r="F3" s="678" t="s">
        <v>107</v>
      </c>
      <c r="G3" s="703" t="s">
        <v>108</v>
      </c>
      <c r="H3" s="704"/>
      <c r="I3" s="704"/>
      <c r="J3" s="704"/>
      <c r="K3" s="705"/>
      <c r="L3" s="709" t="s">
        <v>109</v>
      </c>
      <c r="M3" s="710"/>
      <c r="N3" s="711"/>
      <c r="O3" s="715" t="s">
        <v>110</v>
      </c>
      <c r="P3" s="673" t="s">
        <v>122</v>
      </c>
      <c r="Q3" s="715" t="s">
        <v>111</v>
      </c>
      <c r="R3" s="671" t="s">
        <v>112</v>
      </c>
      <c r="S3" s="671" t="s">
        <v>113</v>
      </c>
      <c r="T3" s="678" t="s">
        <v>166</v>
      </c>
      <c r="U3" s="678" t="s">
        <v>165</v>
      </c>
      <c r="V3" s="678" t="s">
        <v>167</v>
      </c>
      <c r="W3" s="671" t="s">
        <v>157</v>
      </c>
      <c r="X3" s="693" t="s">
        <v>115</v>
      </c>
      <c r="Y3" s="693" t="s">
        <v>291</v>
      </c>
      <c r="Z3" s="671" t="s">
        <v>116</v>
      </c>
      <c r="AA3" s="678" t="s">
        <v>168</v>
      </c>
      <c r="AB3" s="678" t="s">
        <v>179</v>
      </c>
      <c r="AC3" s="678" t="s">
        <v>177</v>
      </c>
      <c r="AD3" s="678" t="s">
        <v>140</v>
      </c>
      <c r="AE3" s="678" t="s">
        <v>141</v>
      </c>
      <c r="AF3" s="700" t="s">
        <v>142</v>
      </c>
      <c r="AG3" s="700"/>
      <c r="AH3" s="700"/>
      <c r="AI3" s="700"/>
      <c r="AJ3" s="700"/>
      <c r="AK3" s="700"/>
      <c r="AL3" s="700"/>
      <c r="AM3" s="667" t="s">
        <v>143</v>
      </c>
      <c r="AN3" s="679" t="s">
        <v>117</v>
      </c>
      <c r="AO3" s="679"/>
      <c r="AP3" s="679"/>
      <c r="AQ3" s="679"/>
      <c r="AR3" s="679"/>
      <c r="AS3" s="680" t="s">
        <v>118</v>
      </c>
      <c r="AT3" s="674" t="s">
        <v>201</v>
      </c>
      <c r="AU3" s="675"/>
      <c r="AV3" s="682" t="s">
        <v>144</v>
      </c>
      <c r="AW3" s="683"/>
      <c r="AX3" s="684" t="s">
        <v>144</v>
      </c>
      <c r="AY3" s="685"/>
      <c r="AZ3" s="686" t="s">
        <v>300</v>
      </c>
      <c r="BA3" s="670" t="s">
        <v>119</v>
      </c>
      <c r="BB3" s="665" t="s">
        <v>120</v>
      </c>
      <c r="BC3" s="665" t="s">
        <v>121</v>
      </c>
      <c r="BD3" s="659" t="s">
        <v>372</v>
      </c>
      <c r="BE3" s="662" t="s">
        <v>373</v>
      </c>
      <c r="BF3" s="665" t="s">
        <v>374</v>
      </c>
    </row>
    <row r="4" spans="1:58" ht="12" customHeight="1">
      <c r="A4" s="691"/>
      <c r="B4" s="691"/>
      <c r="C4" s="691"/>
      <c r="D4" s="691"/>
      <c r="E4" s="691"/>
      <c r="F4" s="691"/>
      <c r="G4" s="706"/>
      <c r="H4" s="707"/>
      <c r="I4" s="707"/>
      <c r="J4" s="707"/>
      <c r="K4" s="708"/>
      <c r="L4" s="712"/>
      <c r="M4" s="713"/>
      <c r="N4" s="714"/>
      <c r="O4" s="716"/>
      <c r="P4" s="689"/>
      <c r="Q4" s="716"/>
      <c r="R4" s="692"/>
      <c r="S4" s="692"/>
      <c r="T4" s="691"/>
      <c r="U4" s="691"/>
      <c r="V4" s="691"/>
      <c r="W4" s="692"/>
      <c r="X4" s="694"/>
      <c r="Y4" s="694"/>
      <c r="Z4" s="692"/>
      <c r="AA4" s="691"/>
      <c r="AB4" s="691"/>
      <c r="AC4" s="691"/>
      <c r="AD4" s="691"/>
      <c r="AE4" s="691"/>
      <c r="AF4" s="697" t="s">
        <v>145</v>
      </c>
      <c r="AG4" s="698"/>
      <c r="AH4" s="699"/>
      <c r="AI4" s="689" t="s">
        <v>202</v>
      </c>
      <c r="AJ4" s="689" t="s">
        <v>16</v>
      </c>
      <c r="AK4" s="689" t="s">
        <v>146</v>
      </c>
      <c r="AL4" s="689" t="s">
        <v>19</v>
      </c>
      <c r="AM4" s="668"/>
      <c r="AN4" s="672" t="s">
        <v>123</v>
      </c>
      <c r="AO4" s="672" t="s">
        <v>16</v>
      </c>
      <c r="AP4" s="672" t="s">
        <v>124</v>
      </c>
      <c r="AQ4" s="672" t="s">
        <v>19</v>
      </c>
      <c r="AR4" s="670" t="s">
        <v>125</v>
      </c>
      <c r="AS4" s="680"/>
      <c r="AT4" s="676"/>
      <c r="AU4" s="677"/>
      <c r="AV4" s="515" t="s">
        <v>8</v>
      </c>
      <c r="AW4" s="515" t="s">
        <v>147</v>
      </c>
      <c r="AX4" s="516" t="s">
        <v>8</v>
      </c>
      <c r="AY4" s="517" t="s">
        <v>147</v>
      </c>
      <c r="AZ4" s="687"/>
      <c r="BA4" s="670"/>
      <c r="BB4" s="665"/>
      <c r="BC4" s="665"/>
      <c r="BD4" s="660"/>
      <c r="BE4" s="663"/>
      <c r="BF4" s="665"/>
    </row>
    <row r="5" spans="1:58" s="35" customFormat="1" ht="48">
      <c r="A5" s="691"/>
      <c r="B5" s="691"/>
      <c r="C5" s="696"/>
      <c r="D5" s="691"/>
      <c r="E5" s="691"/>
      <c r="F5" s="691"/>
      <c r="G5" s="535" t="s">
        <v>126</v>
      </c>
      <c r="H5" s="533" t="s">
        <v>127</v>
      </c>
      <c r="I5" s="33" t="s">
        <v>128</v>
      </c>
      <c r="J5" s="84" t="s">
        <v>129</v>
      </c>
      <c r="K5" s="84" t="s">
        <v>114</v>
      </c>
      <c r="L5" s="34" t="s">
        <v>130</v>
      </c>
      <c r="M5" s="34" t="s">
        <v>131</v>
      </c>
      <c r="N5" s="533" t="s">
        <v>132</v>
      </c>
      <c r="O5" s="716"/>
      <c r="P5" s="690"/>
      <c r="Q5" s="716"/>
      <c r="R5" s="692"/>
      <c r="S5" s="692"/>
      <c r="T5" s="691"/>
      <c r="U5" s="691"/>
      <c r="V5" s="691"/>
      <c r="W5" s="692"/>
      <c r="X5" s="694"/>
      <c r="Y5" s="695"/>
      <c r="Z5" s="692"/>
      <c r="AA5" s="691"/>
      <c r="AB5" s="696"/>
      <c r="AC5" s="691"/>
      <c r="AD5" s="696"/>
      <c r="AE5" s="691"/>
      <c r="AF5" s="457" t="s">
        <v>292</v>
      </c>
      <c r="AG5" s="534" t="s">
        <v>293</v>
      </c>
      <c r="AH5" s="534" t="s">
        <v>294</v>
      </c>
      <c r="AI5" s="690"/>
      <c r="AJ5" s="690"/>
      <c r="AK5" s="690"/>
      <c r="AL5" s="690"/>
      <c r="AM5" s="669"/>
      <c r="AN5" s="673"/>
      <c r="AO5" s="673"/>
      <c r="AP5" s="673"/>
      <c r="AQ5" s="673"/>
      <c r="AR5" s="671"/>
      <c r="AS5" s="681"/>
      <c r="AT5" s="536" t="s">
        <v>288</v>
      </c>
      <c r="AU5" s="536" t="s">
        <v>289</v>
      </c>
      <c r="AV5" s="518" t="s">
        <v>290</v>
      </c>
      <c r="AW5" s="518" t="s">
        <v>290</v>
      </c>
      <c r="AX5" s="516" t="s">
        <v>18</v>
      </c>
      <c r="AY5" s="516" t="s">
        <v>18</v>
      </c>
      <c r="AZ5" s="688"/>
      <c r="BA5" s="671"/>
      <c r="BB5" s="678"/>
      <c r="BC5" s="678"/>
      <c r="BD5" s="661"/>
      <c r="BE5" s="664"/>
      <c r="BF5" s="666"/>
    </row>
    <row r="6" spans="1:58" ht="12.95" customHeight="1">
      <c r="A6" s="43">
        <f>+Report1!A9</f>
        <v>46082</v>
      </c>
      <c r="B6" s="44" t="s">
        <v>423</v>
      </c>
      <c r="C6" s="447">
        <f>(M6*E6*O6*Q6)/100000000</f>
        <v>10.249181341538463</v>
      </c>
      <c r="D6" s="44" t="s">
        <v>425</v>
      </c>
      <c r="E6" s="45">
        <v>14</v>
      </c>
      <c r="F6" s="45">
        <v>1</v>
      </c>
      <c r="G6" s="605">
        <v>1275</v>
      </c>
      <c r="H6" s="602">
        <v>0.22</v>
      </c>
      <c r="I6" s="48">
        <v>0.88</v>
      </c>
      <c r="J6" s="85">
        <f>E6*G6*(1-H6)*1440/1000000*2.75</f>
        <v>55.135079999999995</v>
      </c>
      <c r="K6" s="85">
        <f t="shared" ref="K6:K7" si="0">(IF(G6&lt;L6,L6,G6)*(1-IF(H6&lt;N6,H6,N6))*E6*O6*Q6)/100000000</f>
        <v>11.974636800000001</v>
      </c>
      <c r="L6" s="38">
        <v>1120</v>
      </c>
      <c r="M6" s="38">
        <v>851.2</v>
      </c>
      <c r="N6" s="49">
        <f>1-(M6/L6)</f>
        <v>0.24</v>
      </c>
      <c r="O6" s="50">
        <f>+'Trim Rwd'!H4</f>
        <v>268.76923076923077</v>
      </c>
      <c r="P6" s="51">
        <f>O6*(Q6-R6-S6)</f>
        <v>49184.769230769234</v>
      </c>
      <c r="Q6" s="50">
        <f>200+120</f>
        <v>320</v>
      </c>
      <c r="R6" s="503">
        <v>120</v>
      </c>
      <c r="S6" s="503">
        <v>17</v>
      </c>
      <c r="T6" s="40">
        <f>E6*M6*O6*Q6/100000000</f>
        <v>10.249181341538463</v>
      </c>
      <c r="U6" s="40">
        <f>E6*M6*O6*(Q6-R6-S6)/100000000</f>
        <v>5.8612505796923076</v>
      </c>
      <c r="V6" s="40">
        <f>E6*G6*(1-N6)*O6/100*(R6+S6)/1000000</f>
        <v>4.9951890369230769</v>
      </c>
      <c r="W6" s="40">
        <f>+'1'!K7/1000</f>
        <v>9.31</v>
      </c>
      <c r="X6" s="504">
        <f>SUM(W6:W9)/SUM(K6:K9)</f>
        <v>0.65849772065240852</v>
      </c>
      <c r="Y6" s="214">
        <v>0</v>
      </c>
      <c r="Z6" s="40">
        <f>+'1'!D17/1000</f>
        <v>0.69</v>
      </c>
      <c r="AA6" s="52">
        <f>SUM(U6:U9)-SUM(W6:W9)-SUM(Z6:Z9)-SUM(Y6:Y9)</f>
        <v>5.244284979692301</v>
      </c>
      <c r="AB6" s="52">
        <f>(SUM(K6:K9)-SUM(W6:W9)-SUM(Y6:Y9)-SUM(Z6:Z9)-SUM(AC6:AC9)-SUM(V6:V9))-AA6</f>
        <v>-0.72290842507692332</v>
      </c>
      <c r="AC6" s="40">
        <f>K6-T6</f>
        <v>1.7254554584615374</v>
      </c>
      <c r="AD6" s="40">
        <f>+AM6+BA6</f>
        <v>0</v>
      </c>
      <c r="AE6" s="233" t="s">
        <v>391</v>
      </c>
      <c r="AF6" s="40">
        <v>0</v>
      </c>
      <c r="AG6" s="40"/>
      <c r="AH6" s="40"/>
      <c r="AI6" s="505"/>
      <c r="AJ6" s="40"/>
      <c r="AK6" s="40"/>
      <c r="AL6" s="40"/>
      <c r="AM6" s="40">
        <f>SUM(AF6:AL6)+AT6</f>
        <v>0</v>
      </c>
      <c r="AN6" s="40"/>
      <c r="AO6" s="40"/>
      <c r="AP6" s="40"/>
      <c r="AQ6" s="40"/>
      <c r="AR6" s="40">
        <f>SUM(AN6:AQ6)</f>
        <v>0</v>
      </c>
      <c r="AS6" s="40"/>
      <c r="AT6" s="40"/>
      <c r="AU6" s="40"/>
      <c r="AV6" s="40"/>
      <c r="AW6" s="40"/>
      <c r="AX6" s="40"/>
      <c r="AY6" s="40"/>
      <c r="AZ6" s="40"/>
      <c r="BA6" s="40">
        <f>+AR6+AS6+AU6+AV6+AX6</f>
        <v>0</v>
      </c>
      <c r="BB6" s="36">
        <v>0</v>
      </c>
      <c r="BC6" s="54"/>
      <c r="BD6" s="54"/>
      <c r="BE6" s="36"/>
      <c r="BF6" s="54">
        <v>3</v>
      </c>
    </row>
    <row r="7" spans="1:58" ht="12.95" customHeight="1">
      <c r="A7" s="43"/>
      <c r="B7" s="44" t="s">
        <v>423</v>
      </c>
      <c r="C7" s="447">
        <f>(M7*E7*O7*Q7)/100000000</f>
        <v>36.572659199999997</v>
      </c>
      <c r="D7" s="44" t="s">
        <v>425</v>
      </c>
      <c r="E7" s="45">
        <v>15.5</v>
      </c>
      <c r="F7" s="45">
        <v>1</v>
      </c>
      <c r="G7" s="605">
        <v>1150</v>
      </c>
      <c r="H7" s="602">
        <v>0.22</v>
      </c>
      <c r="I7" s="48">
        <v>0.88</v>
      </c>
      <c r="J7" s="85">
        <f>E7*G7*(1-H7)*1440/1000000*2.75</f>
        <v>55.057859999999998</v>
      </c>
      <c r="K7" s="85">
        <f t="shared" si="0"/>
        <v>41.966324399999998</v>
      </c>
      <c r="L7" s="38">
        <v>1028.5714285714287</v>
      </c>
      <c r="M7" s="38">
        <v>781.71428571428567</v>
      </c>
      <c r="N7" s="49">
        <f>1-(M7/L7)</f>
        <v>0.2400000000000001</v>
      </c>
      <c r="O7" s="50">
        <f>+'Trim Rwd'!H6</f>
        <v>269.5</v>
      </c>
      <c r="P7" s="51">
        <f>O7*(Q7-R7-S7)</f>
        <v>293755</v>
      </c>
      <c r="Q7" s="50">
        <v>1120</v>
      </c>
      <c r="R7" s="503">
        <v>0</v>
      </c>
      <c r="S7" s="503">
        <v>30</v>
      </c>
      <c r="T7" s="40">
        <f>E7*M7*O7*Q7/100000000</f>
        <v>36.572659199999997</v>
      </c>
      <c r="U7" s="40">
        <f>E7*M7*O7*(Q7-R7-S7)/100000000</f>
        <v>35.593034399999993</v>
      </c>
      <c r="V7" s="40">
        <f>E7*G7*(1-N7)*O7/100*(R7+S7)/1000000</f>
        <v>1.0952749499999996</v>
      </c>
      <c r="W7" s="40">
        <f>+'1'!K8/1000</f>
        <v>26.21</v>
      </c>
      <c r="X7" s="41"/>
      <c r="Y7" s="214"/>
      <c r="Z7" s="40"/>
      <c r="AA7" s="40"/>
      <c r="AB7" s="40"/>
      <c r="AC7" s="40">
        <f>K7-T7</f>
        <v>5.3936652000000009</v>
      </c>
      <c r="AD7" s="40">
        <f t="shared" ref="AD7:AD10" si="1">+AM7+BA7</f>
        <v>18</v>
      </c>
      <c r="AE7" s="233" t="s">
        <v>426</v>
      </c>
      <c r="AF7" s="40"/>
      <c r="AG7" s="40">
        <v>18</v>
      </c>
      <c r="AH7" s="40"/>
      <c r="AI7" s="505"/>
      <c r="AJ7" s="40"/>
      <c r="AK7" s="40"/>
      <c r="AL7" s="40"/>
      <c r="AM7" s="40">
        <f t="shared" ref="AM7:AM10" si="2">SUM(AF7:AL7)+AT7</f>
        <v>18</v>
      </c>
      <c r="AN7" s="86"/>
      <c r="AO7" s="40"/>
      <c r="AP7" s="40"/>
      <c r="AQ7" s="40"/>
      <c r="AR7" s="40">
        <f t="shared" ref="AR7:AR10" si="3">SUM(AN7:AQ7)</f>
        <v>0</v>
      </c>
      <c r="AS7" s="40"/>
      <c r="AT7" s="40"/>
      <c r="AU7" s="40"/>
      <c r="AV7" s="40"/>
      <c r="AW7" s="40"/>
      <c r="AX7" s="40"/>
      <c r="AY7" s="40"/>
      <c r="AZ7" s="40"/>
      <c r="BA7" s="40">
        <f t="shared" ref="BA7:BA10" si="4">+AR7+AS7+AU7+AV7+AX7</f>
        <v>0</v>
      </c>
      <c r="BB7" s="53"/>
      <c r="BC7" s="54">
        <v>14</v>
      </c>
      <c r="BD7" s="54"/>
      <c r="BE7" s="53"/>
      <c r="BF7" s="54"/>
    </row>
    <row r="8" spans="1:58" ht="12.95" customHeight="1">
      <c r="A8" s="43"/>
      <c r="B8" s="44"/>
      <c r="C8" s="447"/>
      <c r="D8" s="44"/>
      <c r="E8" s="45"/>
      <c r="F8" s="45"/>
      <c r="G8" s="606"/>
      <c r="H8" s="602"/>
      <c r="I8" s="48"/>
      <c r="J8" s="85"/>
      <c r="K8" s="85"/>
      <c r="L8" s="38"/>
      <c r="M8" s="38"/>
      <c r="N8" s="49"/>
      <c r="O8" s="50"/>
      <c r="P8" s="51"/>
      <c r="Q8" s="50"/>
      <c r="R8" s="503"/>
      <c r="S8" s="503"/>
      <c r="T8" s="40"/>
      <c r="U8" s="40"/>
      <c r="V8" s="40"/>
      <c r="W8" s="40"/>
      <c r="X8" s="41"/>
      <c r="Y8" s="214"/>
      <c r="Z8" s="40"/>
      <c r="AA8" s="40"/>
      <c r="AB8" s="40"/>
      <c r="AC8" s="40"/>
      <c r="AD8" s="40">
        <f t="shared" si="1"/>
        <v>19</v>
      </c>
      <c r="AE8" s="233" t="s">
        <v>427</v>
      </c>
      <c r="AF8" s="36"/>
      <c r="AG8" s="36"/>
      <c r="AH8" s="36">
        <v>19</v>
      </c>
      <c r="AJ8" s="40"/>
      <c r="AK8" s="40"/>
      <c r="AL8" s="40"/>
      <c r="AM8" s="40">
        <f t="shared" si="2"/>
        <v>19</v>
      </c>
      <c r="AN8" s="40"/>
      <c r="AO8" s="40"/>
      <c r="AP8" s="40"/>
      <c r="AQ8" s="40"/>
      <c r="AR8" s="40">
        <f t="shared" si="3"/>
        <v>0</v>
      </c>
      <c r="AS8" s="40"/>
      <c r="AT8" s="40"/>
      <c r="AU8" s="40"/>
      <c r="AV8" s="40"/>
      <c r="AW8" s="40"/>
      <c r="AX8" s="40"/>
      <c r="AY8" s="40"/>
      <c r="AZ8" s="40"/>
      <c r="BA8" s="40">
        <f t="shared" si="4"/>
        <v>0</v>
      </c>
      <c r="BB8" s="36"/>
      <c r="BC8" s="506"/>
      <c r="BD8" s="506"/>
      <c r="BE8" s="36"/>
      <c r="BF8" s="506"/>
    </row>
    <row r="9" spans="1:58" ht="12.95" customHeight="1">
      <c r="A9" s="43"/>
      <c r="B9" s="44"/>
      <c r="C9" s="447"/>
      <c r="D9" s="44"/>
      <c r="E9" s="45"/>
      <c r="F9" s="45"/>
      <c r="G9" s="606"/>
      <c r="H9" s="602"/>
      <c r="I9" s="48"/>
      <c r="J9" s="85"/>
      <c r="K9" s="85"/>
      <c r="L9" s="38"/>
      <c r="M9" s="38"/>
      <c r="N9" s="49"/>
      <c r="O9" s="50"/>
      <c r="P9" s="51"/>
      <c r="Q9" s="37"/>
      <c r="R9" s="503"/>
      <c r="S9" s="503"/>
      <c r="T9" s="40"/>
      <c r="U9" s="40"/>
      <c r="V9" s="40"/>
      <c r="W9" s="40"/>
      <c r="X9" s="41"/>
      <c r="Y9" s="214"/>
      <c r="Z9" s="40"/>
      <c r="AA9" s="40"/>
      <c r="AB9" s="40"/>
      <c r="AC9" s="40"/>
      <c r="AD9" s="40">
        <f t="shared" si="1"/>
        <v>10</v>
      </c>
      <c r="AE9" s="236" t="s">
        <v>228</v>
      </c>
      <c r="AF9" s="40"/>
      <c r="AG9" s="40"/>
      <c r="AH9" s="40"/>
      <c r="AI9" s="505">
        <v>10</v>
      </c>
      <c r="AJ9" s="40"/>
      <c r="AK9" s="40"/>
      <c r="AL9" s="40"/>
      <c r="AM9" s="40">
        <f t="shared" si="2"/>
        <v>10</v>
      </c>
      <c r="AN9" s="40"/>
      <c r="AO9" s="40"/>
      <c r="AP9" s="40"/>
      <c r="AQ9" s="40"/>
      <c r="AR9" s="40">
        <f t="shared" si="3"/>
        <v>0</v>
      </c>
      <c r="AS9" s="40"/>
      <c r="AT9" s="40"/>
      <c r="AU9" s="40"/>
      <c r="AV9" s="40"/>
      <c r="AW9" s="40"/>
      <c r="AX9" s="40"/>
      <c r="AY9" s="40"/>
      <c r="AZ9" s="40"/>
      <c r="BA9" s="40">
        <f t="shared" si="4"/>
        <v>0</v>
      </c>
      <c r="BB9" s="53"/>
      <c r="BC9" s="54"/>
      <c r="BD9" s="54"/>
      <c r="BE9" s="53"/>
      <c r="BF9" s="54"/>
    </row>
    <row r="10" spans="1:58" ht="12.95" customHeight="1">
      <c r="A10" s="43"/>
      <c r="B10" s="44"/>
      <c r="C10" s="447"/>
      <c r="D10" s="44"/>
      <c r="E10" s="45"/>
      <c r="F10" s="45"/>
      <c r="G10" s="605"/>
      <c r="H10" s="602"/>
      <c r="I10" s="48"/>
      <c r="J10" s="85"/>
      <c r="K10" s="85"/>
      <c r="L10" s="38"/>
      <c r="M10" s="38"/>
      <c r="N10" s="49"/>
      <c r="O10" s="50"/>
      <c r="P10" s="51"/>
      <c r="Q10" s="50"/>
      <c r="R10" s="503"/>
      <c r="S10" s="503"/>
      <c r="T10" s="40"/>
      <c r="U10" s="40"/>
      <c r="V10" s="40"/>
      <c r="W10" s="40"/>
      <c r="X10" s="504"/>
      <c r="Y10" s="214"/>
      <c r="Z10" s="40"/>
      <c r="AA10" s="52"/>
      <c r="AB10" s="52"/>
      <c r="AC10" s="40"/>
      <c r="AD10" s="40">
        <f t="shared" si="1"/>
        <v>120</v>
      </c>
      <c r="AE10" s="236" t="s">
        <v>428</v>
      </c>
      <c r="AF10" s="40"/>
      <c r="AG10" s="40"/>
      <c r="AH10" s="40"/>
      <c r="AI10" s="505"/>
      <c r="AJ10" s="40"/>
      <c r="AK10" s="40"/>
      <c r="AL10" s="40"/>
      <c r="AM10" s="40">
        <f t="shared" si="2"/>
        <v>0</v>
      </c>
      <c r="AN10" s="40">
        <v>120</v>
      </c>
      <c r="AO10" s="40"/>
      <c r="AP10" s="40"/>
      <c r="AQ10" s="40"/>
      <c r="AR10" s="40">
        <f t="shared" si="3"/>
        <v>120</v>
      </c>
      <c r="AS10" s="40"/>
      <c r="AT10" s="40"/>
      <c r="AU10" s="40"/>
      <c r="AV10" s="40"/>
      <c r="AW10" s="40"/>
      <c r="AX10" s="40"/>
      <c r="AY10" s="40"/>
      <c r="AZ10" s="40"/>
      <c r="BA10" s="40">
        <f t="shared" si="4"/>
        <v>120</v>
      </c>
      <c r="BB10" s="36"/>
      <c r="BC10" s="54"/>
      <c r="BD10" s="54"/>
      <c r="BE10" s="36"/>
      <c r="BF10" s="54"/>
    </row>
    <row r="11" spans="1:58" ht="12.75" customHeight="1">
      <c r="A11" s="43"/>
      <c r="B11" s="44"/>
      <c r="C11" s="447"/>
      <c r="D11" s="44"/>
      <c r="E11" s="45"/>
      <c r="F11" s="45"/>
      <c r="G11" s="605"/>
      <c r="H11" s="602"/>
      <c r="I11" s="48"/>
      <c r="J11" s="85"/>
      <c r="K11" s="85"/>
      <c r="L11" s="38"/>
      <c r="M11" s="38"/>
      <c r="N11" s="49"/>
      <c r="O11" s="50"/>
      <c r="P11" s="51"/>
      <c r="Q11" s="50"/>
      <c r="R11" s="503"/>
      <c r="S11" s="503"/>
      <c r="T11" s="40"/>
      <c r="U11" s="40"/>
      <c r="V11" s="40"/>
      <c r="W11" s="40"/>
      <c r="X11" s="41"/>
      <c r="Y11" s="214"/>
      <c r="Z11" s="40"/>
      <c r="AA11" s="40"/>
      <c r="AB11" s="40"/>
      <c r="AC11" s="40"/>
      <c r="AD11" s="40"/>
      <c r="AE11" s="233"/>
      <c r="AF11" s="40"/>
      <c r="AG11" s="40"/>
      <c r="AH11" s="40"/>
      <c r="AI11" s="505"/>
      <c r="AJ11" s="40"/>
      <c r="AK11" s="40"/>
      <c r="AL11" s="40"/>
      <c r="AM11" s="40"/>
      <c r="AN11" s="86"/>
      <c r="AO11" s="40"/>
      <c r="AP11" s="40"/>
      <c r="AQ11" s="40"/>
      <c r="AR11" s="40"/>
      <c r="AS11" s="40"/>
      <c r="AT11" s="40"/>
      <c r="AU11" s="40"/>
      <c r="AV11" s="40"/>
      <c r="AW11" s="40"/>
      <c r="AX11" s="40"/>
      <c r="AY11" s="40"/>
      <c r="AZ11" s="40"/>
      <c r="BA11" s="40"/>
      <c r="BB11" s="53"/>
      <c r="BC11" s="54"/>
      <c r="BD11" s="54"/>
      <c r="BE11" s="53"/>
      <c r="BF11" s="54"/>
    </row>
    <row r="12" spans="1:58" ht="12.95" customHeight="1">
      <c r="A12" s="43">
        <v>46083</v>
      </c>
      <c r="B12" s="44" t="s">
        <v>423</v>
      </c>
      <c r="C12" s="447">
        <f>(M12*E12*O12*Q12)/100000000</f>
        <v>45.715823999999998</v>
      </c>
      <c r="D12" s="44" t="s">
        <v>425</v>
      </c>
      <c r="E12" s="45">
        <v>15.5</v>
      </c>
      <c r="F12" s="45">
        <v>1</v>
      </c>
      <c r="G12" s="605">
        <v>1150</v>
      </c>
      <c r="H12" s="602">
        <v>0.22</v>
      </c>
      <c r="I12" s="48">
        <v>0.88</v>
      </c>
      <c r="J12" s="85">
        <f>E12*G12*(1-H12)*1440/1000000*2.75</f>
        <v>55.057859999999998</v>
      </c>
      <c r="K12" s="85">
        <f t="shared" ref="K12" si="5">(IF(G12&lt;L12,L12,G12)*(1-IF(H12&lt;N12,H12,N12))*E12*O12*Q12)/100000000</f>
        <v>53.956702800000002</v>
      </c>
      <c r="L12" s="38">
        <v>1000</v>
      </c>
      <c r="M12" s="38">
        <v>760</v>
      </c>
      <c r="N12" s="49">
        <f>1-(M12/L12)</f>
        <v>0.24</v>
      </c>
      <c r="O12" s="50">
        <f>+'Trim Rwd'!H8</f>
        <v>269.5</v>
      </c>
      <c r="P12" s="51">
        <f>O12*(Q12-R12-S12)</f>
        <v>244436.5</v>
      </c>
      <c r="Q12" s="50">
        <v>1440</v>
      </c>
      <c r="R12" s="503">
        <f>369+120</f>
        <v>489</v>
      </c>
      <c r="S12" s="503">
        <v>44</v>
      </c>
      <c r="T12" s="40">
        <f>E12*M12*O12*Q12/100000000</f>
        <v>45.715823999999998</v>
      </c>
      <c r="U12" s="40">
        <f>E12*M12*O12*(Q12-R12-S12)/100000000</f>
        <v>28.794619699999998</v>
      </c>
      <c r="V12" s="40">
        <f>E12*G12*(1-N12)*O12/100*(R12+S12)/1000000</f>
        <v>19.459384945</v>
      </c>
      <c r="W12" s="40">
        <f>+'2'!K8/1000</f>
        <v>28.408000000000001</v>
      </c>
      <c r="X12" s="504">
        <f>SUM(W12:W15)/SUM(K12:K15)</f>
        <v>0.5264962187422616</v>
      </c>
      <c r="Y12" s="214">
        <v>0</v>
      </c>
      <c r="Z12" s="40">
        <v>0</v>
      </c>
      <c r="AA12" s="52">
        <f>SUM(U12:U15)-SUM(W12:W15)-SUM(Z12:Z15)-SUM(Y12:Y15)</f>
        <v>0.38661969999999712</v>
      </c>
      <c r="AB12" s="52">
        <f>(SUM(K12:K15)-SUM(W12:W15)-SUM(Y12:Y15)-SUM(Z12:Z15)-SUM(AC12:AC15)-SUM(V12:V15))-AA12</f>
        <v>-2.5381806450000006</v>
      </c>
      <c r="AC12" s="40">
        <f>K12-T12</f>
        <v>8.2408788000000044</v>
      </c>
      <c r="AD12" s="40">
        <f>+AM12+BA12</f>
        <v>2</v>
      </c>
      <c r="AE12" s="233" t="s">
        <v>453</v>
      </c>
      <c r="AF12" s="40">
        <v>2</v>
      </c>
      <c r="AG12" s="40"/>
      <c r="AH12" s="40"/>
      <c r="AI12" s="505"/>
      <c r="AJ12" s="40"/>
      <c r="AK12" s="40"/>
      <c r="AL12" s="40"/>
      <c r="AM12" s="40">
        <f>SUM(AF12:AL12)+AT12</f>
        <v>2</v>
      </c>
      <c r="AN12" s="40"/>
      <c r="AO12" s="40"/>
      <c r="AP12" s="40"/>
      <c r="AQ12" s="40"/>
      <c r="AR12" s="40">
        <f>SUM(AN12:AQ12)</f>
        <v>0</v>
      </c>
      <c r="AS12" s="40"/>
      <c r="AT12" s="40"/>
      <c r="AU12" s="40"/>
      <c r="AV12" s="40"/>
      <c r="AW12" s="40"/>
      <c r="AX12" s="40"/>
      <c r="AY12" s="40"/>
      <c r="AZ12" s="40"/>
      <c r="BA12" s="40">
        <f>+AR12+AS12+AU12+AV12+AX12</f>
        <v>0</v>
      </c>
      <c r="BB12" s="36">
        <v>1</v>
      </c>
      <c r="BC12" s="54"/>
      <c r="BD12" s="54"/>
      <c r="BE12" s="36"/>
      <c r="BF12" s="54">
        <v>3</v>
      </c>
    </row>
    <row r="13" spans="1:58" ht="12.95" customHeight="1">
      <c r="A13" s="43"/>
      <c r="B13" s="44"/>
      <c r="C13" s="447"/>
      <c r="D13" s="44"/>
      <c r="E13" s="45"/>
      <c r="F13" s="45"/>
      <c r="G13" s="605"/>
      <c r="H13" s="602"/>
      <c r="I13" s="48"/>
      <c r="J13" s="85"/>
      <c r="K13" s="85"/>
      <c r="L13" s="38"/>
      <c r="M13" s="38"/>
      <c r="N13" s="49"/>
      <c r="O13" s="50"/>
      <c r="P13" s="51"/>
      <c r="Q13" s="50"/>
      <c r="R13" s="503"/>
      <c r="S13" s="503"/>
      <c r="T13" s="40"/>
      <c r="U13" s="40"/>
      <c r="V13" s="40"/>
      <c r="W13" s="40"/>
      <c r="X13" s="41"/>
      <c r="Y13" s="214"/>
      <c r="Z13" s="40"/>
      <c r="AA13" s="40"/>
      <c r="AB13" s="40"/>
      <c r="AC13" s="40">
        <f>K13-T13</f>
        <v>0</v>
      </c>
      <c r="AD13" s="40">
        <f t="shared" ref="AD13:AD17" si="6">+AM13+BA13</f>
        <v>15</v>
      </c>
      <c r="AE13" s="233" t="s">
        <v>461</v>
      </c>
      <c r="AF13" s="40"/>
      <c r="AG13" s="40">
        <v>15</v>
      </c>
      <c r="AH13" s="40"/>
      <c r="AI13" s="505"/>
      <c r="AJ13" s="40"/>
      <c r="AK13" s="40"/>
      <c r="AL13" s="40"/>
      <c r="AM13" s="40">
        <f t="shared" ref="AM13:AM16" si="7">SUM(AF13:AL13)+AT13</f>
        <v>15</v>
      </c>
      <c r="AN13" s="86"/>
      <c r="AO13" s="40"/>
      <c r="AP13" s="40"/>
      <c r="AQ13" s="40"/>
      <c r="AR13" s="40">
        <f t="shared" ref="AR13:AR16" si="8">SUM(AN13:AQ13)</f>
        <v>0</v>
      </c>
      <c r="AS13" s="40"/>
      <c r="AT13" s="40"/>
      <c r="AU13" s="40"/>
      <c r="AV13" s="40"/>
      <c r="AW13" s="40"/>
      <c r="AX13" s="40"/>
      <c r="AY13" s="40"/>
      <c r="AZ13" s="40"/>
      <c r="BA13" s="40">
        <f t="shared" ref="BA13:BA17" si="9">+AR13+AS13+AU13+AV13+AX13</f>
        <v>0</v>
      </c>
      <c r="BB13" s="53"/>
      <c r="BC13" s="54">
        <v>13</v>
      </c>
      <c r="BD13" s="54"/>
      <c r="BE13" s="53"/>
      <c r="BF13" s="54"/>
    </row>
    <row r="14" spans="1:58" ht="12.95" customHeight="1">
      <c r="A14" s="43"/>
      <c r="B14" s="44"/>
      <c r="C14" s="447"/>
      <c r="D14" s="44"/>
      <c r="E14" s="45"/>
      <c r="F14" s="45"/>
      <c r="G14" s="606"/>
      <c r="H14" s="602"/>
      <c r="I14" s="48"/>
      <c r="J14" s="85"/>
      <c r="K14" s="85"/>
      <c r="L14" s="38"/>
      <c r="M14" s="38"/>
      <c r="N14" s="49"/>
      <c r="O14" s="50"/>
      <c r="P14" s="51"/>
      <c r="Q14" s="50"/>
      <c r="R14" s="503"/>
      <c r="S14" s="503"/>
      <c r="T14" s="40"/>
      <c r="U14" s="40"/>
      <c r="V14" s="40"/>
      <c r="W14" s="40"/>
      <c r="X14" s="41"/>
      <c r="Y14" s="214"/>
      <c r="Z14" s="40"/>
      <c r="AA14" s="40"/>
      <c r="AB14" s="40"/>
      <c r="AC14" s="40"/>
      <c r="AD14" s="40">
        <f t="shared" si="6"/>
        <v>17</v>
      </c>
      <c r="AE14" s="233" t="s">
        <v>462</v>
      </c>
      <c r="AF14" s="36"/>
      <c r="AG14" s="36"/>
      <c r="AH14" s="36">
        <v>17</v>
      </c>
      <c r="AJ14" s="40"/>
      <c r="AK14" s="40"/>
      <c r="AL14" s="40"/>
      <c r="AM14" s="40">
        <f t="shared" si="7"/>
        <v>17</v>
      </c>
      <c r="AN14" s="40"/>
      <c r="AO14" s="40"/>
      <c r="AP14" s="40"/>
      <c r="AQ14" s="40"/>
      <c r="AR14" s="40">
        <f t="shared" si="8"/>
        <v>0</v>
      </c>
      <c r="AS14" s="40"/>
      <c r="AT14" s="40"/>
      <c r="AU14" s="40"/>
      <c r="AV14" s="40"/>
      <c r="AW14" s="40"/>
      <c r="AX14" s="40"/>
      <c r="AY14" s="40"/>
      <c r="AZ14" s="40"/>
      <c r="BA14" s="40">
        <f t="shared" si="9"/>
        <v>0</v>
      </c>
      <c r="BB14" s="36"/>
      <c r="BC14" s="506"/>
      <c r="BD14" s="506"/>
      <c r="BE14" s="36"/>
      <c r="BF14" s="506"/>
    </row>
    <row r="15" spans="1:58" ht="12.95" customHeight="1">
      <c r="A15" s="43"/>
      <c r="B15" s="44"/>
      <c r="C15" s="447"/>
      <c r="D15" s="44"/>
      <c r="E15" s="45"/>
      <c r="F15" s="45"/>
      <c r="G15" s="606"/>
      <c r="H15" s="602"/>
      <c r="I15" s="48"/>
      <c r="J15" s="85"/>
      <c r="K15" s="85"/>
      <c r="L15" s="38"/>
      <c r="M15" s="38"/>
      <c r="N15" s="49"/>
      <c r="O15" s="50"/>
      <c r="P15" s="51"/>
      <c r="Q15" s="37"/>
      <c r="R15" s="503"/>
      <c r="S15" s="503"/>
      <c r="T15" s="40"/>
      <c r="U15" s="40"/>
      <c r="V15" s="40"/>
      <c r="W15" s="40"/>
      <c r="X15" s="41"/>
      <c r="Y15" s="214"/>
      <c r="Z15" s="40"/>
      <c r="AA15" s="40"/>
      <c r="AB15" s="40"/>
      <c r="AC15" s="40"/>
      <c r="AD15" s="40">
        <f t="shared" si="6"/>
        <v>10</v>
      </c>
      <c r="AE15" s="236" t="s">
        <v>228</v>
      </c>
      <c r="AF15" s="40"/>
      <c r="AG15" s="40"/>
      <c r="AH15" s="40"/>
      <c r="AI15" s="505">
        <v>10</v>
      </c>
      <c r="AJ15" s="40"/>
      <c r="AK15" s="40"/>
      <c r="AL15" s="40"/>
      <c r="AM15" s="40">
        <f t="shared" si="7"/>
        <v>10</v>
      </c>
      <c r="AN15" s="40"/>
      <c r="AO15" s="40"/>
      <c r="AP15" s="40"/>
      <c r="AQ15" s="40"/>
      <c r="AR15" s="40">
        <f t="shared" si="8"/>
        <v>0</v>
      </c>
      <c r="AS15" s="40"/>
      <c r="AT15" s="40"/>
      <c r="AU15" s="40"/>
      <c r="AV15" s="40"/>
      <c r="AW15" s="40"/>
      <c r="AX15" s="40"/>
      <c r="AY15" s="40"/>
      <c r="AZ15" s="40"/>
      <c r="BA15" s="40">
        <f t="shared" si="9"/>
        <v>0</v>
      </c>
      <c r="BB15" s="53"/>
      <c r="BC15" s="54"/>
      <c r="BD15" s="54"/>
      <c r="BE15" s="53"/>
      <c r="BF15" s="54"/>
    </row>
    <row r="16" spans="1:58" ht="12.95" customHeight="1">
      <c r="A16" s="43"/>
      <c r="B16" s="44"/>
      <c r="C16" s="447"/>
      <c r="D16" s="44"/>
      <c r="E16" s="45"/>
      <c r="F16" s="45"/>
      <c r="G16" s="605"/>
      <c r="H16" s="602"/>
      <c r="I16" s="48"/>
      <c r="J16" s="85"/>
      <c r="K16" s="85"/>
      <c r="L16" s="603"/>
      <c r="M16" s="38"/>
      <c r="N16" s="49"/>
      <c r="O16" s="50"/>
      <c r="P16" s="51"/>
      <c r="Q16" s="50"/>
      <c r="R16" s="503"/>
      <c r="S16" s="503"/>
      <c r="T16" s="40"/>
      <c r="U16" s="40"/>
      <c r="V16" s="40"/>
      <c r="W16" s="40"/>
      <c r="X16" s="504"/>
      <c r="Y16" s="214"/>
      <c r="Z16" s="40"/>
      <c r="AA16" s="52"/>
      <c r="AB16" s="52"/>
      <c r="AC16" s="40"/>
      <c r="AD16" s="40">
        <f t="shared" si="6"/>
        <v>369</v>
      </c>
      <c r="AE16" s="236" t="s">
        <v>459</v>
      </c>
      <c r="AF16" s="40"/>
      <c r="AG16" s="40"/>
      <c r="AH16" s="40"/>
      <c r="AI16" s="505"/>
      <c r="AJ16" s="40"/>
      <c r="AK16" s="40"/>
      <c r="AL16" s="40"/>
      <c r="AM16" s="40">
        <f t="shared" si="7"/>
        <v>0</v>
      </c>
      <c r="AN16" s="40">
        <v>369</v>
      </c>
      <c r="AO16" s="40"/>
      <c r="AP16" s="40"/>
      <c r="AQ16" s="40"/>
      <c r="AR16" s="40">
        <f t="shared" si="8"/>
        <v>369</v>
      </c>
      <c r="AS16" s="40"/>
      <c r="AT16" s="40"/>
      <c r="AU16" s="40"/>
      <c r="AV16" s="40"/>
      <c r="AW16" s="40"/>
      <c r="AX16" s="40"/>
      <c r="AY16" s="40"/>
      <c r="AZ16" s="40"/>
      <c r="BA16" s="40">
        <f t="shared" si="9"/>
        <v>369</v>
      </c>
      <c r="BB16" s="36"/>
      <c r="BC16" s="54"/>
      <c r="BD16" s="54"/>
      <c r="BE16" s="36"/>
      <c r="BF16" s="54"/>
    </row>
    <row r="17" spans="1:58" ht="12.95" customHeight="1">
      <c r="A17" s="43"/>
      <c r="B17" s="44"/>
      <c r="C17" s="447"/>
      <c r="D17" s="44"/>
      <c r="E17" s="45"/>
      <c r="F17" s="45"/>
      <c r="G17" s="605"/>
      <c r="H17" s="602"/>
      <c r="I17" s="48"/>
      <c r="J17" s="85"/>
      <c r="K17" s="85"/>
      <c r="L17" s="603"/>
      <c r="M17" s="38"/>
      <c r="N17" s="49"/>
      <c r="O17" s="50"/>
      <c r="P17" s="51"/>
      <c r="Q17" s="50"/>
      <c r="R17" s="503"/>
      <c r="S17" s="503"/>
      <c r="T17" s="40"/>
      <c r="U17" s="40"/>
      <c r="V17" s="40"/>
      <c r="W17" s="40"/>
      <c r="X17" s="504"/>
      <c r="Y17" s="214"/>
      <c r="Z17" s="40"/>
      <c r="AA17" s="52"/>
      <c r="AB17" s="52"/>
      <c r="AC17" s="40"/>
      <c r="AD17" s="40">
        <f t="shared" si="6"/>
        <v>120</v>
      </c>
      <c r="AE17" s="236" t="s">
        <v>460</v>
      </c>
      <c r="AF17" s="40"/>
      <c r="AG17" s="40"/>
      <c r="AH17" s="40"/>
      <c r="AI17" s="505"/>
      <c r="AJ17" s="40"/>
      <c r="AK17" s="40"/>
      <c r="AL17" s="40"/>
      <c r="AM17" s="40">
        <f t="shared" ref="AM17" si="10">SUM(AF17:AL17)+AT17</f>
        <v>0</v>
      </c>
      <c r="AN17" s="40"/>
      <c r="AO17" s="40">
        <v>120</v>
      </c>
      <c r="AP17" s="40"/>
      <c r="AQ17" s="40"/>
      <c r="AR17" s="40">
        <f t="shared" ref="AR17" si="11">SUM(AN17:AQ17)</f>
        <v>120</v>
      </c>
      <c r="AS17" s="40"/>
      <c r="AT17" s="40"/>
      <c r="AU17" s="40"/>
      <c r="AV17" s="40"/>
      <c r="AW17" s="40"/>
      <c r="AX17" s="40"/>
      <c r="AY17" s="40"/>
      <c r="AZ17" s="40"/>
      <c r="BA17" s="40">
        <f t="shared" si="9"/>
        <v>120</v>
      </c>
      <c r="BB17" s="36"/>
      <c r="BC17" s="54"/>
      <c r="BD17" s="54"/>
      <c r="BE17" s="36"/>
      <c r="BF17" s="54"/>
    </row>
    <row r="18" spans="1:58" ht="12.95" customHeight="1">
      <c r="A18" s="43"/>
      <c r="B18" s="44"/>
      <c r="C18" s="447"/>
      <c r="D18" s="44"/>
      <c r="E18" s="45"/>
      <c r="F18" s="45"/>
      <c r="G18" s="605"/>
      <c r="H18" s="602"/>
      <c r="I18" s="48"/>
      <c r="J18" s="85"/>
      <c r="K18" s="85"/>
      <c r="L18" s="603"/>
      <c r="M18" s="38"/>
      <c r="N18" s="49"/>
      <c r="O18" s="50"/>
      <c r="P18" s="51"/>
      <c r="Q18" s="50"/>
      <c r="R18" s="503"/>
      <c r="S18" s="503"/>
      <c r="T18" s="40"/>
      <c r="U18" s="40"/>
      <c r="V18" s="49"/>
      <c r="W18" s="40"/>
      <c r="X18" s="504"/>
      <c r="Y18" s="214"/>
      <c r="Z18" s="40"/>
      <c r="AA18" s="52"/>
      <c r="AB18" s="52"/>
      <c r="AC18" s="40"/>
      <c r="AD18" s="40"/>
      <c r="AE18" s="233"/>
      <c r="AF18" s="40"/>
      <c r="AG18" s="40"/>
      <c r="AH18" s="40"/>
      <c r="AI18" s="505"/>
      <c r="AJ18" s="40"/>
      <c r="AK18" s="40"/>
      <c r="AL18" s="40"/>
      <c r="AM18" s="40"/>
      <c r="AN18" s="40"/>
      <c r="AO18" s="40"/>
      <c r="AP18" s="40"/>
      <c r="AQ18" s="40"/>
      <c r="AR18" s="40"/>
      <c r="AS18" s="40"/>
      <c r="AT18" s="40"/>
      <c r="AU18" s="40"/>
      <c r="AV18" s="40"/>
      <c r="AW18" s="40"/>
      <c r="AX18" s="40"/>
      <c r="AY18" s="40"/>
      <c r="AZ18" s="40"/>
      <c r="BA18" s="40"/>
      <c r="BB18" s="36"/>
      <c r="BC18" s="54"/>
      <c r="BD18" s="54"/>
      <c r="BE18" s="36"/>
      <c r="BF18" s="54"/>
    </row>
    <row r="19" spans="1:58" ht="12.95" customHeight="1">
      <c r="A19" s="43">
        <v>46084</v>
      </c>
      <c r="B19" s="44" t="s">
        <v>423</v>
      </c>
      <c r="C19" s="447">
        <f>(M19*E19*O19*Q19)/100000000</f>
        <v>17.860041237499999</v>
      </c>
      <c r="D19" s="44" t="s">
        <v>425</v>
      </c>
      <c r="E19" s="45">
        <v>15.5</v>
      </c>
      <c r="F19" s="45">
        <v>1</v>
      </c>
      <c r="G19" s="605">
        <v>1150</v>
      </c>
      <c r="H19" s="602">
        <v>0.22</v>
      </c>
      <c r="I19" s="48">
        <v>0.88</v>
      </c>
      <c r="J19" s="85">
        <f>E19*G19*(1-H19)*1440/1000000*2.75</f>
        <v>55.057859999999998</v>
      </c>
      <c r="K19" s="85">
        <f t="shared" ref="K19:K20" si="12">(IF(G19&lt;L19,L19,G19)*(1-IF(H19&lt;N19,H19,N19))*E19*O19*Q19)/100000000</f>
        <v>20.983162199999999</v>
      </c>
      <c r="L19" s="603">
        <v>1002.6785714285714</v>
      </c>
      <c r="M19" s="38">
        <v>763.49107142857144</v>
      </c>
      <c r="N19" s="49">
        <f>1-(M19/L19)</f>
        <v>0.23854853072128224</v>
      </c>
      <c r="O19" s="50">
        <f>+'Trim Rwd'!H10</f>
        <v>269.5</v>
      </c>
      <c r="P19" s="51">
        <f>O19*(Q19-R19-S19)</f>
        <v>140140</v>
      </c>
      <c r="Q19" s="50">
        <v>560</v>
      </c>
      <c r="R19" s="503">
        <v>0</v>
      </c>
      <c r="S19" s="503">
        <v>40</v>
      </c>
      <c r="T19" s="40">
        <f>E19*M19*O19*Q19/100000000</f>
        <v>17.860041237499999</v>
      </c>
      <c r="U19" s="40">
        <f>E19*M19*O19*(Q19-R19-S19)/100000000</f>
        <v>16.58432400625</v>
      </c>
      <c r="V19" s="40">
        <f>E19*G19*(1-N19)*O19/100*(R19+S19)/1000000</f>
        <v>1.4631556490204809</v>
      </c>
      <c r="W19" s="40">
        <f>+'3'!K8/1000</f>
        <v>19.751999999999999</v>
      </c>
      <c r="X19" s="504">
        <f>SUM(W19:W22)/SUM(K19:K22)</f>
        <v>0.74698095380945828</v>
      </c>
      <c r="Y19" s="214">
        <v>0</v>
      </c>
      <c r="Z19" s="40">
        <v>0</v>
      </c>
      <c r="AA19" s="52">
        <f>SUM(U19:U22)-SUM(W19:W22)-SUM(Z19:Z22)-SUM(Y19:Y22)</f>
        <v>0.8088140062500031</v>
      </c>
      <c r="AB19" s="52">
        <f>(SUM(K19:K22)-SUM(W19:W22)-SUM(Y19:Y22)-SUM(Z19:Z22)-SUM(AC19:AC22)-SUM(V19:V22))-AA19</f>
        <v>-0.53853321777047736</v>
      </c>
      <c r="AC19" s="40">
        <f>K19-T19</f>
        <v>3.1231209624999998</v>
      </c>
      <c r="AD19" s="40">
        <f>+AM19+BA19</f>
        <v>0</v>
      </c>
      <c r="AE19" s="233" t="s">
        <v>391</v>
      </c>
      <c r="AF19" s="40">
        <v>0</v>
      </c>
      <c r="AG19" s="40"/>
      <c r="AH19" s="40"/>
      <c r="AI19" s="505"/>
      <c r="AJ19" s="40"/>
      <c r="AK19" s="40"/>
      <c r="AL19" s="40"/>
      <c r="AM19" s="40">
        <f>SUM(AF19:AL19)+AT19</f>
        <v>0</v>
      </c>
      <c r="AN19" s="40"/>
      <c r="AO19" s="40"/>
      <c r="AP19" s="40"/>
      <c r="AQ19" s="40"/>
      <c r="AR19" s="40">
        <f>SUM(AN19:AQ19)</f>
        <v>0</v>
      </c>
      <c r="AS19" s="40"/>
      <c r="AT19" s="40"/>
      <c r="AU19" s="40"/>
      <c r="AV19" s="40"/>
      <c r="AW19" s="40"/>
      <c r="AX19" s="40"/>
      <c r="AY19" s="40"/>
      <c r="AZ19" s="40"/>
      <c r="BA19" s="40">
        <f>+AR19+AS19+AU19+AV19+AX19</f>
        <v>0</v>
      </c>
      <c r="BB19" s="36">
        <v>0</v>
      </c>
      <c r="BC19" s="54"/>
      <c r="BD19" s="54"/>
      <c r="BE19" s="36"/>
      <c r="BF19" s="54"/>
    </row>
    <row r="20" spans="1:58" ht="12.95" customHeight="1">
      <c r="A20" s="43"/>
      <c r="B20" s="44" t="s">
        <v>423</v>
      </c>
      <c r="C20" s="447">
        <f>(M20*E20*O20*Q20)/100000000</f>
        <v>26.272400000000001</v>
      </c>
      <c r="D20" s="44" t="s">
        <v>425</v>
      </c>
      <c r="E20" s="45">
        <v>14</v>
      </c>
      <c r="F20" s="45">
        <v>1</v>
      </c>
      <c r="G20" s="605">
        <v>1280</v>
      </c>
      <c r="H20" s="602">
        <f>+N20</f>
        <v>0.22454545454545449</v>
      </c>
      <c r="I20" s="48">
        <v>0.88</v>
      </c>
      <c r="J20" s="85">
        <f>E20*G20*(1-H20)*1440/1000000*2.75</f>
        <v>55.028736000000009</v>
      </c>
      <c r="K20" s="85">
        <f t="shared" si="12"/>
        <v>33.628672000000002</v>
      </c>
      <c r="L20" s="603">
        <v>1000</v>
      </c>
      <c r="M20" s="38">
        <v>775.4545454545455</v>
      </c>
      <c r="N20" s="49">
        <f>1-(M20/L20)</f>
        <v>0.22454545454545449</v>
      </c>
      <c r="O20" s="50">
        <f>+'Trim Rwd'!H11</f>
        <v>275</v>
      </c>
      <c r="P20" s="51">
        <f>O20*(Q20-R20-S20)</f>
        <v>230450</v>
      </c>
      <c r="Q20" s="50">
        <v>880</v>
      </c>
      <c r="R20" s="503">
        <v>0</v>
      </c>
      <c r="S20" s="503">
        <v>42</v>
      </c>
      <c r="T20" s="40">
        <f>E20*M20*O20*Q20/100000000</f>
        <v>26.272400000000001</v>
      </c>
      <c r="U20" s="40">
        <f>E20*M20*O20*(Q20-R20-S20)/100000000</f>
        <v>25.01849</v>
      </c>
      <c r="V20" s="40">
        <f>E20*G20*(1-N20)*O20/100*(R20+S20)/1000000</f>
        <v>1.6050048000000001</v>
      </c>
      <c r="W20" s="40">
        <f>+'3'!K7/1000</f>
        <v>21.042000000000002</v>
      </c>
      <c r="X20" s="41"/>
      <c r="Y20" s="214"/>
      <c r="Z20" s="40"/>
      <c r="AA20" s="40"/>
      <c r="AB20" s="40"/>
      <c r="AC20" s="40">
        <f>K20-T20</f>
        <v>7.3562720000000006</v>
      </c>
      <c r="AD20" s="40">
        <f t="shared" ref="AD20:AD23" si="13">+AM20+BA20</f>
        <v>14</v>
      </c>
      <c r="AE20" s="233" t="s">
        <v>461</v>
      </c>
      <c r="AF20" s="40"/>
      <c r="AG20" s="40">
        <v>14</v>
      </c>
      <c r="AH20" s="40"/>
      <c r="AI20" s="505"/>
      <c r="AJ20" s="40"/>
      <c r="AK20" s="40"/>
      <c r="AL20" s="40"/>
      <c r="AM20" s="40">
        <f t="shared" ref="AM20:AM22" si="14">SUM(AF20:AL20)+AT20</f>
        <v>14</v>
      </c>
      <c r="AN20" s="86"/>
      <c r="AO20" s="40"/>
      <c r="AP20" s="40"/>
      <c r="AQ20" s="40"/>
      <c r="AR20" s="40">
        <f t="shared" ref="AR20:AR23" si="15">SUM(AN20:AQ20)</f>
        <v>0</v>
      </c>
      <c r="AS20" s="40"/>
      <c r="AT20" s="40"/>
      <c r="AU20" s="40"/>
      <c r="AV20" s="40"/>
      <c r="AW20" s="40"/>
      <c r="AX20" s="40"/>
      <c r="AY20" s="40"/>
      <c r="AZ20" s="40"/>
      <c r="BA20" s="40">
        <f t="shared" ref="BA20:BA23" si="16">+AR20+AS20+AU20+AV20+AX20</f>
        <v>0</v>
      </c>
      <c r="BB20" s="53"/>
      <c r="BC20" s="54">
        <v>13</v>
      </c>
      <c r="BD20" s="54"/>
      <c r="BE20" s="53"/>
      <c r="BF20" s="54"/>
    </row>
    <row r="21" spans="1:58" ht="12.95" customHeight="1">
      <c r="A21" s="43"/>
      <c r="B21" s="44"/>
      <c r="C21" s="447"/>
      <c r="D21" s="44"/>
      <c r="E21" s="45"/>
      <c r="F21" s="45"/>
      <c r="G21" s="606"/>
      <c r="H21" s="602"/>
      <c r="I21" s="48"/>
      <c r="J21" s="85"/>
      <c r="K21" s="85"/>
      <c r="L21" s="603"/>
      <c r="M21" s="38"/>
      <c r="N21" s="49"/>
      <c r="O21" s="50"/>
      <c r="P21" s="51"/>
      <c r="Q21" s="50"/>
      <c r="R21" s="503"/>
      <c r="S21" s="503"/>
      <c r="T21" s="40"/>
      <c r="U21" s="40"/>
      <c r="V21" s="40"/>
      <c r="W21" s="40"/>
      <c r="X21" s="41"/>
      <c r="Y21" s="214"/>
      <c r="Z21" s="40"/>
      <c r="AA21" s="40"/>
      <c r="AB21" s="40"/>
      <c r="AC21" s="40"/>
      <c r="AD21" s="40">
        <f t="shared" si="13"/>
        <v>20</v>
      </c>
      <c r="AE21" s="233" t="s">
        <v>475</v>
      </c>
      <c r="AF21" s="36"/>
      <c r="AG21" s="36"/>
      <c r="AH21" s="36">
        <v>20</v>
      </c>
      <c r="AJ21" s="40"/>
      <c r="AK21" s="40"/>
      <c r="AL21" s="40"/>
      <c r="AM21" s="40">
        <f t="shared" si="14"/>
        <v>20</v>
      </c>
      <c r="AN21" s="40"/>
      <c r="AO21" s="40"/>
      <c r="AP21" s="40"/>
      <c r="AQ21" s="40"/>
      <c r="AR21" s="40">
        <f t="shared" si="15"/>
        <v>0</v>
      </c>
      <c r="AS21" s="40"/>
      <c r="AT21" s="40"/>
      <c r="AU21" s="40"/>
      <c r="AV21" s="40"/>
      <c r="AW21" s="40"/>
      <c r="AX21" s="40"/>
      <c r="AY21" s="40"/>
      <c r="AZ21" s="40"/>
      <c r="BA21" s="40">
        <f t="shared" si="16"/>
        <v>0</v>
      </c>
      <c r="BB21" s="36"/>
      <c r="BC21" s="506"/>
      <c r="BD21" s="506"/>
      <c r="BE21" s="36"/>
      <c r="BF21" s="506"/>
    </row>
    <row r="22" spans="1:58" ht="12.95" customHeight="1">
      <c r="A22" s="43"/>
      <c r="B22" s="44"/>
      <c r="C22" s="447"/>
      <c r="D22" s="44"/>
      <c r="E22" s="45"/>
      <c r="F22" s="45"/>
      <c r="G22" s="606"/>
      <c r="H22" s="602"/>
      <c r="I22" s="48"/>
      <c r="J22" s="85"/>
      <c r="K22" s="85"/>
      <c r="L22" s="603"/>
      <c r="M22" s="38"/>
      <c r="N22" s="49"/>
      <c r="O22" s="50"/>
      <c r="P22" s="51"/>
      <c r="Q22" s="37"/>
      <c r="R22" s="503"/>
      <c r="S22" s="503"/>
      <c r="T22" s="40"/>
      <c r="U22" s="40"/>
      <c r="V22" s="40"/>
      <c r="W22" s="40"/>
      <c r="X22" s="41"/>
      <c r="Y22" s="214"/>
      <c r="Z22" s="40"/>
      <c r="AA22" s="40"/>
      <c r="AB22" s="40"/>
      <c r="AC22" s="40"/>
      <c r="AD22" s="40">
        <f t="shared" si="13"/>
        <v>18</v>
      </c>
      <c r="AE22" s="236" t="s">
        <v>228</v>
      </c>
      <c r="AF22" s="40"/>
      <c r="AG22" s="40"/>
      <c r="AH22" s="40"/>
      <c r="AI22" s="505">
        <v>18</v>
      </c>
      <c r="AJ22" s="40"/>
      <c r="AK22" s="40"/>
      <c r="AL22" s="40"/>
      <c r="AM22" s="40">
        <f t="shared" si="14"/>
        <v>18</v>
      </c>
      <c r="AN22" s="40"/>
      <c r="AO22" s="40"/>
      <c r="AP22" s="40"/>
      <c r="AQ22" s="40"/>
      <c r="AR22" s="40">
        <f t="shared" si="15"/>
        <v>0</v>
      </c>
      <c r="AS22" s="40"/>
      <c r="AT22" s="40"/>
      <c r="AU22" s="40"/>
      <c r="AV22" s="40"/>
      <c r="AW22" s="40"/>
      <c r="AX22" s="40"/>
      <c r="AY22" s="40"/>
      <c r="AZ22" s="40"/>
      <c r="BA22" s="40">
        <f t="shared" si="16"/>
        <v>0</v>
      </c>
      <c r="BB22" s="53"/>
      <c r="BC22" s="54"/>
      <c r="BD22" s="54"/>
      <c r="BE22" s="53"/>
      <c r="BF22" s="54"/>
    </row>
    <row r="23" spans="1:58" ht="12.95" customHeight="1">
      <c r="A23" s="43"/>
      <c r="B23" s="44"/>
      <c r="C23" s="447"/>
      <c r="D23" s="44"/>
      <c r="E23" s="45"/>
      <c r="F23" s="45"/>
      <c r="G23" s="606"/>
      <c r="H23" s="602"/>
      <c r="I23" s="48"/>
      <c r="J23" s="85"/>
      <c r="K23" s="85"/>
      <c r="L23" s="603"/>
      <c r="M23" s="38"/>
      <c r="N23" s="49"/>
      <c r="O23" s="50"/>
      <c r="P23" s="51"/>
      <c r="Q23" s="37"/>
      <c r="R23" s="503"/>
      <c r="S23" s="503"/>
      <c r="T23" s="40"/>
      <c r="U23" s="40"/>
      <c r="V23" s="40"/>
      <c r="W23" s="40"/>
      <c r="X23" s="41"/>
      <c r="Y23" s="214"/>
      <c r="Z23" s="40"/>
      <c r="AA23" s="40"/>
      <c r="AB23" s="40"/>
      <c r="AC23" s="40"/>
      <c r="AD23" s="40">
        <f t="shared" si="13"/>
        <v>30</v>
      </c>
      <c r="AE23" s="236" t="s">
        <v>476</v>
      </c>
      <c r="AF23" s="40"/>
      <c r="AG23" s="40"/>
      <c r="AH23" s="40"/>
      <c r="AI23" s="505"/>
      <c r="AJ23" s="40"/>
      <c r="AK23" s="40">
        <v>30</v>
      </c>
      <c r="AL23" s="40"/>
      <c r="AM23" s="40">
        <f t="shared" ref="AM23" si="17">SUM(AF23:AL23)+AT23</f>
        <v>30</v>
      </c>
      <c r="AN23" s="40"/>
      <c r="AO23" s="40"/>
      <c r="AP23" s="40"/>
      <c r="AQ23" s="40"/>
      <c r="AR23" s="40">
        <f t="shared" si="15"/>
        <v>0</v>
      </c>
      <c r="AS23" s="40"/>
      <c r="AT23" s="40"/>
      <c r="AU23" s="40"/>
      <c r="AV23" s="40"/>
      <c r="AW23" s="40"/>
      <c r="AX23" s="40"/>
      <c r="AY23" s="40"/>
      <c r="AZ23" s="40"/>
      <c r="BA23" s="40">
        <f t="shared" si="16"/>
        <v>0</v>
      </c>
      <c r="BB23" s="53"/>
      <c r="BC23" s="54"/>
      <c r="BD23" s="54"/>
      <c r="BE23" s="53"/>
      <c r="BF23" s="54"/>
    </row>
    <row r="24" spans="1:58" ht="12.95" customHeight="1">
      <c r="A24" s="43"/>
      <c r="B24" s="44"/>
      <c r="C24" s="447"/>
      <c r="D24" s="44"/>
      <c r="E24" s="45"/>
      <c r="F24" s="45"/>
      <c r="G24" s="605"/>
      <c r="H24" s="602"/>
      <c r="I24" s="48"/>
      <c r="J24" s="85"/>
      <c r="K24" s="85"/>
      <c r="L24" s="603"/>
      <c r="M24" s="38"/>
      <c r="N24" s="49"/>
      <c r="O24" s="50"/>
      <c r="P24" s="51"/>
      <c r="Q24" s="50"/>
      <c r="R24" s="503"/>
      <c r="S24" s="503"/>
      <c r="T24" s="40"/>
      <c r="U24" s="40"/>
      <c r="V24" s="40"/>
      <c r="W24" s="40"/>
      <c r="X24" s="504"/>
      <c r="Y24" s="214"/>
      <c r="Z24" s="40"/>
      <c r="AA24" s="52"/>
      <c r="AB24" s="52"/>
      <c r="AC24" s="40"/>
      <c r="AD24" s="40"/>
      <c r="AE24" s="233"/>
      <c r="AF24" s="40"/>
      <c r="AG24" s="40"/>
      <c r="AH24" s="40"/>
      <c r="AI24" s="505"/>
      <c r="AJ24" s="40"/>
      <c r="AK24" s="40"/>
      <c r="AL24" s="40"/>
      <c r="AM24" s="40"/>
      <c r="AN24" s="40"/>
      <c r="AO24" s="40"/>
      <c r="AP24" s="40"/>
      <c r="AQ24" s="40"/>
      <c r="AR24" s="40"/>
      <c r="AS24" s="40"/>
      <c r="AT24" s="40"/>
      <c r="AU24" s="40"/>
      <c r="AV24" s="40"/>
      <c r="AW24" s="40"/>
      <c r="AX24" s="40"/>
      <c r="AY24" s="40"/>
      <c r="AZ24" s="40"/>
      <c r="BA24" s="40"/>
      <c r="BB24" s="36"/>
      <c r="BC24" s="54"/>
      <c r="BD24" s="506"/>
      <c r="BE24" s="36"/>
      <c r="BF24" s="506"/>
    </row>
    <row r="25" spans="1:58" ht="12.95" customHeight="1">
      <c r="A25" s="43">
        <v>46085</v>
      </c>
      <c r="B25" s="44" t="s">
        <v>423</v>
      </c>
      <c r="C25" s="447">
        <f>(M25*E25*O25*Q25)/100000000</f>
        <v>7.22722</v>
      </c>
      <c r="D25" s="44" t="s">
        <v>425</v>
      </c>
      <c r="E25" s="45">
        <v>14</v>
      </c>
      <c r="F25" s="45">
        <v>1</v>
      </c>
      <c r="G25" s="605">
        <v>1275</v>
      </c>
      <c r="H25" s="602">
        <v>0.22</v>
      </c>
      <c r="I25" s="48">
        <v>0.88</v>
      </c>
      <c r="J25" s="85">
        <f>E25*G25*(1-H25)*1440/1000000*2.75</f>
        <v>55.135079999999995</v>
      </c>
      <c r="K25" s="85">
        <f t="shared" ref="K25:K26" si="18">(IF(G25&lt;L25,L25,G25)*(1-IF(H25&lt;N25,H25,N25))*E25*O25*Q25)/100000000</f>
        <v>9.4571977500000006</v>
      </c>
      <c r="L25" s="603">
        <v>1000</v>
      </c>
      <c r="M25" s="38">
        <v>760</v>
      </c>
      <c r="N25" s="49">
        <f>1-(M25/L25)</f>
        <v>0.24</v>
      </c>
      <c r="O25" s="50">
        <f>+'Trim Rwd'!H13</f>
        <v>275</v>
      </c>
      <c r="P25" s="51">
        <f>O25*(Q25-R25-S25)</f>
        <v>59675</v>
      </c>
      <c r="Q25" s="50">
        <v>247</v>
      </c>
      <c r="R25" s="503">
        <v>0</v>
      </c>
      <c r="S25" s="503">
        <v>30</v>
      </c>
      <c r="T25" s="40">
        <f>E25*M25*O25*Q25/100000000</f>
        <v>7.22722</v>
      </c>
      <c r="U25" s="40">
        <f>E25*M25*O25*(Q25-R25-S25)/100000000</f>
        <v>6.3494200000000003</v>
      </c>
      <c r="V25" s="40">
        <f>E25*G25*(1-N25)*O25/100*(R25+S25)/1000000</f>
        <v>1.1191949999999999</v>
      </c>
      <c r="W25" s="40">
        <f>+'4'!K7/1000</f>
        <v>10.941000000000001</v>
      </c>
      <c r="X25" s="504">
        <f>SUM(W25:W28)/SUM(K25:K28)</f>
        <v>0.70333871602328335</v>
      </c>
      <c r="Y25" s="214">
        <v>0</v>
      </c>
      <c r="Z25" s="40">
        <v>0</v>
      </c>
      <c r="AA25" s="52">
        <f>SUM(U25:U28)-SUM(W25:W28)-SUM(Z25:Z28)-SUM(Y25:Y28)</f>
        <v>-0.50222819999999047</v>
      </c>
      <c r="AB25" s="52">
        <f>(SUM(K25:K28)-SUM(W25:W28)-SUM(Y25:Y28)-SUM(Z25:Z28)-SUM(AC25:AC28)-SUM(V25:V28))-AA25</f>
        <v>-1.2715599750000024</v>
      </c>
      <c r="AC25" s="40">
        <f>K25-T25</f>
        <v>2.2299777500000006</v>
      </c>
      <c r="AD25" s="40">
        <f>+AM25+BA25</f>
        <v>5</v>
      </c>
      <c r="AE25" s="233" t="s">
        <v>488</v>
      </c>
      <c r="AF25" s="40">
        <v>5</v>
      </c>
      <c r="AG25" s="40"/>
      <c r="AH25" s="40"/>
      <c r="AI25" s="505"/>
      <c r="AJ25" s="40"/>
      <c r="AK25" s="40"/>
      <c r="AL25" s="40"/>
      <c r="AM25" s="40">
        <f>SUM(AF25:AL25)+AT25</f>
        <v>5</v>
      </c>
      <c r="AN25" s="40"/>
      <c r="AO25" s="40"/>
      <c r="AP25" s="40"/>
      <c r="AQ25" s="40"/>
      <c r="AR25" s="40">
        <f>SUM(AN25:AQ25)</f>
        <v>0</v>
      </c>
      <c r="AS25" s="40"/>
      <c r="AT25" s="40"/>
      <c r="AU25" s="40"/>
      <c r="AV25" s="40"/>
      <c r="AW25" s="40"/>
      <c r="AX25" s="40"/>
      <c r="AY25" s="40"/>
      <c r="AZ25" s="40"/>
      <c r="BA25" s="40">
        <f>+AR25+AS25+AU25+AV25+AX25</f>
        <v>0</v>
      </c>
      <c r="BB25" s="36">
        <v>3</v>
      </c>
      <c r="BC25" s="54"/>
      <c r="BD25" s="54"/>
      <c r="BE25" s="36"/>
      <c r="BF25" s="54">
        <v>3</v>
      </c>
    </row>
    <row r="26" spans="1:58" ht="12.95" customHeight="1">
      <c r="A26" s="43"/>
      <c r="B26" s="44" t="s">
        <v>423</v>
      </c>
      <c r="C26" s="447">
        <f>(M26*E26*O26*Q26)/100000000</f>
        <v>38.108118300000008</v>
      </c>
      <c r="D26" s="44" t="s">
        <v>425</v>
      </c>
      <c r="E26" s="45">
        <v>15.5</v>
      </c>
      <c r="F26" s="45">
        <v>1</v>
      </c>
      <c r="G26" s="605">
        <v>1150</v>
      </c>
      <c r="H26" s="602">
        <v>0.22</v>
      </c>
      <c r="I26" s="48">
        <v>0.88</v>
      </c>
      <c r="J26" s="85">
        <f>E26*G26*(1-H26)*1440/1000000*2.75</f>
        <v>55.057859999999998</v>
      </c>
      <c r="K26" s="85">
        <f t="shared" si="18"/>
        <v>44.701629472500002</v>
      </c>
      <c r="L26" s="603">
        <v>1000</v>
      </c>
      <c r="M26" s="38">
        <v>764.692082111437</v>
      </c>
      <c r="N26" s="49">
        <f>1-(M26/L26)</f>
        <v>0.23530791788856298</v>
      </c>
      <c r="O26" s="50">
        <f>+'Trim Rwd'!H14</f>
        <v>269.5</v>
      </c>
      <c r="P26" s="51">
        <f>O26*(Q26-R26-S26)</f>
        <v>263571</v>
      </c>
      <c r="Q26" s="50">
        <f>1023+170</f>
        <v>1193</v>
      </c>
      <c r="R26" s="503">
        <v>170</v>
      </c>
      <c r="S26" s="503">
        <f>55+20-S25</f>
        <v>45</v>
      </c>
      <c r="T26" s="40">
        <f>E26*M26*O26*Q26/100000000</f>
        <v>38.108118300000008</v>
      </c>
      <c r="U26" s="40">
        <f>E26*M26*O26*(Q26-R26-S26)/100000000</f>
        <v>31.240351800000006</v>
      </c>
      <c r="V26" s="40">
        <f>E26*G26*(1-N26)*O26/100*(R26+S26)/1000000</f>
        <v>7.8979314750000009</v>
      </c>
      <c r="W26" s="40">
        <f>+'4'!K8/1000</f>
        <v>27.151</v>
      </c>
      <c r="X26" s="41"/>
      <c r="Y26" s="214"/>
      <c r="Z26" s="40"/>
      <c r="AA26" s="40"/>
      <c r="AB26" s="40"/>
      <c r="AC26" s="40">
        <f>K26-T26</f>
        <v>6.5935111724999942</v>
      </c>
      <c r="AD26" s="40">
        <f t="shared" ref="AD26:AD30" si="19">+AM26+BA26</f>
        <v>10</v>
      </c>
      <c r="AE26" s="233" t="s">
        <v>489</v>
      </c>
      <c r="AF26" s="40"/>
      <c r="AG26" s="40">
        <v>10</v>
      </c>
      <c r="AH26" s="40"/>
      <c r="AI26" s="505"/>
      <c r="AJ26" s="40"/>
      <c r="AK26" s="40"/>
      <c r="AL26" s="40"/>
      <c r="AM26" s="40">
        <f t="shared" ref="AM26:AM28" si="20">SUM(AF26:AL26)+AT26</f>
        <v>10</v>
      </c>
      <c r="AN26" s="86"/>
      <c r="AO26" s="40"/>
      <c r="AP26" s="40"/>
      <c r="AQ26" s="40"/>
      <c r="AR26" s="40">
        <f t="shared" ref="AR26:AR29" si="21">SUM(AN26:AQ26)</f>
        <v>0</v>
      </c>
      <c r="AS26" s="40"/>
      <c r="AT26" s="40"/>
      <c r="AU26" s="40"/>
      <c r="AV26" s="40"/>
      <c r="AW26" s="40"/>
      <c r="AX26" s="40"/>
      <c r="AY26" s="40"/>
      <c r="AZ26" s="40"/>
      <c r="BA26" s="40">
        <f t="shared" ref="BA26:BA30" si="22">+AR26+AS26+AU26+AV26+AX26</f>
        <v>0</v>
      </c>
      <c r="BB26" s="53"/>
      <c r="BC26" s="54">
        <v>8</v>
      </c>
      <c r="BD26" s="54"/>
      <c r="BE26" s="53"/>
      <c r="BF26" s="54"/>
    </row>
    <row r="27" spans="1:58" ht="12.95" customHeight="1">
      <c r="A27" s="43"/>
      <c r="B27" s="44"/>
      <c r="C27" s="447"/>
      <c r="D27" s="44"/>
      <c r="E27" s="45"/>
      <c r="F27" s="45"/>
      <c r="G27" s="606"/>
      <c r="H27" s="602"/>
      <c r="I27" s="48"/>
      <c r="J27" s="85"/>
      <c r="K27" s="85"/>
      <c r="L27" s="603"/>
      <c r="M27" s="38"/>
      <c r="N27" s="49"/>
      <c r="O27" s="50"/>
      <c r="P27" s="51"/>
      <c r="Q27" s="50"/>
      <c r="R27" s="503"/>
      <c r="S27" s="503"/>
      <c r="T27" s="40"/>
      <c r="U27" s="40"/>
      <c r="V27" s="40"/>
      <c r="W27" s="40"/>
      <c r="X27" s="41"/>
      <c r="Y27" s="214"/>
      <c r="Z27" s="40"/>
      <c r="AA27" s="40"/>
      <c r="AB27" s="40"/>
      <c r="AC27" s="40"/>
      <c r="AD27" s="40">
        <f t="shared" si="19"/>
        <v>23</v>
      </c>
      <c r="AE27" s="233" t="s">
        <v>490</v>
      </c>
      <c r="AF27" s="36"/>
      <c r="AG27" s="36"/>
      <c r="AH27" s="36">
        <v>23</v>
      </c>
      <c r="AJ27" s="40"/>
      <c r="AK27" s="40"/>
      <c r="AL27" s="40"/>
      <c r="AM27" s="40">
        <f t="shared" si="20"/>
        <v>23</v>
      </c>
      <c r="AN27" s="40"/>
      <c r="AO27" s="40"/>
      <c r="AP27" s="40"/>
      <c r="AQ27" s="40"/>
      <c r="AR27" s="40">
        <f t="shared" si="21"/>
        <v>0</v>
      </c>
      <c r="AS27" s="40"/>
      <c r="AT27" s="40"/>
      <c r="AU27" s="40"/>
      <c r="AV27" s="40"/>
      <c r="AW27" s="40"/>
      <c r="AX27" s="40"/>
      <c r="AY27" s="40"/>
      <c r="AZ27" s="40"/>
      <c r="BA27" s="40">
        <f t="shared" si="22"/>
        <v>0</v>
      </c>
      <c r="BB27" s="36"/>
      <c r="BC27" s="506"/>
      <c r="BD27" s="506"/>
      <c r="BE27" s="36"/>
      <c r="BF27" s="506"/>
    </row>
    <row r="28" spans="1:58" ht="12.95" customHeight="1">
      <c r="A28" s="43"/>
      <c r="B28" s="44"/>
      <c r="C28" s="447"/>
      <c r="D28" s="44"/>
      <c r="E28" s="45"/>
      <c r="F28" s="45"/>
      <c r="G28" s="606"/>
      <c r="H28" s="602"/>
      <c r="I28" s="48"/>
      <c r="J28" s="85"/>
      <c r="K28" s="85"/>
      <c r="L28" s="603"/>
      <c r="M28" s="38"/>
      <c r="N28" s="49"/>
      <c r="O28" s="50"/>
      <c r="P28" s="51"/>
      <c r="Q28" s="37"/>
      <c r="R28" s="503"/>
      <c r="S28" s="503"/>
      <c r="T28" s="40"/>
      <c r="U28" s="40"/>
      <c r="V28" s="40"/>
      <c r="W28" s="40"/>
      <c r="X28" s="41"/>
      <c r="Y28" s="214"/>
      <c r="Z28" s="40"/>
      <c r="AA28" s="40"/>
      <c r="AB28" s="40"/>
      <c r="AC28" s="40"/>
      <c r="AD28" s="40">
        <f t="shared" si="19"/>
        <v>17</v>
      </c>
      <c r="AE28" s="236" t="s">
        <v>228</v>
      </c>
      <c r="AF28" s="40"/>
      <c r="AG28" s="40"/>
      <c r="AH28" s="40"/>
      <c r="AI28" s="505">
        <v>17</v>
      </c>
      <c r="AJ28" s="40"/>
      <c r="AK28" s="40"/>
      <c r="AL28" s="40"/>
      <c r="AM28" s="40">
        <f t="shared" si="20"/>
        <v>17</v>
      </c>
      <c r="AN28" s="40"/>
      <c r="AO28" s="40"/>
      <c r="AP28" s="40"/>
      <c r="AQ28" s="40"/>
      <c r="AR28" s="40">
        <f t="shared" si="21"/>
        <v>0</v>
      </c>
      <c r="AS28" s="40"/>
      <c r="AT28" s="40"/>
      <c r="AU28" s="40"/>
      <c r="AV28" s="40"/>
      <c r="AW28" s="40"/>
      <c r="AX28" s="40"/>
      <c r="AY28" s="40"/>
      <c r="AZ28" s="40"/>
      <c r="BA28" s="40">
        <f t="shared" si="22"/>
        <v>0</v>
      </c>
      <c r="BB28" s="53"/>
      <c r="BC28" s="54"/>
      <c r="BD28" s="54"/>
      <c r="BE28" s="53"/>
      <c r="BF28" s="54"/>
    </row>
    <row r="29" spans="1:58" ht="12.95" customHeight="1">
      <c r="A29" s="43"/>
      <c r="B29" s="44"/>
      <c r="C29" s="447"/>
      <c r="D29" s="44"/>
      <c r="E29" s="45"/>
      <c r="F29" s="45"/>
      <c r="G29" s="606"/>
      <c r="H29" s="602"/>
      <c r="I29" s="48"/>
      <c r="J29" s="85"/>
      <c r="K29" s="85"/>
      <c r="L29" s="603"/>
      <c r="M29" s="38"/>
      <c r="N29" s="49"/>
      <c r="O29" s="50"/>
      <c r="P29" s="51"/>
      <c r="Q29" s="37"/>
      <c r="R29" s="503"/>
      <c r="S29" s="503"/>
      <c r="T29" s="40"/>
      <c r="U29" s="40"/>
      <c r="V29" s="40"/>
      <c r="W29" s="40"/>
      <c r="X29" s="41"/>
      <c r="Y29" s="214"/>
      <c r="Z29" s="40"/>
      <c r="AA29" s="40"/>
      <c r="AB29" s="40"/>
      <c r="AC29" s="40"/>
      <c r="AD29" s="40">
        <f t="shared" si="19"/>
        <v>20</v>
      </c>
      <c r="AE29" s="236" t="s">
        <v>484</v>
      </c>
      <c r="AF29" s="40"/>
      <c r="AG29" s="40"/>
      <c r="AH29" s="40"/>
      <c r="AI29" s="505"/>
      <c r="AJ29" s="40"/>
      <c r="AK29" s="40">
        <v>20</v>
      </c>
      <c r="AL29" s="40"/>
      <c r="AM29" s="40">
        <f t="shared" ref="AM29" si="23">SUM(AF29:AL29)+AT29</f>
        <v>20</v>
      </c>
      <c r="AN29" s="40"/>
      <c r="AO29" s="40"/>
      <c r="AP29" s="40"/>
      <c r="AQ29" s="40"/>
      <c r="AR29" s="40">
        <f t="shared" si="21"/>
        <v>0</v>
      </c>
      <c r="AS29" s="40"/>
      <c r="AT29" s="40"/>
      <c r="AU29" s="40"/>
      <c r="AV29" s="40"/>
      <c r="AW29" s="40"/>
      <c r="AX29" s="40"/>
      <c r="AY29" s="40"/>
      <c r="AZ29" s="40"/>
      <c r="BA29" s="40">
        <f t="shared" si="22"/>
        <v>0</v>
      </c>
      <c r="BB29" s="53"/>
      <c r="BC29" s="54"/>
      <c r="BD29" s="54"/>
      <c r="BE29" s="53"/>
      <c r="BF29" s="54"/>
    </row>
    <row r="30" spans="1:58" ht="12.95" customHeight="1">
      <c r="A30" s="43"/>
      <c r="B30" s="44"/>
      <c r="C30" s="447"/>
      <c r="D30" s="44"/>
      <c r="E30" s="45"/>
      <c r="F30" s="45"/>
      <c r="G30" s="605"/>
      <c r="H30" s="602"/>
      <c r="I30" s="48"/>
      <c r="J30" s="85"/>
      <c r="K30" s="85"/>
      <c r="L30" s="603"/>
      <c r="M30" s="38"/>
      <c r="N30" s="49"/>
      <c r="O30" s="50"/>
      <c r="P30" s="51"/>
      <c r="Q30" s="50"/>
      <c r="R30" s="503"/>
      <c r="S30" s="503"/>
      <c r="T30" s="40"/>
      <c r="U30" s="40"/>
      <c r="V30" s="40"/>
      <c r="W30" s="40"/>
      <c r="X30" s="504"/>
      <c r="Y30" s="214"/>
      <c r="Z30" s="40"/>
      <c r="AA30" s="52"/>
      <c r="AB30" s="52"/>
      <c r="AC30" s="40"/>
      <c r="AD30" s="40">
        <f t="shared" si="19"/>
        <v>170</v>
      </c>
      <c r="AE30" s="236" t="s">
        <v>485</v>
      </c>
      <c r="AF30" s="40"/>
      <c r="AG30" s="40"/>
      <c r="AH30" s="40"/>
      <c r="AI30" s="505"/>
      <c r="AJ30" s="40"/>
      <c r="AK30" s="40"/>
      <c r="AL30" s="40"/>
      <c r="AM30" s="40">
        <f t="shared" ref="AM30" si="24">SUM(AF30:AL30)+AT30</f>
        <v>0</v>
      </c>
      <c r="AN30" s="40">
        <v>170</v>
      </c>
      <c r="AO30" s="40"/>
      <c r="AP30" s="40"/>
      <c r="AQ30" s="40"/>
      <c r="AR30" s="40">
        <f t="shared" ref="AR30" si="25">SUM(AN30:AQ30)</f>
        <v>170</v>
      </c>
      <c r="AS30" s="40"/>
      <c r="AT30" s="40"/>
      <c r="AU30" s="40"/>
      <c r="AV30" s="40"/>
      <c r="AW30" s="40"/>
      <c r="AX30" s="40"/>
      <c r="AY30" s="40"/>
      <c r="AZ30" s="40"/>
      <c r="BA30" s="40">
        <f t="shared" si="22"/>
        <v>170</v>
      </c>
      <c r="BB30" s="36"/>
      <c r="BC30" s="54"/>
      <c r="BD30" s="54"/>
      <c r="BE30" s="36"/>
      <c r="BF30" s="54"/>
    </row>
    <row r="31" spans="1:58" ht="12.95" customHeight="1">
      <c r="A31" s="43"/>
      <c r="B31" s="44"/>
      <c r="C31" s="447"/>
      <c r="D31" s="44"/>
      <c r="E31" s="45"/>
      <c r="F31" s="45"/>
      <c r="G31" s="605"/>
      <c r="H31" s="602"/>
      <c r="I31" s="48"/>
      <c r="J31" s="85"/>
      <c r="K31" s="85"/>
      <c r="L31" s="603"/>
      <c r="M31" s="38"/>
      <c r="N31" s="49"/>
      <c r="O31" s="50"/>
      <c r="P31" s="51"/>
      <c r="Q31" s="50"/>
      <c r="R31" s="503"/>
      <c r="S31" s="503"/>
      <c r="T31" s="40"/>
      <c r="U31" s="40"/>
      <c r="V31" s="40"/>
      <c r="W31" s="40"/>
      <c r="X31" s="41"/>
      <c r="Y31" s="214"/>
      <c r="Z31" s="40"/>
      <c r="AA31" s="40"/>
      <c r="AB31" s="40"/>
      <c r="AC31" s="40"/>
      <c r="AD31" s="40"/>
      <c r="AE31" s="233"/>
      <c r="AF31" s="40"/>
      <c r="AG31" s="40"/>
      <c r="AH31" s="40"/>
      <c r="AI31" s="505"/>
      <c r="AJ31" s="40"/>
      <c r="AK31" s="40"/>
      <c r="AL31" s="40"/>
      <c r="AM31" s="40"/>
      <c r="AN31" s="86"/>
      <c r="AO31" s="40"/>
      <c r="AP31" s="40"/>
      <c r="AQ31" s="40"/>
      <c r="AR31" s="40"/>
      <c r="AS31" s="40"/>
      <c r="AT31" s="40"/>
      <c r="AU31" s="40"/>
      <c r="AV31" s="40"/>
      <c r="AW31" s="40"/>
      <c r="AX31" s="40"/>
      <c r="AY31" s="40"/>
      <c r="AZ31" s="40"/>
      <c r="BA31" s="40"/>
      <c r="BB31" s="53"/>
      <c r="BC31" s="54"/>
      <c r="BD31" s="506"/>
      <c r="BE31" s="36"/>
      <c r="BF31" s="506"/>
    </row>
    <row r="32" spans="1:58" ht="12.95" customHeight="1">
      <c r="A32" s="43">
        <v>46086</v>
      </c>
      <c r="B32" s="44" t="s">
        <v>423</v>
      </c>
      <c r="C32" s="447">
        <f>(M32*E32*O32*Q32)/100000000</f>
        <v>36.571406025000002</v>
      </c>
      <c r="D32" s="44" t="s">
        <v>425</v>
      </c>
      <c r="E32" s="45">
        <v>15.5</v>
      </c>
      <c r="F32" s="45">
        <v>1</v>
      </c>
      <c r="G32" s="605">
        <v>1150</v>
      </c>
      <c r="H32" s="602">
        <v>0.22</v>
      </c>
      <c r="I32" s="48">
        <v>0.88</v>
      </c>
      <c r="J32" s="85">
        <f>E32*G32*(1-H32)*1440/1000000*2.75</f>
        <v>55.057859999999998</v>
      </c>
      <c r="K32" s="85">
        <f t="shared" ref="K32:K33" si="26">(IF(G32&lt;L32,L32,G32)*(1-IF(H32&lt;N32,H32,N32))*E32*O32*Q32)/100000000</f>
        <v>42.603313252500001</v>
      </c>
      <c r="L32" s="603">
        <v>1000</v>
      </c>
      <c r="M32" s="38">
        <v>770</v>
      </c>
      <c r="N32" s="49">
        <f>1-(M32/L32)</f>
        <v>0.22999999999999998</v>
      </c>
      <c r="O32" s="50">
        <f>+'Trim Rwd'!H16</f>
        <v>269.5</v>
      </c>
      <c r="P32" s="51">
        <f>O32*(Q32-R32-S32)</f>
        <v>292677</v>
      </c>
      <c r="Q32" s="50">
        <v>1137</v>
      </c>
      <c r="R32" s="503">
        <v>0</v>
      </c>
      <c r="S32" s="503">
        <v>51</v>
      </c>
      <c r="T32" s="40">
        <f>E32*M32*O32*Q32/100000000</f>
        <v>36.571406025000002</v>
      </c>
      <c r="U32" s="40">
        <f>E32*M32*O32*(Q32-R32-S32)/100000000</f>
        <v>34.93099995</v>
      </c>
      <c r="V32" s="40">
        <f>E32*G32*(1-N32)*O32/100*(R32+S32)/1000000</f>
        <v>1.8864669862500001</v>
      </c>
      <c r="W32" s="40">
        <f>+'5'!K8/1000</f>
        <v>38.415999999999997</v>
      </c>
      <c r="X32" s="504">
        <f>SUM(W32:W35)/SUM(K32:K35)</f>
        <v>0.80272800570440517</v>
      </c>
      <c r="Y32" s="214">
        <v>0</v>
      </c>
      <c r="Z32" s="40">
        <v>0</v>
      </c>
      <c r="AA32" s="52">
        <f>SUM(U32:U35)-SUM(W32:W35)-SUM(Z32:Z35)-SUM(Y32:Y35)</f>
        <v>-0.31081684999999482</v>
      </c>
      <c r="AB32" s="52">
        <f>(SUM(K32:K35)-SUM(W32:W35)-SUM(Y32:Y35)-SUM(Z32:Z35)-SUM(AC32:AC35)-SUM(V32:V35))-AA32</f>
        <v>-0.38053063125000186</v>
      </c>
      <c r="AC32" s="40">
        <f>K32-T32</f>
        <v>6.0319072274999996</v>
      </c>
      <c r="AD32" s="40">
        <f>+AM32+BA32</f>
        <v>6</v>
      </c>
      <c r="AE32" s="233" t="s">
        <v>488</v>
      </c>
      <c r="AF32" s="40">
        <v>6</v>
      </c>
      <c r="AG32" s="40"/>
      <c r="AH32" s="40"/>
      <c r="AI32" s="505"/>
      <c r="AJ32" s="40"/>
      <c r="AK32" s="40"/>
      <c r="AL32" s="40"/>
      <c r="AM32" s="40">
        <f>SUM(AF32:AL32)+AT32</f>
        <v>6</v>
      </c>
      <c r="AN32" s="40"/>
      <c r="AO32" s="40"/>
      <c r="AP32" s="40"/>
      <c r="AQ32" s="40"/>
      <c r="AR32" s="40">
        <f>SUM(AN32:AQ32)</f>
        <v>0</v>
      </c>
      <c r="AS32" s="40"/>
      <c r="AT32" s="40"/>
      <c r="AU32" s="40"/>
      <c r="AV32" s="40"/>
      <c r="AW32" s="40"/>
      <c r="AX32" s="40"/>
      <c r="AY32" s="40"/>
      <c r="AZ32" s="40"/>
      <c r="BA32" s="40">
        <f>+AR32+AS32+AU32+AV32+AX32</f>
        <v>0</v>
      </c>
      <c r="BB32" s="36">
        <v>3</v>
      </c>
      <c r="BC32" s="54"/>
      <c r="BD32" s="54"/>
      <c r="BE32" s="36"/>
      <c r="BF32" s="54"/>
    </row>
    <row r="33" spans="1:58" ht="12.95" customHeight="1">
      <c r="A33" s="43"/>
      <c r="B33" s="44" t="s">
        <v>423</v>
      </c>
      <c r="C33" s="447">
        <f>(M33*E33*O33*Q33)/100000000</f>
        <v>8.4884010750000005</v>
      </c>
      <c r="D33" s="44" t="s">
        <v>425</v>
      </c>
      <c r="E33" s="45">
        <v>13.5</v>
      </c>
      <c r="F33" s="45">
        <v>1</v>
      </c>
      <c r="G33" s="605">
        <v>1320</v>
      </c>
      <c r="H33" s="602">
        <v>0.22</v>
      </c>
      <c r="I33" s="48">
        <v>0.88</v>
      </c>
      <c r="J33" s="85">
        <f>E33*G33*(1-H33)*1440/1000000*2.75</f>
        <v>55.042415999999996</v>
      </c>
      <c r="K33" s="85">
        <f t="shared" si="26"/>
        <v>11.350204866000002</v>
      </c>
      <c r="L33" s="603">
        <v>1000</v>
      </c>
      <c r="M33" s="38">
        <v>770</v>
      </c>
      <c r="N33" s="49">
        <f>1-(M33/L33)</f>
        <v>0.22999999999999998</v>
      </c>
      <c r="O33" s="50">
        <f>+'Trim Rwd'!H17</f>
        <v>269.5</v>
      </c>
      <c r="P33" s="51">
        <f>O33*(Q33-R33-S33)</f>
        <v>77616</v>
      </c>
      <c r="Q33" s="50">
        <v>303</v>
      </c>
      <c r="R33" s="503">
        <v>0</v>
      </c>
      <c r="S33" s="503">
        <v>15</v>
      </c>
      <c r="T33" s="40">
        <f>E33*M33*O33*Q33/100000000</f>
        <v>8.4884010750000005</v>
      </c>
      <c r="U33" s="40">
        <f>E33*M33*O33*(Q33-R33-S33)/100000000</f>
        <v>8.0681832</v>
      </c>
      <c r="V33" s="40">
        <f>E33*G33*(1-N33)*O33/100*(R33+S33)/1000000</f>
        <v>0.55468759499999998</v>
      </c>
      <c r="W33" s="40">
        <f>+'5'!K9/1000</f>
        <v>4.8940000000000001</v>
      </c>
      <c r="X33" s="41"/>
      <c r="Y33" s="214"/>
      <c r="Z33" s="40"/>
      <c r="AA33" s="40"/>
      <c r="AB33" s="40"/>
      <c r="AC33" s="40">
        <f>K33-T33</f>
        <v>2.8618037910000016</v>
      </c>
      <c r="AD33" s="40">
        <f t="shared" ref="AD33:AD36" si="27">+AM33+BA33</f>
        <v>14</v>
      </c>
      <c r="AE33" s="233" t="s">
        <v>461</v>
      </c>
      <c r="AF33" s="40"/>
      <c r="AG33" s="40">
        <v>14</v>
      </c>
      <c r="AH33" s="40"/>
      <c r="AI33" s="505"/>
      <c r="AJ33" s="40"/>
      <c r="AK33" s="40"/>
      <c r="AL33" s="40"/>
      <c r="AM33" s="40">
        <f t="shared" ref="AM33:AM35" si="28">SUM(AF33:AL33)+AT33</f>
        <v>14</v>
      </c>
      <c r="AN33" s="86"/>
      <c r="AO33" s="40"/>
      <c r="AP33" s="40"/>
      <c r="AQ33" s="40"/>
      <c r="AR33" s="40">
        <f t="shared" ref="AR33:AR36" si="29">SUM(AN33:AQ33)</f>
        <v>0</v>
      </c>
      <c r="AS33" s="40"/>
      <c r="AT33" s="40"/>
      <c r="AU33" s="40"/>
      <c r="AV33" s="40"/>
      <c r="AW33" s="40"/>
      <c r="AX33" s="40"/>
      <c r="AY33" s="40"/>
      <c r="AZ33" s="40"/>
      <c r="BA33" s="40">
        <f t="shared" ref="BA33:BA36" si="30">+AR33+AS33+AU33+AV33+AX33</f>
        <v>0</v>
      </c>
      <c r="BB33" s="53"/>
      <c r="BC33" s="54">
        <v>13</v>
      </c>
      <c r="BD33" s="54"/>
      <c r="BE33" s="53"/>
      <c r="BF33" s="54"/>
    </row>
    <row r="34" spans="1:58" ht="12.95" customHeight="1">
      <c r="A34" s="43"/>
      <c r="B34" s="44"/>
      <c r="C34" s="447"/>
      <c r="D34" s="44"/>
      <c r="E34" s="45"/>
      <c r="F34" s="45"/>
      <c r="G34" s="606"/>
      <c r="H34" s="602"/>
      <c r="I34" s="48"/>
      <c r="J34" s="85"/>
      <c r="K34" s="85"/>
      <c r="L34" s="603"/>
      <c r="M34" s="38"/>
      <c r="N34" s="49"/>
      <c r="O34" s="50"/>
      <c r="P34" s="51"/>
      <c r="Q34" s="50"/>
      <c r="R34" s="503"/>
      <c r="S34" s="503"/>
      <c r="T34" s="40"/>
      <c r="U34" s="40"/>
      <c r="V34" s="40"/>
      <c r="W34" s="40"/>
      <c r="X34" s="41"/>
      <c r="Y34" s="214"/>
      <c r="Z34" s="40"/>
      <c r="AA34" s="40"/>
      <c r="AB34" s="40"/>
      <c r="AC34" s="40"/>
      <c r="AD34" s="40">
        <f t="shared" si="27"/>
        <v>14</v>
      </c>
      <c r="AE34" s="233" t="s">
        <v>490</v>
      </c>
      <c r="AF34" s="36"/>
      <c r="AG34" s="36"/>
      <c r="AH34" s="36">
        <v>14</v>
      </c>
      <c r="AJ34" s="40"/>
      <c r="AK34" s="40"/>
      <c r="AL34" s="40"/>
      <c r="AM34" s="40">
        <f t="shared" si="28"/>
        <v>14</v>
      </c>
      <c r="AN34" s="40"/>
      <c r="AO34" s="40"/>
      <c r="AP34" s="40"/>
      <c r="AQ34" s="40"/>
      <c r="AR34" s="40">
        <f t="shared" si="29"/>
        <v>0</v>
      </c>
      <c r="AS34" s="40"/>
      <c r="AT34" s="40"/>
      <c r="AU34" s="40"/>
      <c r="AV34" s="40"/>
      <c r="AW34" s="40"/>
      <c r="AX34" s="40"/>
      <c r="AY34" s="40"/>
      <c r="AZ34" s="40"/>
      <c r="BA34" s="40">
        <f t="shared" si="30"/>
        <v>0</v>
      </c>
      <c r="BB34" s="36"/>
      <c r="BC34" s="506"/>
      <c r="BD34" s="506"/>
      <c r="BE34" s="36"/>
      <c r="BF34" s="506"/>
    </row>
    <row r="35" spans="1:58" ht="12.95" customHeight="1">
      <c r="A35" s="43"/>
      <c r="B35" s="44"/>
      <c r="C35" s="447"/>
      <c r="D35" s="44"/>
      <c r="E35" s="45"/>
      <c r="F35" s="45"/>
      <c r="G35" s="606"/>
      <c r="H35" s="602"/>
      <c r="I35" s="48"/>
      <c r="J35" s="85"/>
      <c r="K35" s="85"/>
      <c r="L35" s="603"/>
      <c r="M35" s="38"/>
      <c r="N35" s="49"/>
      <c r="O35" s="50"/>
      <c r="P35" s="51"/>
      <c r="Q35" s="37"/>
      <c r="R35" s="503"/>
      <c r="S35" s="503"/>
      <c r="T35" s="40"/>
      <c r="U35" s="40"/>
      <c r="V35" s="40"/>
      <c r="W35" s="40"/>
      <c r="X35" s="41"/>
      <c r="Y35" s="214"/>
      <c r="Z35" s="40"/>
      <c r="AA35" s="40"/>
      <c r="AB35" s="40"/>
      <c r="AC35" s="40"/>
      <c r="AD35" s="40">
        <f t="shared" si="27"/>
        <v>17</v>
      </c>
      <c r="AE35" s="236" t="s">
        <v>228</v>
      </c>
      <c r="AF35" s="40"/>
      <c r="AG35" s="40"/>
      <c r="AH35" s="40"/>
      <c r="AI35" s="505">
        <v>17</v>
      </c>
      <c r="AJ35" s="40"/>
      <c r="AK35" s="40"/>
      <c r="AL35" s="40"/>
      <c r="AM35" s="40">
        <f t="shared" si="28"/>
        <v>17</v>
      </c>
      <c r="AN35" s="40"/>
      <c r="AO35" s="40"/>
      <c r="AP35" s="40"/>
      <c r="AQ35" s="40"/>
      <c r="AR35" s="40">
        <f t="shared" si="29"/>
        <v>0</v>
      </c>
      <c r="AS35" s="40"/>
      <c r="AT35" s="40"/>
      <c r="AU35" s="40"/>
      <c r="AV35" s="40"/>
      <c r="AW35" s="40"/>
      <c r="AX35" s="40"/>
      <c r="AY35" s="40"/>
      <c r="AZ35" s="40"/>
      <c r="BA35" s="40">
        <f t="shared" si="30"/>
        <v>0</v>
      </c>
      <c r="BB35" s="53"/>
      <c r="BC35" s="54"/>
      <c r="BD35" s="54"/>
      <c r="BE35" s="53"/>
      <c r="BF35" s="54"/>
    </row>
    <row r="36" spans="1:58" ht="12.95" customHeight="1">
      <c r="A36" s="43"/>
      <c r="B36" s="44"/>
      <c r="C36" s="447"/>
      <c r="D36" s="44"/>
      <c r="E36" s="45"/>
      <c r="F36" s="45"/>
      <c r="G36" s="606"/>
      <c r="H36" s="47"/>
      <c r="I36" s="48"/>
      <c r="J36" s="85"/>
      <c r="K36" s="85"/>
      <c r="L36" s="603"/>
      <c r="M36" s="38"/>
      <c r="N36" s="49"/>
      <c r="O36" s="50"/>
      <c r="P36" s="51"/>
      <c r="Q36" s="37"/>
      <c r="R36" s="503"/>
      <c r="S36" s="503"/>
      <c r="T36" s="40"/>
      <c r="U36" s="40"/>
      <c r="V36" s="40"/>
      <c r="W36" s="40"/>
      <c r="X36" s="41"/>
      <c r="Y36" s="214"/>
      <c r="Z36" s="40"/>
      <c r="AA36" s="40"/>
      <c r="AB36" s="40"/>
      <c r="AC36" s="40"/>
      <c r="AD36" s="40">
        <f t="shared" si="27"/>
        <v>15</v>
      </c>
      <c r="AE36" s="236" t="s">
        <v>499</v>
      </c>
      <c r="AF36" s="40"/>
      <c r="AG36" s="40"/>
      <c r="AH36" s="40"/>
      <c r="AI36" s="505"/>
      <c r="AJ36" s="40"/>
      <c r="AK36" s="40">
        <v>15</v>
      </c>
      <c r="AL36" s="40"/>
      <c r="AM36" s="40">
        <f t="shared" ref="AM36" si="31">SUM(AF36:AL36)+AT36</f>
        <v>15</v>
      </c>
      <c r="AN36" s="40"/>
      <c r="AO36" s="40"/>
      <c r="AP36" s="40"/>
      <c r="AQ36" s="40"/>
      <c r="AR36" s="40">
        <f t="shared" si="29"/>
        <v>0</v>
      </c>
      <c r="AS36" s="40"/>
      <c r="AT36" s="40"/>
      <c r="AU36" s="40"/>
      <c r="AV36" s="40"/>
      <c r="AW36" s="40"/>
      <c r="AX36" s="40"/>
      <c r="AY36" s="40"/>
      <c r="AZ36" s="40"/>
      <c r="BA36" s="40">
        <f t="shared" si="30"/>
        <v>0</v>
      </c>
      <c r="BB36" s="53"/>
      <c r="BC36" s="54"/>
      <c r="BD36" s="54"/>
      <c r="BE36" s="53"/>
      <c r="BF36" s="54"/>
    </row>
    <row r="37" spans="1:58" ht="12.95" customHeight="1">
      <c r="A37" s="43"/>
      <c r="B37" s="44"/>
      <c r="C37" s="447"/>
      <c r="D37" s="44"/>
      <c r="E37" s="45"/>
      <c r="F37" s="45"/>
      <c r="G37" s="502"/>
      <c r="H37" s="47"/>
      <c r="I37" s="48"/>
      <c r="J37" s="85"/>
      <c r="K37" s="85"/>
      <c r="L37" s="603"/>
      <c r="M37" s="38"/>
      <c r="N37" s="49"/>
      <c r="O37" s="50"/>
      <c r="P37" s="51"/>
      <c r="Q37" s="50"/>
      <c r="R37" s="503"/>
      <c r="S37" s="503"/>
      <c r="T37" s="40"/>
      <c r="U37" s="40"/>
      <c r="V37" s="40"/>
      <c r="W37" s="40"/>
      <c r="X37" s="41"/>
      <c r="Y37" s="214"/>
      <c r="Z37" s="40"/>
      <c r="AA37" s="40"/>
      <c r="AB37" s="40"/>
      <c r="AC37" s="40"/>
      <c r="AD37" s="40"/>
      <c r="AE37" s="233"/>
      <c r="AF37" s="40"/>
      <c r="AG37" s="40"/>
      <c r="AH37" s="40"/>
      <c r="AI37" s="505"/>
      <c r="AJ37" s="40"/>
      <c r="AK37" s="40"/>
      <c r="AL37" s="40"/>
      <c r="AM37" s="40"/>
      <c r="AN37" s="86"/>
      <c r="AO37" s="40"/>
      <c r="AP37" s="40"/>
      <c r="AQ37" s="40"/>
      <c r="AR37" s="40"/>
      <c r="AS37" s="40"/>
      <c r="AT37" s="40"/>
      <c r="AU37" s="40"/>
      <c r="AV37" s="40"/>
      <c r="AW37" s="40"/>
      <c r="AX37" s="40"/>
      <c r="AY37" s="40"/>
      <c r="AZ37" s="40"/>
      <c r="BA37" s="40"/>
      <c r="BB37" s="53"/>
      <c r="BC37" s="54"/>
      <c r="BD37" s="54"/>
      <c r="BE37" s="54"/>
      <c r="BF37" s="54"/>
    </row>
    <row r="38" spans="1:58" ht="12.95" customHeight="1">
      <c r="A38" s="43">
        <v>46087</v>
      </c>
      <c r="B38" s="44" t="s">
        <v>423</v>
      </c>
      <c r="C38" s="447">
        <f>(M38*E38*O38*Q38)/100000000</f>
        <v>23.78788711875</v>
      </c>
      <c r="D38" s="44" t="s">
        <v>425</v>
      </c>
      <c r="E38" s="45">
        <v>13.5</v>
      </c>
      <c r="F38" s="45">
        <v>1</v>
      </c>
      <c r="G38" s="502">
        <v>1255</v>
      </c>
      <c r="H38" s="47">
        <f>+N38</f>
        <v>0.18000000000000005</v>
      </c>
      <c r="I38" s="48">
        <v>0.88</v>
      </c>
      <c r="J38" s="85">
        <f>E38*G38*(1-H38)*1440/1000000*2.75</f>
        <v>55.015685999999995</v>
      </c>
      <c r="K38" s="85">
        <f t="shared" ref="K38:K40" si="32">(IF(G38&lt;L38,L38,G38)*(1-IF(H38&lt;N38,H38,N38))*E38*O38*Q38)/100000000</f>
        <v>29.853798334031243</v>
      </c>
      <c r="L38" s="603">
        <v>1000</v>
      </c>
      <c r="M38" s="38">
        <v>820</v>
      </c>
      <c r="N38" s="49">
        <f>1-(M38/L38)</f>
        <v>0.18000000000000005</v>
      </c>
      <c r="O38" s="50">
        <f>+'Trim Rwd'!H19</f>
        <v>264.3125</v>
      </c>
      <c r="P38" s="51">
        <f>O38*(Q38-R38-S38)</f>
        <v>209071.1875</v>
      </c>
      <c r="Q38" s="50">
        <v>813</v>
      </c>
      <c r="R38" s="503">
        <v>0</v>
      </c>
      <c r="S38" s="503">
        <v>22</v>
      </c>
      <c r="T38" s="40">
        <f>E38*M38*O38*Q38/100000000</f>
        <v>23.78788711875</v>
      </c>
      <c r="U38" s="40">
        <f>E38*M38*O38*(Q38-R38-S38)/100000000</f>
        <v>23.144180456250002</v>
      </c>
      <c r="V38" s="40">
        <f>E38*G38*(1-N38)*O38/100*(R38+S38)/1000000</f>
        <v>0.80785186143749987</v>
      </c>
      <c r="W38" s="40">
        <f>+'6'!K9/1000</f>
        <v>26.603000000000002</v>
      </c>
      <c r="X38" s="504">
        <f>SUM(W38:W41)/SUM(K38:K41)</f>
        <v>0.63612279976206931</v>
      </c>
      <c r="Y38" s="214">
        <v>0</v>
      </c>
      <c r="Z38" s="40">
        <v>0</v>
      </c>
      <c r="AA38" s="52">
        <f>SUM(U38:U41)-SUM(W38:W41)-SUM(Z38:Z41)-SUM(Y38:Y41)</f>
        <v>-1.0456395437499992</v>
      </c>
      <c r="AB38" s="52">
        <f>(SUM(K38:K41)-SUM(W38:W41)-SUM(Y38:Y41)-SUM(Z38:Z41)-SUM(AC38:AC41)-SUM(V38:V41))-AA38</f>
        <v>-2.0138776989374971</v>
      </c>
      <c r="AC38" s="40">
        <f>K38-T38</f>
        <v>6.0659112152812433</v>
      </c>
      <c r="AD38" s="40">
        <f>+AM38+BA38</f>
        <v>2</v>
      </c>
      <c r="AE38" s="233" t="s">
        <v>453</v>
      </c>
      <c r="AF38" s="40">
        <v>2</v>
      </c>
      <c r="AG38" s="40"/>
      <c r="AH38" s="40"/>
      <c r="AI38" s="505"/>
      <c r="AJ38" s="40"/>
      <c r="AK38" s="40"/>
      <c r="AL38" s="40"/>
      <c r="AM38" s="40">
        <f>SUM(AF38:AL38)+AT38</f>
        <v>2</v>
      </c>
      <c r="AN38" s="40"/>
      <c r="AO38" s="40"/>
      <c r="AP38" s="40"/>
      <c r="AQ38" s="40"/>
      <c r="AR38" s="40">
        <f>SUM(AN38:AQ38)</f>
        <v>0</v>
      </c>
      <c r="AS38" s="40"/>
      <c r="AT38" s="40"/>
      <c r="AU38" s="40"/>
      <c r="AV38" s="40"/>
      <c r="AW38" s="40"/>
      <c r="AX38" s="40"/>
      <c r="AY38" s="40"/>
      <c r="AZ38" s="40"/>
      <c r="BA38" s="40">
        <f>+AR38+AS38+AU38+AV38+AX38</f>
        <v>0</v>
      </c>
      <c r="BB38" s="36">
        <v>1</v>
      </c>
      <c r="BC38" s="54"/>
      <c r="BD38" s="54">
        <v>1</v>
      </c>
      <c r="BE38" s="36"/>
      <c r="BF38" s="54"/>
    </row>
    <row r="39" spans="1:58" ht="12.95" customHeight="1">
      <c r="A39" s="43"/>
      <c r="B39" s="44" t="s">
        <v>423</v>
      </c>
      <c r="C39" s="447">
        <f>(M39*E39*O39*Q39)/100000000</f>
        <v>0.44197999999999998</v>
      </c>
      <c r="D39" s="44" t="s">
        <v>425</v>
      </c>
      <c r="E39" s="45">
        <v>20</v>
      </c>
      <c r="F39" s="45">
        <v>1</v>
      </c>
      <c r="G39" s="502">
        <v>850</v>
      </c>
      <c r="H39" s="47">
        <f>+N39</f>
        <v>0.18000000000000005</v>
      </c>
      <c r="I39" s="48">
        <v>0.88</v>
      </c>
      <c r="J39" s="85">
        <f>E39*G39*(1-H39)*1440/1000000*2.75</f>
        <v>55.202399999999997</v>
      </c>
      <c r="K39" s="85">
        <f t="shared" si="32"/>
        <v>0.44197999999999998</v>
      </c>
      <c r="L39" s="603">
        <v>1000</v>
      </c>
      <c r="M39" s="38">
        <v>820</v>
      </c>
      <c r="N39" s="49">
        <f>1-(M39/L39)</f>
        <v>0.18000000000000005</v>
      </c>
      <c r="O39" s="50">
        <f>+'Trim Rwd'!H21</f>
        <v>269.5</v>
      </c>
      <c r="P39" s="51">
        <f>O39*(Q39-R39-S39)</f>
        <v>1347.5</v>
      </c>
      <c r="Q39" s="50">
        <v>10</v>
      </c>
      <c r="R39" s="503">
        <v>0</v>
      </c>
      <c r="S39" s="503">
        <v>5</v>
      </c>
      <c r="T39" s="40">
        <f>E39*M39*O39*Q39/100000000</f>
        <v>0.44197999999999998</v>
      </c>
      <c r="U39" s="40">
        <f>E39*M39*O39*(Q39-R39-S39)/100000000</f>
        <v>0.22098999999999999</v>
      </c>
      <c r="V39" s="40">
        <f>E39*G39*(1-N39)*O39/100*(R39+S39)/1000000</f>
        <v>0.18784149999999999</v>
      </c>
      <c r="W39" s="40">
        <f>+'5'!K15/1000</f>
        <v>0</v>
      </c>
      <c r="X39" s="41"/>
      <c r="Y39" s="214"/>
      <c r="Z39" s="40"/>
      <c r="AA39" s="40"/>
      <c r="AB39" s="40"/>
      <c r="AC39" s="40">
        <f>K39-T39</f>
        <v>0</v>
      </c>
      <c r="AD39" s="40">
        <f t="shared" ref="AD39:AD42" si="33">+AM39+BA39</f>
        <v>13</v>
      </c>
      <c r="AE39" s="233" t="s">
        <v>510</v>
      </c>
      <c r="AF39" s="40"/>
      <c r="AG39" s="40">
        <v>13</v>
      </c>
      <c r="AH39" s="40"/>
      <c r="AI39" s="505"/>
      <c r="AJ39" s="40"/>
      <c r="AK39" s="40"/>
      <c r="AL39" s="40"/>
      <c r="AM39" s="40">
        <f t="shared" ref="AM39:AM41" si="34">SUM(AF39:AL39)+AT39</f>
        <v>13</v>
      </c>
      <c r="AN39" s="86"/>
      <c r="AO39" s="40"/>
      <c r="AP39" s="40"/>
      <c r="AQ39" s="40"/>
      <c r="AR39" s="40">
        <f t="shared" ref="AR39:AR42" si="35">SUM(AN39:AQ39)</f>
        <v>0</v>
      </c>
      <c r="AS39" s="40"/>
      <c r="AT39" s="40"/>
      <c r="AU39" s="40"/>
      <c r="AV39" s="40"/>
      <c r="AW39" s="40"/>
      <c r="AX39" s="40"/>
      <c r="AY39" s="40"/>
      <c r="AZ39" s="40"/>
      <c r="BA39" s="40">
        <f t="shared" ref="BA39:BA41" si="36">+AR39+AS39+AU39+AV39+AX39</f>
        <v>0</v>
      </c>
      <c r="BB39" s="53"/>
      <c r="BC39" s="54">
        <v>9</v>
      </c>
      <c r="BD39" s="54"/>
      <c r="BE39" s="53"/>
      <c r="BF39" s="54"/>
    </row>
    <row r="40" spans="1:58" ht="12.95" customHeight="1">
      <c r="A40" s="43"/>
      <c r="B40" s="44" t="s">
        <v>423</v>
      </c>
      <c r="C40" s="447">
        <f>(M40*E40*O40*Q40)/100000000</f>
        <v>9.0390300000000003</v>
      </c>
      <c r="D40" s="44" t="s">
        <v>425</v>
      </c>
      <c r="E40" s="45">
        <v>14</v>
      </c>
      <c r="F40" s="45">
        <v>1</v>
      </c>
      <c r="G40" s="502">
        <v>1275</v>
      </c>
      <c r="H40" s="47">
        <f>+N40</f>
        <v>0.21999999999999997</v>
      </c>
      <c r="I40" s="48">
        <v>0.88</v>
      </c>
      <c r="J40" s="85">
        <f>E40*G40*(1-H40)*1440/1000000*2.75</f>
        <v>55.135079999999995</v>
      </c>
      <c r="K40" s="85">
        <f t="shared" si="32"/>
        <v>11.524763249999999</v>
      </c>
      <c r="L40" s="603">
        <v>1000</v>
      </c>
      <c r="M40" s="38">
        <v>780</v>
      </c>
      <c r="N40" s="49">
        <f>1-(M40/L40)</f>
        <v>0.21999999999999997</v>
      </c>
      <c r="O40" s="50">
        <f>+'Trim Rwd'!H22</f>
        <v>275</v>
      </c>
      <c r="P40" s="51">
        <f>O40*(Q40-R40-S40)</f>
        <v>20075</v>
      </c>
      <c r="Q40" s="50">
        <f>617-316</f>
        <v>301</v>
      </c>
      <c r="R40" s="503">
        <f>539-316</f>
        <v>223</v>
      </c>
      <c r="S40" s="503">
        <v>5</v>
      </c>
      <c r="T40" s="40">
        <f>E40*M40*O40*Q40/100000000</f>
        <v>9.0390300000000003</v>
      </c>
      <c r="U40" s="40">
        <f>E40*M40*O40*(Q40-R40-S40)/100000000</f>
        <v>2.1921900000000001</v>
      </c>
      <c r="V40" s="40">
        <f>E40*G40*(1-N40)*O40/100*(R40+S40)/1000000</f>
        <v>8.7297209999999996</v>
      </c>
      <c r="W40" s="40">
        <f>+'5'!K16/1000</f>
        <v>0</v>
      </c>
      <c r="X40" s="41"/>
      <c r="Y40" s="214"/>
      <c r="Z40" s="40"/>
      <c r="AA40" s="40"/>
      <c r="AB40" s="40"/>
      <c r="AC40" s="40">
        <f>K40-T40</f>
        <v>2.4857332499999991</v>
      </c>
      <c r="AD40" s="40">
        <f t="shared" si="33"/>
        <v>8</v>
      </c>
      <c r="AE40" s="233" t="s">
        <v>511</v>
      </c>
      <c r="AF40" s="36"/>
      <c r="AG40" s="36"/>
      <c r="AH40" s="36">
        <v>8</v>
      </c>
      <c r="AJ40" s="40"/>
      <c r="AK40" s="40"/>
      <c r="AL40" s="40"/>
      <c r="AM40" s="40">
        <f t="shared" si="34"/>
        <v>8</v>
      </c>
      <c r="AN40" s="40"/>
      <c r="AO40" s="40"/>
      <c r="AP40" s="40"/>
      <c r="AQ40" s="40"/>
      <c r="AR40" s="40">
        <f t="shared" si="35"/>
        <v>0</v>
      </c>
      <c r="AS40" s="40"/>
      <c r="AT40" s="40"/>
      <c r="AU40" s="40"/>
      <c r="AV40" s="40"/>
      <c r="AW40" s="40"/>
      <c r="AX40" s="40"/>
      <c r="AY40" s="40"/>
      <c r="AZ40" s="40"/>
      <c r="BA40" s="40">
        <f t="shared" si="36"/>
        <v>0</v>
      </c>
      <c r="BB40" s="36"/>
      <c r="BC40" s="506"/>
      <c r="BD40" s="506"/>
      <c r="BE40" s="36"/>
      <c r="BF40" s="506"/>
    </row>
    <row r="41" spans="1:58" ht="12.95" customHeight="1">
      <c r="A41" s="43"/>
      <c r="B41" s="44"/>
      <c r="C41" s="447"/>
      <c r="D41" s="44"/>
      <c r="E41" s="45"/>
      <c r="F41" s="45"/>
      <c r="G41" s="46"/>
      <c r="H41" s="47"/>
      <c r="I41" s="48"/>
      <c r="J41" s="85"/>
      <c r="K41" s="85"/>
      <c r="L41" s="603"/>
      <c r="M41" s="38"/>
      <c r="N41" s="49"/>
      <c r="O41" s="50"/>
      <c r="P41" s="51"/>
      <c r="Q41" s="37"/>
      <c r="R41" s="503"/>
      <c r="S41" s="503"/>
      <c r="T41" s="40"/>
      <c r="U41" s="40"/>
      <c r="V41" s="40"/>
      <c r="W41" s="40"/>
      <c r="X41" s="41"/>
      <c r="Y41" s="214"/>
      <c r="Z41" s="40"/>
      <c r="AA41" s="40"/>
      <c r="AB41" s="40"/>
      <c r="AC41" s="40"/>
      <c r="AD41" s="40">
        <f t="shared" si="33"/>
        <v>9</v>
      </c>
      <c r="AE41" s="236" t="s">
        <v>228</v>
      </c>
      <c r="AF41" s="40"/>
      <c r="AG41" s="40"/>
      <c r="AH41" s="40"/>
      <c r="AI41" s="505">
        <v>9</v>
      </c>
      <c r="AJ41" s="40"/>
      <c r="AK41" s="40"/>
      <c r="AL41" s="40"/>
      <c r="AM41" s="40">
        <f t="shared" si="34"/>
        <v>9</v>
      </c>
      <c r="AN41" s="40"/>
      <c r="AO41" s="40"/>
      <c r="AP41" s="40"/>
      <c r="AQ41" s="40"/>
      <c r="AR41" s="40">
        <f t="shared" si="35"/>
        <v>0</v>
      </c>
      <c r="AS41" s="40"/>
      <c r="AT41" s="40"/>
      <c r="AU41" s="40"/>
      <c r="AV41" s="40"/>
      <c r="AW41" s="40"/>
      <c r="AX41" s="40"/>
      <c r="AY41" s="40"/>
      <c r="AZ41" s="40"/>
      <c r="BA41" s="40">
        <f t="shared" si="36"/>
        <v>0</v>
      </c>
      <c r="BB41" s="53"/>
      <c r="BC41" s="54"/>
      <c r="BD41" s="54"/>
      <c r="BE41" s="53"/>
      <c r="BF41" s="54"/>
    </row>
    <row r="42" spans="1:58" ht="12.95" customHeight="1">
      <c r="A42" s="43"/>
      <c r="B42" s="44"/>
      <c r="C42" s="447"/>
      <c r="D42" s="44"/>
      <c r="E42" s="45"/>
      <c r="F42" s="45"/>
      <c r="G42" s="46"/>
      <c r="H42" s="47"/>
      <c r="I42" s="48"/>
      <c r="J42" s="85"/>
      <c r="K42" s="85"/>
      <c r="L42" s="603"/>
      <c r="M42" s="38"/>
      <c r="N42" s="49"/>
      <c r="O42" s="50"/>
      <c r="P42" s="51"/>
      <c r="Q42" s="37"/>
      <c r="R42" s="503"/>
      <c r="S42" s="503"/>
      <c r="T42" s="40"/>
      <c r="U42" s="40"/>
      <c r="V42" s="40"/>
      <c r="W42" s="40"/>
      <c r="X42" s="41"/>
      <c r="Y42" s="214"/>
      <c r="Z42" s="40"/>
      <c r="AA42" s="40"/>
      <c r="AB42" s="40"/>
      <c r="AC42" s="40"/>
      <c r="AD42" s="40">
        <f t="shared" si="33"/>
        <v>223</v>
      </c>
      <c r="AE42" s="236" t="s">
        <v>512</v>
      </c>
      <c r="AF42" s="40"/>
      <c r="AG42" s="40"/>
      <c r="AH42" s="40"/>
      <c r="AI42" s="505"/>
      <c r="AJ42" s="40"/>
      <c r="AK42" s="40"/>
      <c r="AL42" s="40"/>
      <c r="AM42" s="40">
        <f t="shared" ref="AM42" si="37">SUM(AF42:AL42)+AT42</f>
        <v>0</v>
      </c>
      <c r="AN42" s="40"/>
      <c r="AO42" s="40"/>
      <c r="AP42" s="40"/>
      <c r="AQ42" s="40"/>
      <c r="AR42" s="40">
        <f t="shared" si="35"/>
        <v>0</v>
      </c>
      <c r="AS42" s="40"/>
      <c r="AT42" s="40"/>
      <c r="AU42" s="40"/>
      <c r="AV42" s="40"/>
      <c r="AW42" s="40">
        <f>539-316</f>
        <v>223</v>
      </c>
      <c r="AX42" s="40"/>
      <c r="AY42" s="40"/>
      <c r="AZ42" s="40"/>
      <c r="BA42" s="40">
        <f>+AR42+AS42+AU42+AW42</f>
        <v>223</v>
      </c>
      <c r="BB42" s="53"/>
      <c r="BC42" s="54"/>
      <c r="BD42" s="54"/>
      <c r="BE42" s="53"/>
      <c r="BF42" s="54"/>
    </row>
    <row r="43" spans="1:58" ht="12.95" customHeight="1">
      <c r="A43" s="43"/>
      <c r="B43" s="44"/>
      <c r="C43" s="447"/>
      <c r="D43" s="44"/>
      <c r="E43" s="45"/>
      <c r="F43" s="45"/>
      <c r="G43" s="46"/>
      <c r="H43" s="47"/>
      <c r="I43" s="48"/>
      <c r="J43" s="85"/>
      <c r="K43" s="85"/>
      <c r="L43" s="603"/>
      <c r="M43" s="38"/>
      <c r="N43" s="49"/>
      <c r="O43" s="50"/>
      <c r="P43" s="51"/>
      <c r="Q43" s="50"/>
      <c r="R43" s="503"/>
      <c r="S43" s="503"/>
      <c r="T43" s="40"/>
      <c r="U43" s="40"/>
      <c r="V43" s="40"/>
      <c r="W43" s="40"/>
      <c r="X43" s="41"/>
      <c r="Y43" s="214"/>
      <c r="Z43" s="40"/>
      <c r="AA43" s="40"/>
      <c r="AB43" s="40"/>
      <c r="AC43" s="40"/>
      <c r="AD43" s="40"/>
      <c r="AE43" s="233"/>
      <c r="AF43" s="36"/>
      <c r="AG43" s="36"/>
      <c r="AH43" s="36"/>
      <c r="AJ43" s="40"/>
      <c r="AK43" s="40"/>
      <c r="AL43" s="40"/>
      <c r="AM43" s="40"/>
      <c r="AN43" s="40"/>
      <c r="AO43" s="40"/>
      <c r="AP43" s="40"/>
      <c r="AQ43" s="40"/>
      <c r="AR43" s="40"/>
      <c r="AS43" s="40"/>
      <c r="AT43" s="40"/>
      <c r="AU43" s="40"/>
      <c r="AV43" s="40"/>
      <c r="AW43" s="40"/>
      <c r="AX43" s="40"/>
      <c r="AY43" s="40"/>
      <c r="AZ43" s="40"/>
      <c r="BA43" s="40"/>
      <c r="BB43" s="36"/>
      <c r="BC43" s="506"/>
      <c r="BD43" s="54"/>
      <c r="BE43" s="54"/>
      <c r="BF43" s="54"/>
    </row>
    <row r="44" spans="1:58" ht="12.95" customHeight="1">
      <c r="A44" s="43">
        <v>46088</v>
      </c>
      <c r="B44" s="44" t="s">
        <v>423</v>
      </c>
      <c r="C44" s="447">
        <f>(M44*E44*O44*Q44)/100000000</f>
        <v>37.593956400000003</v>
      </c>
      <c r="D44" s="44" t="s">
        <v>425</v>
      </c>
      <c r="E44" s="45">
        <v>20</v>
      </c>
      <c r="F44" s="45">
        <v>1</v>
      </c>
      <c r="G44" s="502">
        <v>895</v>
      </c>
      <c r="H44" s="47">
        <f>+N44</f>
        <v>0.21999999999999997</v>
      </c>
      <c r="I44" s="48">
        <v>0.88</v>
      </c>
      <c r="J44" s="85">
        <f>E44*G44*(1-H44)*1440/1000000*2.75</f>
        <v>55.289520000000003</v>
      </c>
      <c r="K44" s="85">
        <f t="shared" ref="K44:K45" si="38">(IF(G44&lt;L44,L44,G44)*(1-IF(H44&lt;N44,H44,N44))*E44*O44*Q44)/100000000</f>
        <v>39.584224679999998</v>
      </c>
      <c r="L44" s="603">
        <v>850</v>
      </c>
      <c r="M44" s="38">
        <v>663</v>
      </c>
      <c r="N44" s="49">
        <f>1-(M44/L44)</f>
        <v>0.21999999999999997</v>
      </c>
      <c r="O44" s="50">
        <f>+'Trim Rwd'!H24</f>
        <v>269.5</v>
      </c>
      <c r="P44" s="51">
        <f>O44*(Q44-R44-S44)</f>
        <v>275429</v>
      </c>
      <c r="Q44" s="50">
        <f>1437-385</f>
        <v>1052</v>
      </c>
      <c r="R44" s="503">
        <f>385-385</f>
        <v>0</v>
      </c>
      <c r="S44" s="503">
        <v>30</v>
      </c>
      <c r="T44" s="40">
        <f>E44*M44*O44*Q44/100000000</f>
        <v>37.593956400000003</v>
      </c>
      <c r="U44" s="40">
        <f>E44*M44*O44*(Q44-R44-S44)/100000000</f>
        <v>36.521885400000002</v>
      </c>
      <c r="V44" s="40">
        <f>E44*G44*(1-N44)*O44/100*(R44+S44)/1000000</f>
        <v>1.1288277</v>
      </c>
      <c r="W44" s="40">
        <f>+'7'!K10/1000</f>
        <v>31.99</v>
      </c>
      <c r="X44" s="504">
        <f>SUM(W44:W47)/SUM(K44:K47)</f>
        <v>0.80595608957230203</v>
      </c>
      <c r="Y44" s="214">
        <v>0</v>
      </c>
      <c r="Z44" s="40">
        <v>0</v>
      </c>
      <c r="AA44" s="52">
        <f>SUM(U44:U47)-SUM(W44:W47)-SUM(Z44:Z47)-SUM(Y44:Y47)</f>
        <v>4.5028062200000072</v>
      </c>
      <c r="AB44" s="52">
        <f>(SUM(K44:K47)-SUM(W44:W47)-SUM(Y44:Y47)-SUM(Z44:Z47)-SUM(AC44:AC47)-SUM(V44:V47))-AA44</f>
        <v>-8.4125340000005266E-2</v>
      </c>
      <c r="AC44" s="40">
        <f>K44-T44</f>
        <v>1.9902682799999951</v>
      </c>
      <c r="AD44" s="40">
        <f>+AM44+BA44</f>
        <v>0</v>
      </c>
      <c r="AE44" s="233" t="s">
        <v>391</v>
      </c>
      <c r="AF44" s="40">
        <v>0</v>
      </c>
      <c r="AG44" s="40"/>
      <c r="AH44" s="40"/>
      <c r="AI44" s="505"/>
      <c r="AJ44" s="40"/>
      <c r="AK44" s="40"/>
      <c r="AL44" s="40"/>
      <c r="AM44" s="40">
        <f>SUM(AF44:AL44)+AT44</f>
        <v>0</v>
      </c>
      <c r="AN44" s="40"/>
      <c r="AO44" s="40"/>
      <c r="AP44" s="40"/>
      <c r="AQ44" s="40"/>
      <c r="AR44" s="40">
        <f>SUM(AN44:AQ44)</f>
        <v>0</v>
      </c>
      <c r="AS44" s="40"/>
      <c r="AT44" s="40"/>
      <c r="AU44" s="40"/>
      <c r="AV44" s="40"/>
      <c r="AW44" s="40"/>
      <c r="AX44" s="40"/>
      <c r="AY44" s="40"/>
      <c r="AZ44" s="40"/>
      <c r="BA44" s="40">
        <f>+AR44+AS44+AU44+AV44+AX44</f>
        <v>0</v>
      </c>
      <c r="BB44" s="36">
        <v>0</v>
      </c>
      <c r="BC44" s="54"/>
      <c r="BD44" s="54">
        <v>1</v>
      </c>
      <c r="BE44" s="36"/>
      <c r="BF44" s="54"/>
    </row>
    <row r="45" spans="1:58" ht="12.95" customHeight="1">
      <c r="A45" s="43"/>
      <c r="B45" s="44" t="s">
        <v>423</v>
      </c>
      <c r="C45" s="447">
        <f>(M45*E45*O45*Q45)/100000000</f>
        <v>8.7237540000000002E-2</v>
      </c>
      <c r="D45" s="44" t="s">
        <v>425</v>
      </c>
      <c r="E45" s="45">
        <v>17</v>
      </c>
      <c r="F45" s="45">
        <v>1</v>
      </c>
      <c r="G45" s="502">
        <v>1050</v>
      </c>
      <c r="H45" s="47">
        <f>+N45</f>
        <v>0.21999999999999997</v>
      </c>
      <c r="I45" s="48">
        <v>0.88</v>
      </c>
      <c r="J45" s="85">
        <f>E45*G45*(1-H45)*1440/1000000*2.75</f>
        <v>55.135079999999995</v>
      </c>
      <c r="K45" s="85">
        <f t="shared" si="38"/>
        <v>0.10776402</v>
      </c>
      <c r="L45" s="603">
        <v>850</v>
      </c>
      <c r="M45" s="38">
        <v>663</v>
      </c>
      <c r="N45" s="49">
        <f>1-(M45/L45)</f>
        <v>0.21999999999999997</v>
      </c>
      <c r="O45" s="50">
        <f>+'Trim Rwd'!H25</f>
        <v>258</v>
      </c>
      <c r="P45" s="51">
        <f>O45*(Q45-R45-S45)</f>
        <v>-258</v>
      </c>
      <c r="Q45" s="50">
        <v>3</v>
      </c>
      <c r="R45" s="503">
        <v>0</v>
      </c>
      <c r="S45" s="503">
        <v>4</v>
      </c>
      <c r="T45" s="40">
        <f>E45*M45*O45*Q45/100000000</f>
        <v>8.7237540000000002E-2</v>
      </c>
      <c r="U45" s="40">
        <f>E45*M45*O45*(Q45-R45-S45)/100000000</f>
        <v>-2.907918E-2</v>
      </c>
      <c r="V45" s="40">
        <f>E45*G45*(1-N45)*O45/100*(R45+S45)/1000000</f>
        <v>0.14368535999999998</v>
      </c>
      <c r="W45" s="40">
        <f>+'5'!K21/1000</f>
        <v>0</v>
      </c>
      <c r="X45" s="41"/>
      <c r="Y45" s="214"/>
      <c r="Z45" s="40"/>
      <c r="AA45" s="40"/>
      <c r="AB45" s="40"/>
      <c r="AC45" s="40">
        <f>K45-T45</f>
        <v>2.052648E-2</v>
      </c>
      <c r="AD45" s="40">
        <f t="shared" ref="AD45:AD48" si="39">+AM45+BA45</f>
        <v>9</v>
      </c>
      <c r="AE45" s="233" t="s">
        <v>555</v>
      </c>
      <c r="AF45" s="40"/>
      <c r="AG45" s="40">
        <v>9</v>
      </c>
      <c r="AH45" s="40"/>
      <c r="AI45" s="505"/>
      <c r="AJ45" s="40"/>
      <c r="AK45" s="40"/>
      <c r="AL45" s="40"/>
      <c r="AM45" s="40">
        <f t="shared" ref="AM45:AM48" si="40">SUM(AF45:AL45)+AT45</f>
        <v>9</v>
      </c>
      <c r="AN45" s="86"/>
      <c r="AO45" s="40"/>
      <c r="AP45" s="40"/>
      <c r="AQ45" s="40"/>
      <c r="AR45" s="40">
        <f t="shared" ref="AR45:AR48" si="41">SUM(AN45:AQ45)</f>
        <v>0</v>
      </c>
      <c r="AS45" s="40"/>
      <c r="AT45" s="40"/>
      <c r="AU45" s="40"/>
      <c r="AV45" s="40"/>
      <c r="AW45" s="40"/>
      <c r="AX45" s="40"/>
      <c r="AY45" s="40"/>
      <c r="AZ45" s="40"/>
      <c r="BA45" s="40">
        <f t="shared" ref="BA45:BA47" si="42">+AR45+AS45+AU45+AV45+AX45</f>
        <v>0</v>
      </c>
      <c r="BB45" s="53"/>
      <c r="BC45" s="54">
        <v>10</v>
      </c>
      <c r="BD45" s="54"/>
      <c r="BE45" s="53"/>
      <c r="BF45" s="54"/>
    </row>
    <row r="46" spans="1:58" ht="12.95" customHeight="1">
      <c r="A46" s="43"/>
      <c r="B46" s="44"/>
      <c r="C46" s="447"/>
      <c r="D46" s="44"/>
      <c r="E46" s="45"/>
      <c r="F46" s="45"/>
      <c r="G46" s="502"/>
      <c r="H46" s="47"/>
      <c r="I46" s="48"/>
      <c r="J46" s="85"/>
      <c r="K46" s="85"/>
      <c r="L46" s="603"/>
      <c r="M46" s="38"/>
      <c r="N46" s="49"/>
      <c r="O46" s="50"/>
      <c r="P46" s="51"/>
      <c r="Q46" s="50"/>
      <c r="R46" s="503"/>
      <c r="S46" s="503"/>
      <c r="T46" s="40"/>
      <c r="U46" s="40"/>
      <c r="V46" s="40"/>
      <c r="W46" s="40"/>
      <c r="X46" s="41"/>
      <c r="Y46" s="214"/>
      <c r="Z46" s="40"/>
      <c r="AA46" s="40"/>
      <c r="AB46" s="40"/>
      <c r="AC46" s="40"/>
      <c r="AD46" s="40">
        <f t="shared" si="39"/>
        <v>17</v>
      </c>
      <c r="AE46" s="233" t="s">
        <v>556</v>
      </c>
      <c r="AF46" s="36"/>
      <c r="AG46" s="36"/>
      <c r="AH46" s="36">
        <v>17</v>
      </c>
      <c r="AJ46" s="40"/>
      <c r="AK46" s="40"/>
      <c r="AL46" s="40"/>
      <c r="AM46" s="40">
        <f t="shared" si="40"/>
        <v>17</v>
      </c>
      <c r="AN46" s="40"/>
      <c r="AO46" s="40"/>
      <c r="AP46" s="40"/>
      <c r="AQ46" s="40"/>
      <c r="AR46" s="40">
        <f t="shared" si="41"/>
        <v>0</v>
      </c>
      <c r="AS46" s="40"/>
      <c r="AT46" s="40"/>
      <c r="AU46" s="40"/>
      <c r="AV46" s="40"/>
      <c r="AW46" s="40"/>
      <c r="AX46" s="40"/>
      <c r="AY46" s="40"/>
      <c r="AZ46" s="40"/>
      <c r="BA46" s="40">
        <f t="shared" si="42"/>
        <v>0</v>
      </c>
      <c r="BB46" s="36"/>
      <c r="BC46" s="506"/>
      <c r="BD46" s="506"/>
      <c r="BE46" s="36"/>
      <c r="BF46" s="506"/>
    </row>
    <row r="47" spans="1:58" ht="12.95" customHeight="1">
      <c r="A47" s="43"/>
      <c r="B47" s="44"/>
      <c r="C47" s="447"/>
      <c r="D47" s="44"/>
      <c r="E47" s="45"/>
      <c r="F47" s="45"/>
      <c r="G47" s="46"/>
      <c r="H47" s="47"/>
      <c r="I47" s="48"/>
      <c r="J47" s="85"/>
      <c r="K47" s="85"/>
      <c r="L47" s="603"/>
      <c r="M47" s="38"/>
      <c r="N47" s="49"/>
      <c r="O47" s="50"/>
      <c r="P47" s="51"/>
      <c r="Q47" s="37"/>
      <c r="R47" s="503"/>
      <c r="S47" s="503"/>
      <c r="T47" s="40"/>
      <c r="U47" s="40"/>
      <c r="V47" s="40"/>
      <c r="W47" s="40"/>
      <c r="X47" s="41"/>
      <c r="Y47" s="214"/>
      <c r="Z47" s="40"/>
      <c r="AA47" s="40"/>
      <c r="AB47" s="40"/>
      <c r="AC47" s="40"/>
      <c r="AD47" s="40">
        <f t="shared" si="39"/>
        <v>8</v>
      </c>
      <c r="AE47" s="236" t="s">
        <v>228</v>
      </c>
      <c r="AF47" s="40"/>
      <c r="AG47" s="40"/>
      <c r="AH47" s="40"/>
      <c r="AI47" s="505">
        <v>8</v>
      </c>
      <c r="AJ47" s="40"/>
      <c r="AK47" s="40"/>
      <c r="AL47" s="40"/>
      <c r="AM47" s="40">
        <f t="shared" si="40"/>
        <v>8</v>
      </c>
      <c r="AN47" s="40"/>
      <c r="AO47" s="40"/>
      <c r="AP47" s="40"/>
      <c r="AQ47" s="40"/>
      <c r="AR47" s="40">
        <f t="shared" si="41"/>
        <v>0</v>
      </c>
      <c r="AS47" s="40"/>
      <c r="AT47" s="40"/>
      <c r="AU47" s="40"/>
      <c r="AV47" s="40"/>
      <c r="AW47" s="40"/>
      <c r="AX47" s="40"/>
      <c r="AY47" s="40"/>
      <c r="AZ47" s="40"/>
      <c r="BA47" s="40">
        <f t="shared" si="42"/>
        <v>0</v>
      </c>
      <c r="BB47" s="53"/>
      <c r="BC47" s="54"/>
      <c r="BD47" s="54"/>
      <c r="BE47" s="53"/>
      <c r="BF47" s="54"/>
    </row>
    <row r="48" spans="1:58" ht="12.95" customHeight="1">
      <c r="A48" s="43"/>
      <c r="B48" s="44"/>
      <c r="C48" s="447"/>
      <c r="D48" s="44"/>
      <c r="E48" s="45"/>
      <c r="F48" s="45"/>
      <c r="G48" s="46"/>
      <c r="H48" s="47"/>
      <c r="I48" s="48"/>
      <c r="J48" s="85"/>
      <c r="K48" s="85"/>
      <c r="L48" s="603"/>
      <c r="M48" s="38"/>
      <c r="N48" s="49"/>
      <c r="O48" s="50"/>
      <c r="P48" s="51"/>
      <c r="Q48" s="37"/>
      <c r="R48" s="503"/>
      <c r="S48" s="503"/>
      <c r="T48" s="40"/>
      <c r="U48" s="40"/>
      <c r="V48" s="40"/>
      <c r="W48" s="40"/>
      <c r="X48" s="41"/>
      <c r="Y48" s="214"/>
      <c r="Z48" s="40"/>
      <c r="AA48" s="40"/>
      <c r="AB48" s="40"/>
      <c r="AC48" s="40"/>
      <c r="AD48" s="40">
        <f t="shared" si="39"/>
        <v>0</v>
      </c>
      <c r="AE48" s="236" t="s">
        <v>512</v>
      </c>
      <c r="AF48" s="40"/>
      <c r="AG48" s="40"/>
      <c r="AH48" s="40"/>
      <c r="AI48" s="505"/>
      <c r="AJ48" s="40"/>
      <c r="AK48" s="40"/>
      <c r="AL48" s="40"/>
      <c r="AM48" s="40">
        <f t="shared" si="40"/>
        <v>0</v>
      </c>
      <c r="AN48" s="40"/>
      <c r="AO48" s="40"/>
      <c r="AP48" s="40"/>
      <c r="AQ48" s="40"/>
      <c r="AR48" s="40">
        <f t="shared" si="41"/>
        <v>0</v>
      </c>
      <c r="AS48" s="40"/>
      <c r="AT48" s="40"/>
      <c r="AU48" s="40"/>
      <c r="AV48" s="40"/>
      <c r="AW48" s="40">
        <f>385-385</f>
        <v>0</v>
      </c>
      <c r="AX48" s="40"/>
      <c r="AY48" s="40"/>
      <c r="AZ48" s="40"/>
      <c r="BA48" s="40">
        <f>+AR48+AS48+AU48+AW48</f>
        <v>0</v>
      </c>
      <c r="BB48" s="53"/>
      <c r="BC48" s="54"/>
      <c r="BD48" s="54"/>
      <c r="BE48" s="53"/>
      <c r="BF48" s="54"/>
    </row>
    <row r="49" spans="1:58" ht="12.95" customHeight="1">
      <c r="A49" s="43"/>
      <c r="B49" s="44"/>
      <c r="C49" s="447"/>
      <c r="D49" s="44"/>
      <c r="E49" s="45"/>
      <c r="F49" s="45"/>
      <c r="G49" s="46"/>
      <c r="H49" s="46"/>
      <c r="I49" s="48"/>
      <c r="J49" s="85"/>
      <c r="K49" s="85"/>
      <c r="L49" s="603"/>
      <c r="M49" s="38"/>
      <c r="N49" s="49"/>
      <c r="O49" s="50"/>
      <c r="P49" s="51"/>
      <c r="Q49" s="50"/>
      <c r="R49" s="503"/>
      <c r="S49" s="503"/>
      <c r="T49" s="40"/>
      <c r="U49" s="40"/>
      <c r="V49" s="40"/>
      <c r="W49" s="40"/>
      <c r="X49" s="504"/>
      <c r="Y49" s="214"/>
      <c r="Z49" s="40"/>
      <c r="AA49" s="52"/>
      <c r="AB49" s="52"/>
      <c r="AC49" s="40"/>
      <c r="AD49" s="40"/>
      <c r="AE49" s="233"/>
      <c r="AF49" s="40"/>
      <c r="AG49" s="40"/>
      <c r="AH49" s="40"/>
      <c r="AI49" s="40"/>
      <c r="AJ49" s="40"/>
      <c r="AK49" s="40"/>
      <c r="AL49" s="40"/>
      <c r="AM49" s="40"/>
      <c r="AN49" s="40"/>
      <c r="AO49" s="40"/>
      <c r="AP49" s="40"/>
      <c r="AQ49" s="40"/>
      <c r="AR49" s="40"/>
      <c r="AS49" s="40"/>
      <c r="AT49" s="40"/>
      <c r="AU49" s="40"/>
      <c r="AV49" s="40"/>
      <c r="AW49" s="40"/>
      <c r="AX49" s="40"/>
      <c r="AY49" s="40"/>
      <c r="AZ49" s="40"/>
      <c r="BA49" s="40"/>
      <c r="BB49" s="36"/>
      <c r="BC49" s="54"/>
      <c r="BD49" s="54"/>
      <c r="BE49" s="54"/>
      <c r="BF49" s="54"/>
    </row>
    <row r="50" spans="1:58" ht="12.95" customHeight="1">
      <c r="A50" s="43">
        <v>46089</v>
      </c>
      <c r="B50" s="44" t="s">
        <v>423</v>
      </c>
      <c r="C50" s="447">
        <f>(M50*E50*O50*Q50)/100000000</f>
        <v>18.265146120000001</v>
      </c>
      <c r="D50" s="44" t="s">
        <v>425</v>
      </c>
      <c r="E50" s="45">
        <v>17</v>
      </c>
      <c r="F50" s="45">
        <v>1</v>
      </c>
      <c r="G50" s="502">
        <v>1050</v>
      </c>
      <c r="H50" s="47">
        <f>+N50</f>
        <v>0.21999999999999997</v>
      </c>
      <c r="I50" s="48">
        <v>0.88</v>
      </c>
      <c r="J50" s="85">
        <f>E50*G50*(1-H50)*1440/1000000*2.75</f>
        <v>55.135079999999995</v>
      </c>
      <c r="K50" s="85">
        <f t="shared" ref="K50:K51" si="43">(IF(G50&lt;L50,L50,G50)*(1-IF(H50&lt;N50,H50,N50))*E50*O50*Q50)/100000000</f>
        <v>22.055702759999999</v>
      </c>
      <c r="L50" s="603">
        <v>869.54397394136811</v>
      </c>
      <c r="M50" s="38">
        <v>678.24429967426715</v>
      </c>
      <c r="N50" s="49">
        <f>1-(M50/L50)</f>
        <v>0.21999999999999997</v>
      </c>
      <c r="O50" s="50">
        <f>+'Trim Rwd'!H28</f>
        <v>258</v>
      </c>
      <c r="P50" s="51">
        <f>O50*(Q50-R50-S50)</f>
        <v>154026</v>
      </c>
      <c r="Q50" s="50">
        <v>614</v>
      </c>
      <c r="R50" s="503">
        <v>0</v>
      </c>
      <c r="S50" s="503">
        <v>17</v>
      </c>
      <c r="T50" s="40">
        <f>E50*M50*O50*Q50/100000000</f>
        <v>18.265146120000001</v>
      </c>
      <c r="U50" s="40">
        <f>E50*M50*O50*(Q50-R50-S50)/100000000</f>
        <v>17.759433605276872</v>
      </c>
      <c r="V50" s="40">
        <f>E50*G50*(1-N50)*O50/100*(R50+S50)/1000000</f>
        <v>0.61066277999999996</v>
      </c>
      <c r="W50" s="40">
        <f>+'8'!K11/1000</f>
        <v>18.516999999999999</v>
      </c>
      <c r="X50" s="504">
        <f>SUM(W50:W53)/SUM(K50:K53)</f>
        <v>0.86277855736992082</v>
      </c>
      <c r="Y50" s="214">
        <v>0</v>
      </c>
      <c r="Z50" s="40">
        <v>0</v>
      </c>
      <c r="AA50" s="52">
        <f>SUM(U50:U53)-SUM(W50:W53)-SUM(Z50:Z53)-SUM(Y50:Y53)</f>
        <v>-2.6462733282123168</v>
      </c>
      <c r="AB50" s="52">
        <f>(SUM(K50:K53)-SUM(W50:W53)-SUM(Y50:Y53)-SUM(Z50:Z53)-SUM(AC50:AC53)-SUM(V50:V53))-AA50</f>
        <v>-0.25873042883034536</v>
      </c>
      <c r="AC50" s="40">
        <f>K50-T50</f>
        <v>3.7905566399999984</v>
      </c>
      <c r="AD50" s="40">
        <f>+AM50+BA50</f>
        <v>0</v>
      </c>
      <c r="AE50" s="233" t="s">
        <v>391</v>
      </c>
      <c r="AF50" s="40">
        <v>0</v>
      </c>
      <c r="AG50" s="40"/>
      <c r="AH50" s="40"/>
      <c r="AI50" s="505"/>
      <c r="AJ50" s="40"/>
      <c r="AK50" s="40"/>
      <c r="AL50" s="40"/>
      <c r="AM50" s="40">
        <f>SUM(AF50:AL50)+AT50</f>
        <v>0</v>
      </c>
      <c r="AN50" s="40"/>
      <c r="AO50" s="40"/>
      <c r="AP50" s="40"/>
      <c r="AQ50" s="40"/>
      <c r="AR50" s="40">
        <f>SUM(AN50:AQ50)</f>
        <v>0</v>
      </c>
      <c r="AS50" s="40"/>
      <c r="AT50" s="40"/>
      <c r="AU50" s="40"/>
      <c r="AV50" s="40"/>
      <c r="AW50" s="40"/>
      <c r="AX50" s="40"/>
      <c r="AY50" s="40"/>
      <c r="AZ50" s="40"/>
      <c r="BA50" s="40">
        <f>+AR50+AS50+AU50+AV50+AX50</f>
        <v>0</v>
      </c>
      <c r="BB50" s="36">
        <v>0</v>
      </c>
      <c r="BC50" s="54"/>
      <c r="BD50" s="54"/>
      <c r="BE50" s="36"/>
      <c r="BF50" s="54"/>
    </row>
    <row r="51" spans="1:58" ht="12.95" customHeight="1">
      <c r="A51" s="43"/>
      <c r="B51" s="44" t="s">
        <v>423</v>
      </c>
      <c r="C51" s="447">
        <f>(M51*E51*O51*Q51)/100000000</f>
        <v>25.661093958620686</v>
      </c>
      <c r="D51" s="44" t="s">
        <v>425</v>
      </c>
      <c r="E51" s="45">
        <v>16</v>
      </c>
      <c r="F51" s="45">
        <v>1</v>
      </c>
      <c r="G51" s="502">
        <v>1065</v>
      </c>
      <c r="H51" s="47">
        <f>+N51</f>
        <v>0.18450363196125918</v>
      </c>
      <c r="I51" s="48">
        <v>0.88</v>
      </c>
      <c r="J51" s="85">
        <f>E51*G51*(1-H51)*1440/1000000*2.75</f>
        <v>55.028390121065371</v>
      </c>
      <c r="K51" s="85">
        <f t="shared" si="43"/>
        <v>30.365627851034478</v>
      </c>
      <c r="L51" s="603">
        <v>900</v>
      </c>
      <c r="M51" s="38">
        <v>733.94673123486677</v>
      </c>
      <c r="N51" s="49">
        <f>1-(M51/L51)</f>
        <v>0.18450363196125918</v>
      </c>
      <c r="O51" s="50">
        <f>+'Trim Rwd'!H29</f>
        <v>264.55172413793105</v>
      </c>
      <c r="P51" s="51">
        <f>O51*(Q51-R51-S51)</f>
        <v>211376.8275862069</v>
      </c>
      <c r="Q51" s="50">
        <v>826</v>
      </c>
      <c r="R51" s="503">
        <v>0</v>
      </c>
      <c r="S51" s="503">
        <v>27</v>
      </c>
      <c r="T51" s="40">
        <f>E51*M51*O51*Q51/100000000</f>
        <v>25.661093958620686</v>
      </c>
      <c r="U51" s="40">
        <f>E51*M51*O51*(Q51-R51-S51)/100000000</f>
        <v>24.822293066510809</v>
      </c>
      <c r="V51" s="40">
        <f>E51*G51*(1-N51)*O51/100*(R51+S51)/1000000</f>
        <v>0.99258105566335453</v>
      </c>
      <c r="W51" s="40">
        <f>+'8'!K12/1000</f>
        <v>22.931999999999999</v>
      </c>
      <c r="X51" s="41"/>
      <c r="Y51" s="214"/>
      <c r="Z51" s="40"/>
      <c r="AA51" s="40"/>
      <c r="AB51" s="40"/>
      <c r="AC51" s="40">
        <f>K51-T51</f>
        <v>4.7045338924137923</v>
      </c>
      <c r="AD51" s="40">
        <f t="shared" ref="AD51:AD53" si="44">+AM51+BA51</f>
        <v>15</v>
      </c>
      <c r="AE51" s="233" t="s">
        <v>555</v>
      </c>
      <c r="AF51" s="40"/>
      <c r="AG51" s="40">
        <v>15</v>
      </c>
      <c r="AH51" s="40"/>
      <c r="AI51" s="505"/>
      <c r="AJ51" s="40"/>
      <c r="AK51" s="40"/>
      <c r="AL51" s="40"/>
      <c r="AM51" s="40">
        <f t="shared" ref="AM51:AM53" si="45">SUM(AF51:AL51)+AT51</f>
        <v>15</v>
      </c>
      <c r="AN51" s="86"/>
      <c r="AO51" s="40"/>
      <c r="AP51" s="40"/>
      <c r="AQ51" s="40"/>
      <c r="AR51" s="40">
        <f t="shared" ref="AR51:AR53" si="46">SUM(AN51:AQ51)</f>
        <v>0</v>
      </c>
      <c r="AS51" s="40"/>
      <c r="AT51" s="40"/>
      <c r="AU51" s="40"/>
      <c r="AV51" s="40"/>
      <c r="AW51" s="40"/>
      <c r="AX51" s="40"/>
      <c r="AY51" s="40"/>
      <c r="AZ51" s="40"/>
      <c r="BA51" s="40">
        <f t="shared" ref="BA51:BA53" si="47">+AR51+AS51+AU51+AV51+AX51</f>
        <v>0</v>
      </c>
      <c r="BB51" s="53"/>
      <c r="BC51" s="54">
        <v>10</v>
      </c>
      <c r="BD51" s="54"/>
      <c r="BE51" s="53"/>
      <c r="BF51" s="54"/>
    </row>
    <row r="52" spans="1:58" ht="12.95" customHeight="1">
      <c r="A52" s="43"/>
      <c r="B52" s="44" t="s">
        <v>423</v>
      </c>
      <c r="C52" s="447"/>
      <c r="D52" s="44"/>
      <c r="E52" s="45">
        <v>20</v>
      </c>
      <c r="F52" s="45"/>
      <c r="G52" s="502"/>
      <c r="H52" s="47"/>
      <c r="I52" s="48"/>
      <c r="J52" s="85"/>
      <c r="K52" s="85"/>
      <c r="L52" s="603"/>
      <c r="M52" s="38"/>
      <c r="N52" s="49"/>
      <c r="O52" s="50"/>
      <c r="P52" s="51"/>
      <c r="Q52" s="50"/>
      <c r="R52" s="503"/>
      <c r="S52" s="503"/>
      <c r="T52" s="40"/>
      <c r="U52" s="40"/>
      <c r="V52" s="40"/>
      <c r="W52" s="40">
        <f>+'8'!K10/1000</f>
        <v>3.7789999999999999</v>
      </c>
      <c r="X52" s="41"/>
      <c r="Y52" s="214"/>
      <c r="Z52" s="40"/>
      <c r="AA52" s="40"/>
      <c r="AB52" s="40"/>
      <c r="AC52" s="40"/>
      <c r="AD52" s="40">
        <f t="shared" si="44"/>
        <v>21</v>
      </c>
      <c r="AE52" s="233" t="s">
        <v>490</v>
      </c>
      <c r="AF52" s="36"/>
      <c r="AG52" s="36"/>
      <c r="AH52" s="36">
        <v>21</v>
      </c>
      <c r="AJ52" s="40"/>
      <c r="AK52" s="40"/>
      <c r="AL52" s="40"/>
      <c r="AM52" s="40">
        <f t="shared" si="45"/>
        <v>21</v>
      </c>
      <c r="AN52" s="40"/>
      <c r="AO52" s="40"/>
      <c r="AP52" s="40"/>
      <c r="AQ52" s="40"/>
      <c r="AR52" s="40">
        <f t="shared" si="46"/>
        <v>0</v>
      </c>
      <c r="AS52" s="40"/>
      <c r="AT52" s="40"/>
      <c r="AU52" s="40"/>
      <c r="AV52" s="40"/>
      <c r="AW52" s="40"/>
      <c r="AX52" s="40"/>
      <c r="AY52" s="40"/>
      <c r="AZ52" s="40"/>
      <c r="BA52" s="40">
        <f t="shared" si="47"/>
        <v>0</v>
      </c>
      <c r="BB52" s="36"/>
      <c r="BC52" s="506"/>
      <c r="BD52" s="506"/>
      <c r="BE52" s="36"/>
      <c r="BF52" s="506"/>
    </row>
    <row r="53" spans="1:58" ht="12.95" customHeight="1">
      <c r="A53" s="43"/>
      <c r="B53" s="44"/>
      <c r="C53" s="447"/>
      <c r="D53" s="44"/>
      <c r="E53" s="45"/>
      <c r="F53" s="45"/>
      <c r="G53" s="46"/>
      <c r="H53" s="47"/>
      <c r="I53" s="48"/>
      <c r="J53" s="85"/>
      <c r="K53" s="85"/>
      <c r="L53" s="603"/>
      <c r="M53" s="38"/>
      <c r="N53" s="49"/>
      <c r="O53" s="50"/>
      <c r="P53" s="51"/>
      <c r="Q53" s="37"/>
      <c r="R53" s="503"/>
      <c r="S53" s="503"/>
      <c r="T53" s="40"/>
      <c r="U53" s="40"/>
      <c r="V53" s="40"/>
      <c r="W53" s="40"/>
      <c r="X53" s="41"/>
      <c r="Y53" s="214"/>
      <c r="Z53" s="40"/>
      <c r="AA53" s="40"/>
      <c r="AB53" s="40"/>
      <c r="AC53" s="40"/>
      <c r="AD53" s="40">
        <f t="shared" si="44"/>
        <v>8</v>
      </c>
      <c r="AE53" s="236" t="s">
        <v>228</v>
      </c>
      <c r="AF53" s="40"/>
      <c r="AG53" s="40"/>
      <c r="AH53" s="40"/>
      <c r="AI53" s="505">
        <v>8</v>
      </c>
      <c r="AJ53" s="40"/>
      <c r="AK53" s="40"/>
      <c r="AL53" s="40"/>
      <c r="AM53" s="40">
        <f t="shared" si="45"/>
        <v>8</v>
      </c>
      <c r="AN53" s="40"/>
      <c r="AO53" s="40"/>
      <c r="AP53" s="40"/>
      <c r="AQ53" s="40"/>
      <c r="AR53" s="40">
        <f t="shared" si="46"/>
        <v>0</v>
      </c>
      <c r="AS53" s="40"/>
      <c r="AT53" s="40"/>
      <c r="AU53" s="40"/>
      <c r="AV53" s="40"/>
      <c r="AW53" s="40"/>
      <c r="AX53" s="40"/>
      <c r="AY53" s="40"/>
      <c r="AZ53" s="40"/>
      <c r="BA53" s="40">
        <f t="shared" si="47"/>
        <v>0</v>
      </c>
      <c r="BB53" s="53"/>
      <c r="BC53" s="54"/>
      <c r="BD53" s="54"/>
      <c r="BE53" s="53"/>
      <c r="BF53" s="54"/>
    </row>
    <row r="54" spans="1:58" ht="12.95" customHeight="1">
      <c r="A54" s="43"/>
      <c r="B54" s="44"/>
      <c r="C54" s="447"/>
      <c r="D54" s="44"/>
      <c r="E54" s="45"/>
      <c r="F54" s="45"/>
      <c r="G54" s="46"/>
      <c r="H54" s="46"/>
      <c r="I54" s="48"/>
      <c r="J54" s="85"/>
      <c r="K54" s="85"/>
      <c r="L54" s="603"/>
      <c r="M54" s="38"/>
      <c r="N54" s="49"/>
      <c r="O54" s="50"/>
      <c r="P54" s="51"/>
      <c r="Q54" s="50"/>
      <c r="R54" s="503"/>
      <c r="S54" s="503"/>
      <c r="T54" s="40"/>
      <c r="U54" s="40"/>
      <c r="V54" s="40"/>
      <c r="W54" s="40"/>
      <c r="X54" s="504"/>
      <c r="Y54" s="214"/>
      <c r="Z54" s="40"/>
      <c r="AA54" s="52"/>
      <c r="AB54" s="52"/>
      <c r="AC54" s="40"/>
      <c r="AD54" s="40"/>
      <c r="AE54" s="236"/>
      <c r="AF54" s="40"/>
      <c r="AG54" s="40"/>
      <c r="AH54" s="40"/>
      <c r="AI54" s="40"/>
      <c r="AJ54" s="40"/>
      <c r="AK54" s="40"/>
      <c r="AL54" s="40"/>
      <c r="AM54" s="40"/>
      <c r="AN54" s="40"/>
      <c r="AO54" s="40"/>
      <c r="AP54" s="40"/>
      <c r="AQ54" s="40"/>
      <c r="AR54" s="40"/>
      <c r="AS54" s="36"/>
      <c r="AT54" s="36"/>
      <c r="AU54" s="36"/>
      <c r="AV54" s="36"/>
      <c r="AW54" s="36"/>
      <c r="AX54" s="36"/>
      <c r="AY54" s="36"/>
      <c r="AZ54" s="36"/>
      <c r="BA54" s="40"/>
      <c r="BB54" s="36"/>
      <c r="BC54" s="54"/>
      <c r="BD54" s="54"/>
      <c r="BE54" s="54"/>
      <c r="BF54" s="54"/>
    </row>
    <row r="55" spans="1:58" ht="12.75" customHeight="1">
      <c r="A55" s="43">
        <v>46090</v>
      </c>
      <c r="B55" s="44" t="s">
        <v>423</v>
      </c>
      <c r="C55" s="447">
        <f t="shared" ref="C55:C56" si="48">(M55*E55*O55*Q55)/100000000</f>
        <v>11.5340544</v>
      </c>
      <c r="D55" s="44" t="s">
        <v>425</v>
      </c>
      <c r="E55" s="45">
        <v>16</v>
      </c>
      <c r="F55" s="45">
        <v>1</v>
      </c>
      <c r="G55" s="502">
        <v>1060</v>
      </c>
      <c r="H55" s="47">
        <f t="shared" ref="H55:H56" si="49">+N55</f>
        <v>0.18000000000000005</v>
      </c>
      <c r="I55" s="48">
        <v>0.88</v>
      </c>
      <c r="J55" s="85">
        <f t="shared" ref="J55:J56" si="50">E55*G55*(1-H55)*1440/1000000*2.75</f>
        <v>55.072512000000003</v>
      </c>
      <c r="K55" s="85">
        <f t="shared" ref="K55:K56" si="51">(IF(G55&lt;L55,L55,G55)*(1-IF(H55&lt;N55,H55,N55))*E55*O55*Q55)/100000000</f>
        <v>13.58455296</v>
      </c>
      <c r="L55" s="603">
        <v>900</v>
      </c>
      <c r="M55" s="38">
        <v>738</v>
      </c>
      <c r="N55" s="49">
        <f t="shared" ref="N55:N56" si="52">1-(M55/L55)</f>
        <v>0.18000000000000005</v>
      </c>
      <c r="O55" s="50">
        <f>+'Trim Rwd'!H32</f>
        <v>264</v>
      </c>
      <c r="P55" s="51">
        <f t="shared" ref="P55:P56" si="53">O55*(Q55-R55-S55)</f>
        <v>95568</v>
      </c>
      <c r="Q55" s="50">
        <v>370</v>
      </c>
      <c r="R55" s="503">
        <v>0</v>
      </c>
      <c r="S55" s="503">
        <v>8</v>
      </c>
      <c r="T55" s="40">
        <f t="shared" ref="T55:T56" si="54">E55*M55*O55*Q55/100000000</f>
        <v>11.5340544</v>
      </c>
      <c r="U55" s="40">
        <f t="shared" ref="U55:U56" si="55">E55*M55*O55*(Q55-R55-S55)/100000000</f>
        <v>11.28466944</v>
      </c>
      <c r="V55" s="40">
        <f t="shared" ref="V55:V56" si="56">E55*G55*(1-N55)*O55/100*(R55+S55)/1000000</f>
        <v>0.293720064</v>
      </c>
      <c r="W55" s="40">
        <f>+'9'!K12/1000</f>
        <v>15.484999999999999</v>
      </c>
      <c r="X55" s="504">
        <f>SUM(W55:W58)/SUM(K55:K58)</f>
        <v>0.91365569597866092</v>
      </c>
      <c r="Y55" s="214">
        <v>0</v>
      </c>
      <c r="Z55" s="40">
        <v>0</v>
      </c>
      <c r="AA55" s="52">
        <f>SUM(U55:U58)-SUM(W55:W58)-SUM(Z55:Z58)-SUM(Y55:Y58)</f>
        <v>-1.3073615608971929</v>
      </c>
      <c r="AB55" s="52">
        <f>(SUM(K55:K58)-SUM(W55:W58)-SUM(Y55:Y58)-SUM(Z55:Z58)-SUM(AC55:AC58)-SUM(V55:V58))-AA55</f>
        <v>-0.10192141410280331</v>
      </c>
      <c r="AC55" s="40">
        <f>K55-T55</f>
        <v>2.0504985599999994</v>
      </c>
      <c r="AD55" s="40">
        <f>+AM55+BA55</f>
        <v>0</v>
      </c>
      <c r="AE55" s="233" t="s">
        <v>391</v>
      </c>
      <c r="AF55" s="40">
        <v>0</v>
      </c>
      <c r="AG55" s="40"/>
      <c r="AH55" s="40"/>
      <c r="AI55" s="505"/>
      <c r="AJ55" s="40"/>
      <c r="AK55" s="40"/>
      <c r="AL55" s="40"/>
      <c r="AM55" s="40">
        <f>SUM(AF55:AL55)+AT55</f>
        <v>0</v>
      </c>
      <c r="AN55" s="40"/>
      <c r="AO55" s="40"/>
      <c r="AP55" s="40"/>
      <c r="AQ55" s="40"/>
      <c r="AR55" s="40">
        <f>SUM(AN55:AQ55)</f>
        <v>0</v>
      </c>
      <c r="AS55" s="40"/>
      <c r="AT55" s="40"/>
      <c r="AU55" s="40"/>
      <c r="AV55" s="40"/>
      <c r="AW55" s="40"/>
      <c r="AX55" s="40"/>
      <c r="AY55" s="40"/>
      <c r="AZ55" s="40"/>
      <c r="BA55" s="40">
        <f>+AR55+AS55+AU55+AV55+AX55</f>
        <v>0</v>
      </c>
      <c r="BB55" s="36">
        <v>0</v>
      </c>
      <c r="BC55" s="54"/>
      <c r="BD55" s="54"/>
      <c r="BE55" s="36"/>
      <c r="BF55" s="54"/>
    </row>
    <row r="56" spans="1:58" ht="12.95" customHeight="1">
      <c r="A56" s="43"/>
      <c r="B56" s="44" t="s">
        <v>575</v>
      </c>
      <c r="C56" s="447">
        <f t="shared" si="48"/>
        <v>36.694248143999999</v>
      </c>
      <c r="D56" s="44" t="s">
        <v>425</v>
      </c>
      <c r="E56" s="45">
        <v>15.5</v>
      </c>
      <c r="F56" s="45">
        <v>1</v>
      </c>
      <c r="G56" s="502">
        <v>1045</v>
      </c>
      <c r="H56" s="47">
        <f t="shared" si="49"/>
        <v>0.14000000000000001</v>
      </c>
      <c r="I56" s="48">
        <v>0.88</v>
      </c>
      <c r="J56" s="85">
        <f t="shared" si="50"/>
        <v>55.162205999999998</v>
      </c>
      <c r="K56" s="85">
        <f t="shared" si="51"/>
        <v>38.454743909999998</v>
      </c>
      <c r="L56" s="603">
        <v>997.15887850467288</v>
      </c>
      <c r="M56" s="38">
        <v>857.55663551401869</v>
      </c>
      <c r="N56" s="49">
        <f t="shared" si="52"/>
        <v>0.14000000000000001</v>
      </c>
      <c r="O56" s="50">
        <f>+'Trim Rwd'!H33</f>
        <v>258</v>
      </c>
      <c r="P56" s="51">
        <f t="shared" si="53"/>
        <v>267030</v>
      </c>
      <c r="Q56" s="50">
        <v>1070</v>
      </c>
      <c r="R56" s="503">
        <v>0</v>
      </c>
      <c r="S56" s="503">
        <v>35</v>
      </c>
      <c r="T56" s="40">
        <f t="shared" si="54"/>
        <v>36.694248143999999</v>
      </c>
      <c r="U56" s="40">
        <f t="shared" si="55"/>
        <v>35.493968999102805</v>
      </c>
      <c r="V56" s="40">
        <f t="shared" si="56"/>
        <v>1.2578654550000004</v>
      </c>
      <c r="W56" s="40">
        <f>+'9'!K13/1000</f>
        <v>32.061</v>
      </c>
      <c r="X56" s="41"/>
      <c r="Y56" s="214"/>
      <c r="Z56" s="40">
        <f>+'9'!D25/1000</f>
        <v>0.54</v>
      </c>
      <c r="AA56" s="40"/>
      <c r="AB56" s="40"/>
      <c r="AC56" s="40">
        <f>K56-T56</f>
        <v>1.7604957659999982</v>
      </c>
      <c r="AD56" s="40">
        <f t="shared" ref="AD56:AD58" si="57">+AM56+BA56</f>
        <v>16</v>
      </c>
      <c r="AE56" s="233" t="s">
        <v>576</v>
      </c>
      <c r="AF56" s="40"/>
      <c r="AG56" s="40">
        <v>16</v>
      </c>
      <c r="AH56" s="40"/>
      <c r="AI56" s="505"/>
      <c r="AJ56" s="40"/>
      <c r="AK56" s="40"/>
      <c r="AL56" s="40"/>
      <c r="AM56" s="40">
        <f t="shared" ref="AM56:AM58" si="58">SUM(AF56:AL56)+AT56</f>
        <v>16</v>
      </c>
      <c r="AN56" s="86"/>
      <c r="AO56" s="40"/>
      <c r="AP56" s="40"/>
      <c r="AQ56" s="40"/>
      <c r="AR56" s="40">
        <f t="shared" ref="AR56:AR58" si="59">SUM(AN56:AQ56)</f>
        <v>0</v>
      </c>
      <c r="AS56" s="40"/>
      <c r="AT56" s="40"/>
      <c r="AU56" s="40"/>
      <c r="AV56" s="40"/>
      <c r="AW56" s="40"/>
      <c r="AX56" s="40"/>
      <c r="AY56" s="40"/>
      <c r="AZ56" s="40"/>
      <c r="BA56" s="40">
        <f t="shared" ref="BA56:BA58" si="60">+AR56+AS56+AU56+AV56+AX56</f>
        <v>0</v>
      </c>
      <c r="BB56" s="53"/>
      <c r="BC56" s="54">
        <v>11</v>
      </c>
      <c r="BD56" s="54"/>
      <c r="BE56" s="53"/>
      <c r="BF56" s="54"/>
    </row>
    <row r="57" spans="1:58" ht="12.95" customHeight="1">
      <c r="A57" s="43"/>
      <c r="B57" s="44" t="s">
        <v>423</v>
      </c>
      <c r="C57" s="447"/>
      <c r="D57" s="44"/>
      <c r="E57" s="45">
        <v>20</v>
      </c>
      <c r="F57" s="45"/>
      <c r="G57" s="502"/>
      <c r="H57" s="47"/>
      <c r="I57" s="48"/>
      <c r="J57" s="85"/>
      <c r="K57" s="85"/>
      <c r="L57" s="603"/>
      <c r="M57" s="38"/>
      <c r="N57" s="49"/>
      <c r="O57" s="50"/>
      <c r="P57" s="51"/>
      <c r="Q57" s="50"/>
      <c r="R57" s="503"/>
      <c r="S57" s="503"/>
      <c r="T57" s="40"/>
      <c r="U57" s="40"/>
      <c r="V57" s="40"/>
      <c r="W57" s="40">
        <f>+'8'!K15/1000</f>
        <v>0</v>
      </c>
      <c r="X57" s="41"/>
      <c r="Y57" s="214"/>
      <c r="Z57" s="40"/>
      <c r="AA57" s="40"/>
      <c r="AB57" s="40"/>
      <c r="AC57" s="40"/>
      <c r="AD57" s="40">
        <f t="shared" si="57"/>
        <v>17</v>
      </c>
      <c r="AE57" s="233" t="s">
        <v>490</v>
      </c>
      <c r="AF57" s="36"/>
      <c r="AG57" s="36"/>
      <c r="AH57" s="36">
        <v>17</v>
      </c>
      <c r="AJ57" s="40"/>
      <c r="AK57" s="40"/>
      <c r="AL57" s="40"/>
      <c r="AM57" s="40">
        <f t="shared" si="58"/>
        <v>17</v>
      </c>
      <c r="AN57" s="40"/>
      <c r="AO57" s="40"/>
      <c r="AP57" s="40"/>
      <c r="AQ57" s="40"/>
      <c r="AR57" s="40">
        <f t="shared" si="59"/>
        <v>0</v>
      </c>
      <c r="AS57" s="40"/>
      <c r="AT57" s="40"/>
      <c r="AU57" s="40"/>
      <c r="AV57" s="40"/>
      <c r="AW57" s="40"/>
      <c r="AX57" s="40"/>
      <c r="AY57" s="40"/>
      <c r="AZ57" s="40"/>
      <c r="BA57" s="40">
        <f t="shared" si="60"/>
        <v>0</v>
      </c>
      <c r="BB57" s="36"/>
      <c r="BC57" s="506"/>
      <c r="BD57" s="506"/>
      <c r="BE57" s="36"/>
      <c r="BF57" s="506"/>
    </row>
    <row r="58" spans="1:58" ht="12.95" customHeight="1">
      <c r="A58" s="43"/>
      <c r="B58" s="44"/>
      <c r="C58" s="447"/>
      <c r="D58" s="44"/>
      <c r="E58" s="45"/>
      <c r="F58" s="45"/>
      <c r="G58" s="46"/>
      <c r="H58" s="47"/>
      <c r="I58" s="48"/>
      <c r="J58" s="85"/>
      <c r="K58" s="85"/>
      <c r="L58" s="603"/>
      <c r="M58" s="38"/>
      <c r="N58" s="49"/>
      <c r="O58" s="50"/>
      <c r="P58" s="51"/>
      <c r="Q58" s="37"/>
      <c r="R58" s="503"/>
      <c r="S58" s="503"/>
      <c r="T58" s="40"/>
      <c r="U58" s="40"/>
      <c r="V58" s="40"/>
      <c r="W58" s="40"/>
      <c r="X58" s="41"/>
      <c r="Y58" s="214"/>
      <c r="Z58" s="40"/>
      <c r="AA58" s="40"/>
      <c r="AB58" s="40"/>
      <c r="AC58" s="40"/>
      <c r="AD58" s="40">
        <f t="shared" si="57"/>
        <v>10</v>
      </c>
      <c r="AE58" s="236" t="s">
        <v>228</v>
      </c>
      <c r="AF58" s="40"/>
      <c r="AG58" s="40"/>
      <c r="AH58" s="40"/>
      <c r="AI58" s="505">
        <v>10</v>
      </c>
      <c r="AJ58" s="40"/>
      <c r="AK58" s="40"/>
      <c r="AL58" s="40"/>
      <c r="AM58" s="40">
        <f t="shared" si="58"/>
        <v>10</v>
      </c>
      <c r="AN58" s="40"/>
      <c r="AO58" s="40"/>
      <c r="AP58" s="40"/>
      <c r="AQ58" s="40"/>
      <c r="AR58" s="40">
        <f t="shared" si="59"/>
        <v>0</v>
      </c>
      <c r="AS58" s="40"/>
      <c r="AT58" s="40"/>
      <c r="AU58" s="40"/>
      <c r="AV58" s="40"/>
      <c r="AW58" s="40"/>
      <c r="AX58" s="40"/>
      <c r="AY58" s="40"/>
      <c r="AZ58" s="40"/>
      <c r="BA58" s="40">
        <f t="shared" si="60"/>
        <v>0</v>
      </c>
      <c r="BB58" s="53"/>
      <c r="BC58" s="54"/>
      <c r="BD58" s="54"/>
      <c r="BE58" s="53"/>
      <c r="BF58" s="54"/>
    </row>
    <row r="59" spans="1:58" ht="12.95" customHeight="1">
      <c r="A59" s="43"/>
      <c r="B59" s="44"/>
      <c r="C59" s="447"/>
      <c r="D59" s="44"/>
      <c r="E59" s="45"/>
      <c r="F59" s="45"/>
      <c r="G59" s="46"/>
      <c r="H59" s="46"/>
      <c r="I59" s="48"/>
      <c r="J59" s="85"/>
      <c r="K59" s="85"/>
      <c r="L59" s="603"/>
      <c r="M59" s="38"/>
      <c r="N59" s="49"/>
      <c r="O59" s="50"/>
      <c r="P59" s="51"/>
      <c r="Q59" s="50"/>
      <c r="R59" s="503"/>
      <c r="S59" s="503"/>
      <c r="T59" s="40"/>
      <c r="U59" s="40"/>
      <c r="V59" s="40"/>
      <c r="W59" s="40"/>
      <c r="X59" s="41"/>
      <c r="Y59" s="214"/>
      <c r="Z59" s="40"/>
      <c r="AA59" s="40"/>
      <c r="AB59" s="40"/>
      <c r="AC59" s="40"/>
      <c r="AD59" s="40"/>
      <c r="AE59" s="233"/>
      <c r="AF59" s="40"/>
      <c r="AG59" s="40"/>
      <c r="AH59" s="40"/>
      <c r="AI59" s="505"/>
      <c r="AJ59" s="40"/>
      <c r="AK59" s="40"/>
      <c r="AL59" s="40"/>
      <c r="AM59" s="40"/>
      <c r="AN59" s="86"/>
      <c r="AO59" s="40"/>
      <c r="AP59" s="40"/>
      <c r="AQ59" s="40"/>
      <c r="AR59" s="40"/>
      <c r="AS59" s="40"/>
      <c r="AT59" s="40"/>
      <c r="AU59" s="40"/>
      <c r="AV59" s="40"/>
      <c r="AW59" s="40"/>
      <c r="AX59" s="40"/>
      <c r="AY59" s="40"/>
      <c r="AZ59" s="40"/>
      <c r="BA59" s="40"/>
      <c r="BB59" s="53"/>
      <c r="BC59" s="54"/>
      <c r="BD59" s="54"/>
      <c r="BE59" s="54"/>
      <c r="BF59" s="54"/>
    </row>
    <row r="60" spans="1:58" ht="12.75" customHeight="1">
      <c r="A60" s="43">
        <v>46091</v>
      </c>
      <c r="B60" s="44" t="s">
        <v>575</v>
      </c>
      <c r="C60" s="447">
        <f t="shared" ref="C60:C61" si="61">(M60*E60*O60*Q60)/100000000</f>
        <v>3.167208</v>
      </c>
      <c r="D60" s="44" t="s">
        <v>425</v>
      </c>
      <c r="E60" s="45">
        <v>15.5</v>
      </c>
      <c r="F60" s="45">
        <v>1</v>
      </c>
      <c r="G60" s="502">
        <v>1045</v>
      </c>
      <c r="H60" s="47">
        <f t="shared" ref="H60:H61" si="62">+N60</f>
        <v>0.14000000000000001</v>
      </c>
      <c r="I60" s="48">
        <v>0.88</v>
      </c>
      <c r="J60" s="85">
        <f t="shared" ref="J60:J61" si="63">E60*G60*(1-H60)*1440/1000000*2.75</f>
        <v>55.162205999999998</v>
      </c>
      <c r="K60" s="85">
        <f t="shared" ref="K60:K61" si="64">(IF(G60&lt;L60,L60,G60)*(1-IF(H60&lt;N60,H60,N60))*E60*O60*Q60)/100000000</f>
        <v>3.3097323599999995</v>
      </c>
      <c r="L60" s="603">
        <v>1000</v>
      </c>
      <c r="M60" s="38">
        <v>860</v>
      </c>
      <c r="N60" s="49">
        <f t="shared" ref="N60:N61" si="65">1-(M60/L60)</f>
        <v>0.14000000000000001</v>
      </c>
      <c r="O60" s="50">
        <f>+'Trim Rwd'!H35</f>
        <v>264</v>
      </c>
      <c r="P60" s="51">
        <f t="shared" ref="P60:P61" si="66">O60*(Q60-R60-S60)</f>
        <v>22176</v>
      </c>
      <c r="Q60" s="50">
        <v>90</v>
      </c>
      <c r="R60" s="503">
        <v>0</v>
      </c>
      <c r="S60" s="503">
        <v>6</v>
      </c>
      <c r="T60" s="40">
        <f t="shared" ref="T60:T61" si="67">E60*M60*O60*Q60/100000000</f>
        <v>3.167208</v>
      </c>
      <c r="U60" s="40">
        <f t="shared" ref="U60:U61" si="68">E60*M60*O60*(Q60-R60-S60)/100000000</f>
        <v>2.9560607999999999</v>
      </c>
      <c r="V60" s="40">
        <f t="shared" ref="V60:V61" si="69">E60*G60*(1-N60)*O60/100*(R60+S60)/1000000</f>
        <v>0.22064882399999997</v>
      </c>
      <c r="W60" s="40">
        <f>+'10'!K13/1000</f>
        <v>5.8689999999999998</v>
      </c>
      <c r="X60" s="504">
        <f>SUM(W60:W63)/SUM(K60:K63)</f>
        <v>0.99665594562293292</v>
      </c>
      <c r="Y60" s="214">
        <v>0</v>
      </c>
      <c r="Z60" s="40">
        <v>0</v>
      </c>
      <c r="AA60" s="52">
        <f>SUM(U60:U63)-SUM(W60:W63)-SUM(Z60:Z63)-SUM(Y60:Y63)</f>
        <v>-1.2596252800000087</v>
      </c>
      <c r="AB60" s="52">
        <f>(SUM(K60:K63)-SUM(W60:W63)-SUM(Y60:Y63)-SUM(Z60:Z63)-SUM(AC60:AC63)-SUM(V60:V63))-AA60</f>
        <v>-2.2079640000030043E-3</v>
      </c>
      <c r="AC60" s="40">
        <f>K60-T60</f>
        <v>0.14252435999999946</v>
      </c>
      <c r="AD60" s="40">
        <f>+AM60+BA60</f>
        <v>0</v>
      </c>
      <c r="AE60" s="233" t="s">
        <v>391</v>
      </c>
      <c r="AF60" s="40">
        <v>0</v>
      </c>
      <c r="AG60" s="40"/>
      <c r="AH60" s="40"/>
      <c r="AI60" s="505"/>
      <c r="AJ60" s="40"/>
      <c r="AK60" s="40"/>
      <c r="AL60" s="40"/>
      <c r="AM60" s="40">
        <f>SUM(AF60:AL60)+AT60</f>
        <v>0</v>
      </c>
      <c r="AN60" s="40"/>
      <c r="AO60" s="40"/>
      <c r="AP60" s="40"/>
      <c r="AQ60" s="40"/>
      <c r="AR60" s="40">
        <f>SUM(AN60:AQ60)</f>
        <v>0</v>
      </c>
      <c r="AS60" s="40"/>
      <c r="AT60" s="40"/>
      <c r="AU60" s="40"/>
      <c r="AV60" s="40"/>
      <c r="AW60" s="40"/>
      <c r="AX60" s="40"/>
      <c r="AY60" s="40"/>
      <c r="AZ60" s="40"/>
      <c r="BA60" s="40">
        <f>+AR60+AS60+AU60+AV60+AX60</f>
        <v>0</v>
      </c>
      <c r="BB60" s="36">
        <v>0</v>
      </c>
      <c r="BC60" s="54"/>
      <c r="BD60" s="54"/>
      <c r="BE60" s="36"/>
      <c r="BF60" s="54"/>
    </row>
    <row r="61" spans="1:58" ht="12.95" customHeight="1">
      <c r="A61" s="43"/>
      <c r="B61" s="44" t="s">
        <v>586</v>
      </c>
      <c r="C61" s="447">
        <f t="shared" si="61"/>
        <v>48.575775599999993</v>
      </c>
      <c r="D61" s="44" t="s">
        <v>425</v>
      </c>
      <c r="E61" s="45">
        <v>22</v>
      </c>
      <c r="F61" s="45">
        <v>1</v>
      </c>
      <c r="G61" s="502">
        <v>735</v>
      </c>
      <c r="H61" s="47">
        <f t="shared" si="62"/>
        <v>0.14000000000000001</v>
      </c>
      <c r="I61" s="48">
        <v>0.88</v>
      </c>
      <c r="J61" s="85">
        <f t="shared" si="63"/>
        <v>55.068551999999997</v>
      </c>
      <c r="K61" s="85">
        <f t="shared" si="64"/>
        <v>48.575775599999993</v>
      </c>
      <c r="L61" s="603">
        <v>740</v>
      </c>
      <c r="M61" s="38">
        <v>636.4</v>
      </c>
      <c r="N61" s="49">
        <f t="shared" si="65"/>
        <v>0.14000000000000001</v>
      </c>
      <c r="O61" s="50">
        <f>+'Trim Rwd'!H36</f>
        <v>257</v>
      </c>
      <c r="P61" s="51">
        <f t="shared" si="66"/>
        <v>339240</v>
      </c>
      <c r="Q61" s="50">
        <v>1350</v>
      </c>
      <c r="R61" s="503">
        <v>0</v>
      </c>
      <c r="S61" s="503">
        <v>30</v>
      </c>
      <c r="T61" s="40">
        <f t="shared" si="67"/>
        <v>48.575775599999993</v>
      </c>
      <c r="U61" s="40">
        <f t="shared" si="68"/>
        <v>47.496313919999992</v>
      </c>
      <c r="V61" s="40">
        <f t="shared" si="69"/>
        <v>1.0721680200000001</v>
      </c>
      <c r="W61" s="40">
        <f>+'10'!K14/1000</f>
        <v>45.843000000000004</v>
      </c>
      <c r="X61" s="41"/>
      <c r="Y61" s="214"/>
      <c r="Z61" s="40"/>
      <c r="AA61" s="40"/>
      <c r="AB61" s="40"/>
      <c r="AC61" s="40">
        <f>K61-T61</f>
        <v>0</v>
      </c>
      <c r="AD61" s="40">
        <f t="shared" ref="AD61:AD63" si="70">+AM61+BA61</f>
        <v>8</v>
      </c>
      <c r="AE61" s="233" t="s">
        <v>452</v>
      </c>
      <c r="AF61" s="40"/>
      <c r="AG61" s="40">
        <v>8</v>
      </c>
      <c r="AH61" s="40"/>
      <c r="AI61" s="505"/>
      <c r="AJ61" s="40"/>
      <c r="AK61" s="40"/>
      <c r="AL61" s="40"/>
      <c r="AM61" s="40">
        <f t="shared" ref="AM61:AM63" si="71">SUM(AF61:AL61)+AT61</f>
        <v>8</v>
      </c>
      <c r="AN61" s="86"/>
      <c r="AO61" s="40"/>
      <c r="AP61" s="40"/>
      <c r="AQ61" s="40"/>
      <c r="AR61" s="40">
        <f t="shared" ref="AR61:AR63" si="72">SUM(AN61:AQ61)</f>
        <v>0</v>
      </c>
      <c r="AS61" s="40"/>
      <c r="AT61" s="40"/>
      <c r="AU61" s="40"/>
      <c r="AV61" s="40"/>
      <c r="AW61" s="40"/>
      <c r="AX61" s="40"/>
      <c r="AY61" s="40"/>
      <c r="AZ61" s="40"/>
      <c r="BA61" s="40">
        <f t="shared" ref="BA61:BA63" si="73">+AR61+AS61+AU61+AV61+AX61</f>
        <v>0</v>
      </c>
      <c r="BB61" s="53"/>
      <c r="BC61" s="54">
        <v>5</v>
      </c>
      <c r="BD61" s="54"/>
      <c r="BE61" s="53"/>
      <c r="BF61" s="54"/>
    </row>
    <row r="62" spans="1:58" ht="12.95" customHeight="1">
      <c r="A62" s="43"/>
      <c r="B62" s="44"/>
      <c r="C62" s="447"/>
      <c r="D62" s="44"/>
      <c r="E62" s="45"/>
      <c r="F62" s="45"/>
      <c r="G62" s="502"/>
      <c r="H62" s="47"/>
      <c r="I62" s="48"/>
      <c r="J62" s="85"/>
      <c r="K62" s="85"/>
      <c r="L62" s="603"/>
      <c r="M62" s="38"/>
      <c r="N62" s="49"/>
      <c r="O62" s="50"/>
      <c r="P62" s="51"/>
      <c r="Q62" s="50"/>
      <c r="R62" s="503"/>
      <c r="S62" s="503"/>
      <c r="T62" s="40"/>
      <c r="U62" s="40"/>
      <c r="V62" s="40"/>
      <c r="W62" s="40"/>
      <c r="X62" s="41"/>
      <c r="Y62" s="214"/>
      <c r="Z62" s="40"/>
      <c r="AA62" s="40"/>
      <c r="AB62" s="40"/>
      <c r="AC62" s="40"/>
      <c r="AD62" s="40">
        <f t="shared" si="70"/>
        <v>22</v>
      </c>
      <c r="AE62" s="233" t="s">
        <v>587</v>
      </c>
      <c r="AF62" s="36"/>
      <c r="AG62" s="36"/>
      <c r="AH62" s="36">
        <v>22</v>
      </c>
      <c r="AJ62" s="40"/>
      <c r="AK62" s="40"/>
      <c r="AL62" s="40"/>
      <c r="AM62" s="40">
        <f t="shared" si="71"/>
        <v>22</v>
      </c>
      <c r="AN62" s="40"/>
      <c r="AO62" s="40"/>
      <c r="AP62" s="40"/>
      <c r="AQ62" s="40"/>
      <c r="AR62" s="40">
        <f t="shared" si="72"/>
        <v>0</v>
      </c>
      <c r="AS62" s="40"/>
      <c r="AT62" s="40"/>
      <c r="AU62" s="40"/>
      <c r="AV62" s="40"/>
      <c r="AW62" s="40"/>
      <c r="AX62" s="40"/>
      <c r="AY62" s="40"/>
      <c r="AZ62" s="40"/>
      <c r="BA62" s="40">
        <f t="shared" si="73"/>
        <v>0</v>
      </c>
      <c r="BB62" s="36"/>
      <c r="BC62" s="506"/>
      <c r="BD62" s="506"/>
      <c r="BE62" s="36"/>
      <c r="BF62" s="506"/>
    </row>
    <row r="63" spans="1:58" ht="12.95" customHeight="1">
      <c r="A63" s="43"/>
      <c r="B63" s="44"/>
      <c r="C63" s="447"/>
      <c r="D63" s="44"/>
      <c r="E63" s="45"/>
      <c r="F63" s="45"/>
      <c r="G63" s="46"/>
      <c r="H63" s="47"/>
      <c r="I63" s="48"/>
      <c r="J63" s="85"/>
      <c r="K63" s="85"/>
      <c r="L63" s="603"/>
      <c r="M63" s="38"/>
      <c r="N63" s="49"/>
      <c r="O63" s="50"/>
      <c r="P63" s="51"/>
      <c r="Q63" s="37"/>
      <c r="R63" s="503"/>
      <c r="S63" s="503"/>
      <c r="T63" s="40"/>
      <c r="U63" s="40"/>
      <c r="V63" s="40"/>
      <c r="W63" s="40"/>
      <c r="X63" s="41"/>
      <c r="Y63" s="214"/>
      <c r="Z63" s="40"/>
      <c r="AA63" s="40"/>
      <c r="AB63" s="40"/>
      <c r="AC63" s="40"/>
      <c r="AD63" s="40">
        <f t="shared" si="70"/>
        <v>6</v>
      </c>
      <c r="AE63" s="236" t="s">
        <v>228</v>
      </c>
      <c r="AF63" s="40"/>
      <c r="AG63" s="40"/>
      <c r="AH63" s="40"/>
      <c r="AI63" s="505">
        <v>6</v>
      </c>
      <c r="AJ63" s="40"/>
      <c r="AK63" s="40"/>
      <c r="AL63" s="40"/>
      <c r="AM63" s="40">
        <f t="shared" si="71"/>
        <v>6</v>
      </c>
      <c r="AN63" s="40"/>
      <c r="AO63" s="40"/>
      <c r="AP63" s="40"/>
      <c r="AQ63" s="40"/>
      <c r="AR63" s="40">
        <f t="shared" si="72"/>
        <v>0</v>
      </c>
      <c r="AS63" s="40"/>
      <c r="AT63" s="40"/>
      <c r="AU63" s="40"/>
      <c r="AV63" s="40"/>
      <c r="AW63" s="40"/>
      <c r="AX63" s="40"/>
      <c r="AY63" s="40"/>
      <c r="AZ63" s="40"/>
      <c r="BA63" s="40">
        <f t="shared" si="73"/>
        <v>0</v>
      </c>
      <c r="BB63" s="53"/>
      <c r="BC63" s="54"/>
      <c r="BD63" s="54"/>
      <c r="BE63" s="53"/>
      <c r="BF63" s="54"/>
    </row>
    <row r="64" spans="1:58" ht="12.95" customHeight="1">
      <c r="A64" s="43"/>
      <c r="B64" s="44"/>
      <c r="C64" s="447"/>
      <c r="D64" s="44"/>
      <c r="E64" s="45"/>
      <c r="F64" s="45"/>
      <c r="G64" s="46"/>
      <c r="H64" s="46"/>
      <c r="I64" s="48"/>
      <c r="J64" s="85"/>
      <c r="K64" s="85"/>
      <c r="L64" s="603"/>
      <c r="M64" s="38"/>
      <c r="N64" s="49"/>
      <c r="O64" s="50"/>
      <c r="P64" s="51"/>
      <c r="Q64" s="50"/>
      <c r="R64" s="503"/>
      <c r="S64" s="503"/>
      <c r="T64" s="40"/>
      <c r="U64" s="40"/>
      <c r="V64" s="40"/>
      <c r="W64" s="40"/>
      <c r="X64" s="504"/>
      <c r="Y64" s="214"/>
      <c r="Z64" s="40"/>
      <c r="AA64" s="52"/>
      <c r="AB64" s="52"/>
      <c r="AC64" s="40"/>
      <c r="AD64" s="40"/>
      <c r="AE64" s="233"/>
      <c r="AF64" s="40"/>
      <c r="AG64" s="40"/>
      <c r="AH64" s="40"/>
      <c r="AI64" s="505"/>
      <c r="AJ64" s="40"/>
      <c r="AK64" s="40"/>
      <c r="AL64" s="40"/>
      <c r="AM64" s="40"/>
      <c r="AN64" s="40"/>
      <c r="AO64" s="40"/>
      <c r="AP64" s="40"/>
      <c r="AQ64" s="40"/>
      <c r="AR64" s="40"/>
      <c r="AS64" s="40"/>
      <c r="AT64" s="40"/>
      <c r="AU64" s="40"/>
      <c r="AV64" s="40"/>
      <c r="AW64" s="40"/>
      <c r="AX64" s="40"/>
      <c r="AY64" s="40"/>
      <c r="AZ64" s="40"/>
      <c r="BA64" s="40"/>
      <c r="BB64" s="36"/>
      <c r="BC64" s="54"/>
      <c r="BD64" s="54"/>
      <c r="BE64" s="54"/>
      <c r="BF64" s="54"/>
    </row>
    <row r="65" spans="1:58" ht="12.75" customHeight="1">
      <c r="A65" s="43">
        <v>46092</v>
      </c>
      <c r="B65" s="44" t="s">
        <v>586</v>
      </c>
      <c r="C65" s="447">
        <f t="shared" ref="C65" si="74">(M65*E65*O65*Q65)/100000000</f>
        <v>51.81416063999999</v>
      </c>
      <c r="D65" s="44" t="s">
        <v>425</v>
      </c>
      <c r="E65" s="45">
        <v>22</v>
      </c>
      <c r="F65" s="45">
        <v>1</v>
      </c>
      <c r="G65" s="502">
        <v>735</v>
      </c>
      <c r="H65" s="47">
        <f t="shared" ref="H65" si="75">+N65</f>
        <v>0.14000000000000001</v>
      </c>
      <c r="I65" s="48">
        <v>0.88</v>
      </c>
      <c r="J65" s="85">
        <f t="shared" ref="J65" si="76">E65*G65*(1-H65)*1440/1000000*2.75</f>
        <v>55.068551999999997</v>
      </c>
      <c r="K65" s="85">
        <f t="shared" ref="K65" si="77">(IF(G65&lt;L65,L65,G65)*(1-IF(H65&lt;N65,H65,N65))*E65*O65*Q65)/100000000</f>
        <v>51.81416063999999</v>
      </c>
      <c r="L65" s="603">
        <v>740</v>
      </c>
      <c r="M65" s="38">
        <v>636.4</v>
      </c>
      <c r="N65" s="49">
        <f t="shared" ref="N65" si="78">1-(M65/L65)</f>
        <v>0.14000000000000001</v>
      </c>
      <c r="O65" s="50">
        <f>+'Trim Rwd'!H38</f>
        <v>257</v>
      </c>
      <c r="P65" s="51">
        <f t="shared" ref="P65" si="79">O65*(Q65-R65-S65)</f>
        <v>358258</v>
      </c>
      <c r="Q65" s="50">
        <v>1440</v>
      </c>
      <c r="R65" s="503">
        <v>0</v>
      </c>
      <c r="S65" s="503">
        <v>46</v>
      </c>
      <c r="T65" s="40">
        <f t="shared" ref="T65" si="80">E65*M65*O65*Q65/100000000</f>
        <v>51.81416063999999</v>
      </c>
      <c r="U65" s="40">
        <f t="shared" ref="U65" si="81">E65*M65*O65*(Q65-R65-S65)/100000000</f>
        <v>50.158986063999997</v>
      </c>
      <c r="V65" s="40">
        <f t="shared" ref="V65" si="82">E65*G65*(1-N65)*O65/100*(R65+S65)/1000000</f>
        <v>1.6439909640000001</v>
      </c>
      <c r="W65" s="40">
        <f>+'11'!K14/1000</f>
        <v>52.383000000000003</v>
      </c>
      <c r="X65" s="504">
        <f>SUM(W65:W68)/SUM(K65:K68)</f>
        <v>1.0109784536307025</v>
      </c>
      <c r="Y65" s="214">
        <v>0</v>
      </c>
      <c r="Z65" s="40">
        <v>0</v>
      </c>
      <c r="AA65" s="52">
        <f>SUM(U65:U68)-SUM(W65:W68)-SUM(Z65:Z68)-SUM(Y65:Y68)</f>
        <v>-2.2240139360000057</v>
      </c>
      <c r="AB65" s="52">
        <f>(SUM(K65:K68)-SUM(W65:W68)-SUM(Y65:Y68)-SUM(Z65:Z68)-SUM(AC65:AC68)-SUM(V65:V68))-AA65</f>
        <v>1.1183611999992848E-2</v>
      </c>
      <c r="AC65" s="40">
        <f>K65-T65</f>
        <v>0</v>
      </c>
      <c r="AD65" s="40">
        <f>+AM65+BA65</f>
        <v>0</v>
      </c>
      <c r="AE65" s="233" t="s">
        <v>391</v>
      </c>
      <c r="AF65" s="40">
        <v>0</v>
      </c>
      <c r="AG65" s="40"/>
      <c r="AH65" s="40"/>
      <c r="AI65" s="505"/>
      <c r="AJ65" s="40"/>
      <c r="AK65" s="40"/>
      <c r="AL65" s="40"/>
      <c r="AM65" s="40">
        <f>SUM(AF65:AL65)+AT65</f>
        <v>0</v>
      </c>
      <c r="AN65" s="40"/>
      <c r="AO65" s="40"/>
      <c r="AP65" s="40"/>
      <c r="AQ65" s="40"/>
      <c r="AR65" s="40">
        <f>SUM(AN65:AQ65)</f>
        <v>0</v>
      </c>
      <c r="AS65" s="40"/>
      <c r="AT65" s="40"/>
      <c r="AU65" s="40"/>
      <c r="AV65" s="40"/>
      <c r="AW65" s="40"/>
      <c r="AX65" s="40"/>
      <c r="AY65" s="40"/>
      <c r="AZ65" s="40"/>
      <c r="BA65" s="40">
        <f>+AR65+AS65+AU65+AV65+AX65</f>
        <v>0</v>
      </c>
      <c r="BB65" s="36">
        <v>0</v>
      </c>
      <c r="BC65" s="54"/>
      <c r="BD65" s="54"/>
      <c r="BE65" s="36"/>
      <c r="BF65" s="54"/>
    </row>
    <row r="66" spans="1:58" ht="12.95" customHeight="1">
      <c r="A66" s="43"/>
      <c r="B66" s="44"/>
      <c r="C66" s="447"/>
      <c r="D66" s="44"/>
      <c r="E66" s="45"/>
      <c r="F66" s="45"/>
      <c r="G66" s="502"/>
      <c r="H66" s="47"/>
      <c r="I66" s="48"/>
      <c r="J66" s="85"/>
      <c r="K66" s="85"/>
      <c r="L66" s="603"/>
      <c r="M66" s="38"/>
      <c r="N66" s="49"/>
      <c r="O66" s="50"/>
      <c r="P66" s="51"/>
      <c r="Q66" s="50"/>
      <c r="R66" s="503"/>
      <c r="S66" s="503"/>
      <c r="T66" s="40"/>
      <c r="U66" s="40"/>
      <c r="V66" s="40"/>
      <c r="W66" s="40"/>
      <c r="X66" s="41"/>
      <c r="Y66" s="214"/>
      <c r="Z66" s="40"/>
      <c r="AA66" s="40"/>
      <c r="AB66" s="40"/>
      <c r="AC66" s="40">
        <f>K66-T66</f>
        <v>0</v>
      </c>
      <c r="AD66" s="40">
        <f t="shared" ref="AD66:AD68" si="83">+AM66+BA66</f>
        <v>5</v>
      </c>
      <c r="AE66" s="233" t="s">
        <v>474</v>
      </c>
      <c r="AF66" s="40"/>
      <c r="AG66" s="40">
        <v>5</v>
      </c>
      <c r="AH66" s="40"/>
      <c r="AI66" s="505"/>
      <c r="AJ66" s="40"/>
      <c r="AK66" s="40"/>
      <c r="AL66" s="40"/>
      <c r="AM66" s="40">
        <f t="shared" ref="AM66:AM68" si="84">SUM(AF66:AL66)+AT66</f>
        <v>5</v>
      </c>
      <c r="AN66" s="86"/>
      <c r="AO66" s="40"/>
      <c r="AP66" s="40"/>
      <c r="AQ66" s="40"/>
      <c r="AR66" s="40">
        <f t="shared" ref="AR66:AR68" si="85">SUM(AN66:AQ66)</f>
        <v>0</v>
      </c>
      <c r="AS66" s="40"/>
      <c r="AT66" s="40"/>
      <c r="AU66" s="40"/>
      <c r="AV66" s="40"/>
      <c r="AW66" s="40"/>
      <c r="AX66" s="40"/>
      <c r="AY66" s="40"/>
      <c r="AZ66" s="40"/>
      <c r="BA66" s="40">
        <f t="shared" ref="BA66:BA68" si="86">+AR66+AS66+AU66+AV66+AX66</f>
        <v>0</v>
      </c>
      <c r="BB66" s="53"/>
      <c r="BC66" s="54">
        <v>4</v>
      </c>
      <c r="BD66" s="54"/>
      <c r="BE66" s="53"/>
      <c r="BF66" s="54"/>
    </row>
    <row r="67" spans="1:58" ht="12.95" customHeight="1">
      <c r="A67" s="43"/>
      <c r="B67" s="44"/>
      <c r="C67" s="447"/>
      <c r="D67" s="44"/>
      <c r="E67" s="45"/>
      <c r="F67" s="45"/>
      <c r="G67" s="502"/>
      <c r="H67" s="47"/>
      <c r="I67" s="48"/>
      <c r="J67" s="85"/>
      <c r="K67" s="85"/>
      <c r="L67" s="603"/>
      <c r="M67" s="38"/>
      <c r="N67" s="49"/>
      <c r="O67" s="50"/>
      <c r="P67" s="51"/>
      <c r="Q67" s="50"/>
      <c r="R67" s="503"/>
      <c r="S67" s="503"/>
      <c r="T67" s="40"/>
      <c r="U67" s="40"/>
      <c r="V67" s="40"/>
      <c r="W67" s="40"/>
      <c r="X67" s="41"/>
      <c r="Y67" s="214"/>
      <c r="Z67" s="40"/>
      <c r="AA67" s="40"/>
      <c r="AB67" s="40"/>
      <c r="AC67" s="40"/>
      <c r="AD67" s="40">
        <f t="shared" si="83"/>
        <v>29</v>
      </c>
      <c r="AE67" s="233" t="s">
        <v>592</v>
      </c>
      <c r="AF67" s="36"/>
      <c r="AG67" s="36"/>
      <c r="AH67" s="36">
        <v>29</v>
      </c>
      <c r="AJ67" s="40"/>
      <c r="AK67" s="40"/>
      <c r="AL67" s="40"/>
      <c r="AM67" s="40">
        <f t="shared" si="84"/>
        <v>29</v>
      </c>
      <c r="AN67" s="40"/>
      <c r="AO67" s="40"/>
      <c r="AP67" s="40"/>
      <c r="AQ67" s="40"/>
      <c r="AR67" s="40">
        <f t="shared" si="85"/>
        <v>0</v>
      </c>
      <c r="AS67" s="40"/>
      <c r="AT67" s="40"/>
      <c r="AU67" s="40"/>
      <c r="AV67" s="40"/>
      <c r="AW67" s="40"/>
      <c r="AX67" s="40"/>
      <c r="AY67" s="40"/>
      <c r="AZ67" s="40"/>
      <c r="BA67" s="40">
        <f t="shared" si="86"/>
        <v>0</v>
      </c>
      <c r="BB67" s="36"/>
      <c r="BC67" s="506"/>
      <c r="BD67" s="506"/>
      <c r="BE67" s="36"/>
      <c r="BF67" s="506"/>
    </row>
    <row r="68" spans="1:58" ht="12.95" customHeight="1">
      <c r="A68" s="43"/>
      <c r="B68" s="44"/>
      <c r="C68" s="447"/>
      <c r="D68" s="44"/>
      <c r="E68" s="45"/>
      <c r="F68" s="45"/>
      <c r="G68" s="46"/>
      <c r="H68" s="47"/>
      <c r="I68" s="48"/>
      <c r="J68" s="85"/>
      <c r="K68" s="85"/>
      <c r="L68" s="603"/>
      <c r="M68" s="38"/>
      <c r="N68" s="49"/>
      <c r="O68" s="50"/>
      <c r="P68" s="51"/>
      <c r="Q68" s="37"/>
      <c r="R68" s="503"/>
      <c r="S68" s="503"/>
      <c r="T68" s="40"/>
      <c r="U68" s="40"/>
      <c r="V68" s="40"/>
      <c r="W68" s="40"/>
      <c r="X68" s="41"/>
      <c r="Y68" s="214"/>
      <c r="Z68" s="40"/>
      <c r="AA68" s="40"/>
      <c r="AB68" s="40"/>
      <c r="AC68" s="40"/>
      <c r="AD68" s="40">
        <f t="shared" si="83"/>
        <v>12</v>
      </c>
      <c r="AE68" s="236" t="s">
        <v>228</v>
      </c>
      <c r="AF68" s="40"/>
      <c r="AG68" s="40"/>
      <c r="AH68" s="40"/>
      <c r="AI68" s="505">
        <v>12</v>
      </c>
      <c r="AJ68" s="40"/>
      <c r="AK68" s="40"/>
      <c r="AL68" s="40"/>
      <c r="AM68" s="40">
        <f t="shared" si="84"/>
        <v>12</v>
      </c>
      <c r="AN68" s="40"/>
      <c r="AO68" s="40"/>
      <c r="AP68" s="40"/>
      <c r="AQ68" s="40"/>
      <c r="AR68" s="40">
        <f t="shared" si="85"/>
        <v>0</v>
      </c>
      <c r="AS68" s="40"/>
      <c r="AT68" s="40"/>
      <c r="AU68" s="40"/>
      <c r="AV68" s="40"/>
      <c r="AW68" s="40"/>
      <c r="AX68" s="40"/>
      <c r="AY68" s="40"/>
      <c r="AZ68" s="40"/>
      <c r="BA68" s="40">
        <f t="shared" si="86"/>
        <v>0</v>
      </c>
      <c r="BB68" s="53"/>
      <c r="BC68" s="54"/>
      <c r="BD68" s="54"/>
      <c r="BE68" s="53"/>
      <c r="BF68" s="54"/>
    </row>
    <row r="69" spans="1:58" ht="12.95" customHeight="1">
      <c r="A69" s="43"/>
      <c r="B69" s="44"/>
      <c r="C69" s="447"/>
      <c r="D69" s="44"/>
      <c r="E69" s="45"/>
      <c r="F69" s="45"/>
      <c r="G69" s="46"/>
      <c r="H69" s="46"/>
      <c r="I69" s="48"/>
      <c r="J69" s="85"/>
      <c r="K69" s="85"/>
      <c r="L69" s="603"/>
      <c r="M69" s="38"/>
      <c r="N69" s="49"/>
      <c r="O69" s="50"/>
      <c r="P69" s="51"/>
      <c r="Q69" s="50"/>
      <c r="R69" s="503"/>
      <c r="S69" s="503"/>
      <c r="T69" s="40"/>
      <c r="U69" s="40"/>
      <c r="V69" s="40"/>
      <c r="W69" s="40"/>
      <c r="X69" s="504"/>
      <c r="Y69" s="214"/>
      <c r="Z69" s="40"/>
      <c r="AA69" s="52"/>
      <c r="AB69" s="52"/>
      <c r="AC69" s="40"/>
      <c r="AD69" s="40"/>
      <c r="AE69" s="236"/>
      <c r="AF69" s="40"/>
      <c r="AG69" s="40"/>
      <c r="AH69" s="40"/>
      <c r="AI69" s="40"/>
      <c r="AJ69" s="40"/>
      <c r="AK69" s="40"/>
      <c r="AL69" s="40"/>
      <c r="AM69" s="40"/>
      <c r="AN69" s="40"/>
      <c r="AO69" s="40"/>
      <c r="AP69" s="40"/>
      <c r="AQ69" s="40"/>
      <c r="AR69" s="40"/>
      <c r="AS69" s="40"/>
      <c r="AT69" s="40"/>
      <c r="AU69" s="40"/>
      <c r="AV69" s="40"/>
      <c r="AW69" s="40"/>
      <c r="AX69" s="40"/>
      <c r="AY69" s="40"/>
      <c r="AZ69" s="40"/>
      <c r="BA69" s="40"/>
      <c r="BB69" s="36"/>
      <c r="BC69" s="54"/>
      <c r="BD69" s="506"/>
      <c r="BE69" s="36"/>
      <c r="BF69" s="506"/>
    </row>
    <row r="70" spans="1:58" ht="12.75" customHeight="1">
      <c r="A70" s="43">
        <v>46093</v>
      </c>
      <c r="B70" s="44" t="s">
        <v>586</v>
      </c>
      <c r="C70" s="447">
        <f t="shared" ref="C70:C71" si="87">(M70*E70*O70*Q70)/100000000</f>
        <v>48.575775599999993</v>
      </c>
      <c r="D70" s="44" t="s">
        <v>425</v>
      </c>
      <c r="E70" s="45">
        <v>22</v>
      </c>
      <c r="F70" s="45">
        <v>1</v>
      </c>
      <c r="G70" s="502">
        <v>735</v>
      </c>
      <c r="H70" s="47">
        <f t="shared" ref="H70:H71" si="88">+N70</f>
        <v>0.14000000000000001</v>
      </c>
      <c r="I70" s="48">
        <v>0.88</v>
      </c>
      <c r="J70" s="85">
        <f t="shared" ref="J70:J71" si="89">E70*G70*(1-H70)*1440/1000000*2.75</f>
        <v>55.068551999999997</v>
      </c>
      <c r="K70" s="85">
        <f t="shared" ref="K70:K71" si="90">(IF(G70&lt;L70,L70,G70)*(1-IF(H70&lt;N70,H70,N70))*E70*O70*Q70)/100000000</f>
        <v>48.575775599999993</v>
      </c>
      <c r="L70" s="603">
        <v>740</v>
      </c>
      <c r="M70" s="38">
        <v>636.4</v>
      </c>
      <c r="N70" s="49">
        <f t="shared" ref="N70:N71" si="91">1-(M70/L70)</f>
        <v>0.14000000000000001</v>
      </c>
      <c r="O70" s="50">
        <f>+'Trim Rwd'!H40</f>
        <v>257</v>
      </c>
      <c r="P70" s="51">
        <f t="shared" ref="P70:P71" si="92">O70*(Q70-R70-S70)</f>
        <v>336670</v>
      </c>
      <c r="Q70" s="50">
        <v>1350</v>
      </c>
      <c r="R70" s="503">
        <v>0</v>
      </c>
      <c r="S70" s="503">
        <v>40</v>
      </c>
      <c r="T70" s="40">
        <f t="shared" ref="T70:T71" si="93">E70*M70*O70*Q70/100000000</f>
        <v>48.575775599999993</v>
      </c>
      <c r="U70" s="40">
        <f t="shared" ref="U70:U71" si="94">E70*M70*O70*(Q70-R70-S70)/100000000</f>
        <v>47.136493359999989</v>
      </c>
      <c r="V70" s="40">
        <f t="shared" ref="V70:V71" si="95">E70*G70*(1-N70)*O70/100*(R70+S70)/1000000</f>
        <v>1.42955736</v>
      </c>
      <c r="W70" s="40">
        <f>+'12'!K14/1000</f>
        <v>52.134999999999998</v>
      </c>
      <c r="X70" s="504">
        <f>SUM(W70:W73)/SUM(K70:K73)</f>
        <v>1.0062673505638271</v>
      </c>
      <c r="Y70" s="214">
        <v>0</v>
      </c>
      <c r="Z70" s="40">
        <v>0</v>
      </c>
      <c r="AA70" s="52">
        <f>SUM(U70:U73)-SUM(W70:W73)-SUM(Z70:Z73)-SUM(Y70:Y73)</f>
        <v>-2.2128032400000066</v>
      </c>
      <c r="AB70" s="52">
        <f>(SUM(K70:K73)-SUM(W70:W73)-SUM(Y70:Y73)-SUM(Z70:Z73)-SUM(AC70:AC73)-SUM(V70:V73))-AA70</f>
        <v>-4.2036370000015921E-3</v>
      </c>
      <c r="AC70" s="40">
        <f>K70-T70</f>
        <v>0</v>
      </c>
      <c r="AD70" s="40">
        <f>+AM70+BA70</f>
        <v>0</v>
      </c>
      <c r="AE70" s="233" t="s">
        <v>391</v>
      </c>
      <c r="AF70" s="40">
        <v>0</v>
      </c>
      <c r="AG70" s="40"/>
      <c r="AH70" s="40"/>
      <c r="AI70" s="505"/>
      <c r="AJ70" s="40"/>
      <c r="AK70" s="40"/>
      <c r="AL70" s="40"/>
      <c r="AM70" s="40">
        <f>SUM(AF70:AL70)+AT70</f>
        <v>0</v>
      </c>
      <c r="AN70" s="40"/>
      <c r="AO70" s="40"/>
      <c r="AP70" s="40"/>
      <c r="AQ70" s="40"/>
      <c r="AR70" s="40">
        <f>SUM(AN70:AQ70)</f>
        <v>0</v>
      </c>
      <c r="AS70" s="40"/>
      <c r="AT70" s="40"/>
      <c r="AU70" s="40"/>
      <c r="AV70" s="40"/>
      <c r="AW70" s="40"/>
      <c r="AX70" s="40"/>
      <c r="AY70" s="40"/>
      <c r="AZ70" s="40"/>
      <c r="BA70" s="40">
        <f>+AR70+AS70+AU70+AV70+AX70</f>
        <v>0</v>
      </c>
      <c r="BB70" s="36">
        <v>0</v>
      </c>
      <c r="BC70" s="54"/>
      <c r="BD70" s="54"/>
      <c r="BE70" s="36"/>
      <c r="BF70" s="54"/>
    </row>
    <row r="71" spans="1:58" ht="12.95" customHeight="1">
      <c r="A71" s="43"/>
      <c r="B71" s="44" t="s">
        <v>575</v>
      </c>
      <c r="C71" s="447">
        <f t="shared" si="87"/>
        <v>3.0952259999999998</v>
      </c>
      <c r="D71" s="44" t="s">
        <v>425</v>
      </c>
      <c r="E71" s="45">
        <v>15.5</v>
      </c>
      <c r="F71" s="45">
        <v>1</v>
      </c>
      <c r="G71" s="502">
        <v>1045</v>
      </c>
      <c r="H71" s="47">
        <f t="shared" si="88"/>
        <v>0.14000000000000001</v>
      </c>
      <c r="I71" s="48">
        <v>0.88</v>
      </c>
      <c r="J71" s="85">
        <f t="shared" si="89"/>
        <v>55.162205999999998</v>
      </c>
      <c r="K71" s="85">
        <f t="shared" si="90"/>
        <v>3.2345111700000002</v>
      </c>
      <c r="L71" s="603">
        <v>1000</v>
      </c>
      <c r="M71" s="38">
        <v>860</v>
      </c>
      <c r="N71" s="49">
        <f t="shared" si="91"/>
        <v>0.14000000000000001</v>
      </c>
      <c r="O71" s="50">
        <f>+'Trim Rwd'!H41</f>
        <v>258</v>
      </c>
      <c r="P71" s="51">
        <f t="shared" si="92"/>
        <v>20898</v>
      </c>
      <c r="Q71" s="50">
        <v>90</v>
      </c>
      <c r="R71" s="503">
        <v>0</v>
      </c>
      <c r="S71" s="503">
        <v>9</v>
      </c>
      <c r="T71" s="40">
        <f t="shared" si="93"/>
        <v>3.0952259999999998</v>
      </c>
      <c r="U71" s="40">
        <f t="shared" si="94"/>
        <v>2.7857034000000001</v>
      </c>
      <c r="V71" s="40">
        <f t="shared" si="95"/>
        <v>0.32345111700000007</v>
      </c>
      <c r="W71" s="40">
        <f>+'11'!K20/1000</f>
        <v>0</v>
      </c>
      <c r="X71" s="41"/>
      <c r="Y71" s="214"/>
      <c r="Z71" s="40"/>
      <c r="AA71" s="40"/>
      <c r="AB71" s="40"/>
      <c r="AC71" s="40">
        <f>K71-T71</f>
        <v>0.1392851700000004</v>
      </c>
      <c r="AD71" s="40">
        <f t="shared" ref="AD71:AD73" si="96">+AM71+BA71</f>
        <v>10</v>
      </c>
      <c r="AE71" s="233" t="s">
        <v>452</v>
      </c>
      <c r="AF71" s="40"/>
      <c r="AG71" s="40">
        <v>10</v>
      </c>
      <c r="AH71" s="40"/>
      <c r="AI71" s="505"/>
      <c r="AJ71" s="40"/>
      <c r="AK71" s="40"/>
      <c r="AL71" s="40"/>
      <c r="AM71" s="40">
        <f t="shared" ref="AM71:AM73" si="97">SUM(AF71:AL71)+AT71</f>
        <v>10</v>
      </c>
      <c r="AN71" s="86"/>
      <c r="AO71" s="40"/>
      <c r="AP71" s="40"/>
      <c r="AQ71" s="40"/>
      <c r="AR71" s="40">
        <f t="shared" ref="AR71:AR73" si="98">SUM(AN71:AQ71)</f>
        <v>0</v>
      </c>
      <c r="AS71" s="40"/>
      <c r="AT71" s="40"/>
      <c r="AU71" s="40"/>
      <c r="AV71" s="40"/>
      <c r="AW71" s="40"/>
      <c r="AX71" s="40"/>
      <c r="AY71" s="40"/>
      <c r="AZ71" s="40"/>
      <c r="BA71" s="40">
        <f t="shared" ref="BA71:BA73" si="99">+AR71+AS71+AU71+AV71+AX71</f>
        <v>0</v>
      </c>
      <c r="BB71" s="53"/>
      <c r="BC71" s="54">
        <v>5</v>
      </c>
      <c r="BD71" s="54"/>
      <c r="BE71" s="53"/>
      <c r="BF71" s="54"/>
    </row>
    <row r="72" spans="1:58" ht="12.95" customHeight="1">
      <c r="A72" s="43"/>
      <c r="B72" s="44"/>
      <c r="C72" s="447"/>
      <c r="D72" s="44"/>
      <c r="E72" s="45"/>
      <c r="F72" s="45"/>
      <c r="G72" s="502"/>
      <c r="H72" s="47"/>
      <c r="I72" s="48"/>
      <c r="J72" s="85"/>
      <c r="K72" s="85"/>
      <c r="L72" s="603"/>
      <c r="M72" s="38"/>
      <c r="N72" s="49"/>
      <c r="O72" s="50"/>
      <c r="P72" s="51"/>
      <c r="Q72" s="50"/>
      <c r="R72" s="503"/>
      <c r="S72" s="503"/>
      <c r="T72" s="40"/>
      <c r="U72" s="40"/>
      <c r="V72" s="40"/>
      <c r="W72" s="40"/>
      <c r="X72" s="41"/>
      <c r="Y72" s="214"/>
      <c r="Z72" s="40"/>
      <c r="AA72" s="40"/>
      <c r="AB72" s="40"/>
      <c r="AC72" s="40"/>
      <c r="AD72" s="40">
        <f t="shared" si="96"/>
        <v>31</v>
      </c>
      <c r="AE72" s="233" t="s">
        <v>596</v>
      </c>
      <c r="AF72" s="36"/>
      <c r="AG72" s="36"/>
      <c r="AH72" s="36">
        <v>31</v>
      </c>
      <c r="AJ72" s="40"/>
      <c r="AK72" s="40"/>
      <c r="AL72" s="40"/>
      <c r="AM72" s="40">
        <f t="shared" si="97"/>
        <v>31</v>
      </c>
      <c r="AN72" s="40"/>
      <c r="AO72" s="40"/>
      <c r="AP72" s="40"/>
      <c r="AQ72" s="40"/>
      <c r="AR72" s="40">
        <f t="shared" si="98"/>
        <v>0</v>
      </c>
      <c r="AS72" s="40"/>
      <c r="AT72" s="40"/>
      <c r="AU72" s="40"/>
      <c r="AV72" s="40"/>
      <c r="AW72" s="40"/>
      <c r="AX72" s="40"/>
      <c r="AY72" s="40"/>
      <c r="AZ72" s="40"/>
      <c r="BA72" s="40">
        <f t="shared" si="99"/>
        <v>0</v>
      </c>
      <c r="BB72" s="36"/>
      <c r="BC72" s="506"/>
      <c r="BD72" s="506"/>
      <c r="BE72" s="36"/>
      <c r="BF72" s="506"/>
    </row>
    <row r="73" spans="1:58" ht="12.95" customHeight="1">
      <c r="A73" s="43"/>
      <c r="B73" s="44"/>
      <c r="C73" s="447"/>
      <c r="D73" s="44"/>
      <c r="E73" s="45"/>
      <c r="F73" s="45"/>
      <c r="G73" s="46"/>
      <c r="H73" s="47"/>
      <c r="I73" s="48"/>
      <c r="J73" s="85"/>
      <c r="K73" s="85"/>
      <c r="L73" s="603"/>
      <c r="M73" s="38"/>
      <c r="N73" s="49"/>
      <c r="O73" s="50"/>
      <c r="P73" s="51"/>
      <c r="Q73" s="37"/>
      <c r="R73" s="503"/>
      <c r="S73" s="503"/>
      <c r="T73" s="40"/>
      <c r="U73" s="40"/>
      <c r="V73" s="40"/>
      <c r="W73" s="40"/>
      <c r="X73" s="41"/>
      <c r="Y73" s="214"/>
      <c r="Z73" s="40"/>
      <c r="AA73" s="40"/>
      <c r="AB73" s="40"/>
      <c r="AC73" s="40"/>
      <c r="AD73" s="40">
        <f t="shared" si="96"/>
        <v>8</v>
      </c>
      <c r="AE73" s="236" t="s">
        <v>228</v>
      </c>
      <c r="AF73" s="40"/>
      <c r="AG73" s="40"/>
      <c r="AH73" s="40"/>
      <c r="AI73" s="505">
        <v>8</v>
      </c>
      <c r="AJ73" s="40"/>
      <c r="AK73" s="40"/>
      <c r="AL73" s="40"/>
      <c r="AM73" s="40">
        <f t="shared" si="97"/>
        <v>8</v>
      </c>
      <c r="AN73" s="40"/>
      <c r="AO73" s="40"/>
      <c r="AP73" s="40"/>
      <c r="AQ73" s="40"/>
      <c r="AR73" s="40">
        <f t="shared" si="98"/>
        <v>0</v>
      </c>
      <c r="AS73" s="40"/>
      <c r="AT73" s="40"/>
      <c r="AU73" s="40"/>
      <c r="AV73" s="40"/>
      <c r="AW73" s="40"/>
      <c r="AX73" s="40"/>
      <c r="AY73" s="40"/>
      <c r="AZ73" s="40"/>
      <c r="BA73" s="40">
        <f t="shared" si="99"/>
        <v>0</v>
      </c>
      <c r="BB73" s="53"/>
      <c r="BC73" s="54"/>
      <c r="BD73" s="54"/>
      <c r="BE73" s="53"/>
      <c r="BF73" s="54"/>
    </row>
    <row r="74" spans="1:58" ht="12.95" customHeight="1">
      <c r="A74" s="43"/>
      <c r="B74" s="44"/>
      <c r="C74" s="447"/>
      <c r="D74" s="44"/>
      <c r="E74" s="45"/>
      <c r="F74" s="45"/>
      <c r="G74" s="46"/>
      <c r="H74" s="46"/>
      <c r="I74" s="48"/>
      <c r="J74" s="85"/>
      <c r="K74" s="85"/>
      <c r="L74" s="603"/>
      <c r="M74" s="38"/>
      <c r="N74" s="49"/>
      <c r="O74" s="50"/>
      <c r="P74" s="51"/>
      <c r="Q74" s="50"/>
      <c r="R74" s="503"/>
      <c r="S74" s="503"/>
      <c r="T74" s="40"/>
      <c r="U74" s="40"/>
      <c r="V74" s="40"/>
      <c r="W74" s="40"/>
      <c r="X74" s="504"/>
      <c r="Y74" s="214"/>
      <c r="Z74" s="40"/>
      <c r="AA74" s="52"/>
      <c r="AB74" s="52"/>
      <c r="AC74" s="40"/>
      <c r="AD74" s="40"/>
      <c r="AE74" s="236"/>
      <c r="AF74" s="40"/>
      <c r="AG74" s="40"/>
      <c r="AH74" s="40"/>
      <c r="AI74" s="40"/>
      <c r="AJ74" s="40"/>
      <c r="AK74" s="40"/>
      <c r="AL74" s="40"/>
      <c r="AM74" s="40"/>
      <c r="AN74" s="40"/>
      <c r="AO74" s="40"/>
      <c r="AP74" s="40"/>
      <c r="AQ74" s="40"/>
      <c r="AR74" s="40"/>
      <c r="AS74" s="40"/>
      <c r="AT74" s="40"/>
      <c r="AU74" s="40"/>
      <c r="AV74" s="40"/>
      <c r="AW74" s="40"/>
      <c r="AX74" s="40"/>
      <c r="AY74" s="40"/>
      <c r="AZ74" s="40"/>
      <c r="BA74" s="40"/>
      <c r="BB74" s="36"/>
      <c r="BC74" s="54"/>
      <c r="BD74" s="506"/>
      <c r="BE74" s="36"/>
      <c r="BF74" s="506"/>
    </row>
    <row r="75" spans="1:58" ht="12.75" customHeight="1">
      <c r="A75" s="43">
        <v>46094</v>
      </c>
      <c r="B75" s="44" t="s">
        <v>575</v>
      </c>
      <c r="C75" s="447">
        <f t="shared" ref="C75:C76" si="100">(M75*E75*O75*Q75)/100000000</f>
        <v>34.118697525999991</v>
      </c>
      <c r="D75" s="44" t="s">
        <v>425</v>
      </c>
      <c r="E75" s="45">
        <v>15.5</v>
      </c>
      <c r="F75" s="45">
        <v>1</v>
      </c>
      <c r="G75" s="502">
        <v>1045</v>
      </c>
      <c r="H75" s="47">
        <f t="shared" ref="H75:H76" si="101">+N75</f>
        <v>0.14000000000000001</v>
      </c>
      <c r="I75" s="48">
        <v>0.88</v>
      </c>
      <c r="J75" s="85">
        <f t="shared" ref="J75:J76" si="102">E75*G75*(1-H75)*1440/1000000*2.75</f>
        <v>55.162205999999998</v>
      </c>
      <c r="K75" s="85">
        <f t="shared" ref="K75:K76" si="103">(IF(G75&lt;L75,L75,G75)*(1-IF(H75&lt;N75,H75,N75))*E75*O75*Q75)/100000000</f>
        <v>34.860378281666662</v>
      </c>
      <c r="L75" s="603">
        <v>1022.7668393782384</v>
      </c>
      <c r="M75" s="38">
        <v>879.57948186528495</v>
      </c>
      <c r="N75" s="49">
        <f t="shared" ref="N75:N76" si="104">1-(M75/L75)</f>
        <v>0.14000000000000001</v>
      </c>
      <c r="O75" s="50">
        <f>+'Trim Rwd'!H44</f>
        <v>259.33333333333331</v>
      </c>
      <c r="P75" s="51">
        <f t="shared" ref="P75:P76" si="105">O75*(Q75-R75-S75)</f>
        <v>241439.33333333331</v>
      </c>
      <c r="Q75" s="50">
        <v>965</v>
      </c>
      <c r="R75" s="503">
        <v>0</v>
      </c>
      <c r="S75" s="503">
        <v>34</v>
      </c>
      <c r="T75" s="40">
        <f t="shared" ref="T75:T76" si="106">E75*M75*O75*Q75/100000000</f>
        <v>34.118697525999991</v>
      </c>
      <c r="U75" s="40">
        <f t="shared" ref="U75:U76" si="107">E75*M75*O75*(Q75-R75-S75)/100000000</f>
        <v>32.916587975861134</v>
      </c>
      <c r="V75" s="40">
        <f t="shared" ref="V75:V76" si="108">E75*G75*(1-N75)*O75/100*(R75+S75)/1000000</f>
        <v>1.2282413073333331</v>
      </c>
      <c r="W75" s="40">
        <f>+'13'!K13/1000</f>
        <v>34.816000000000003</v>
      </c>
      <c r="X75" s="504">
        <f>SUM(W75:W78)/SUM(K75:K78)</f>
        <v>0.93731013283192754</v>
      </c>
      <c r="Y75" s="214">
        <v>0</v>
      </c>
      <c r="Z75" s="40">
        <v>0</v>
      </c>
      <c r="AA75" s="52">
        <f>SUM(U75:U78)-SUM(W75:W78)-SUM(Z75:Z78)-SUM(Y75:Y78)</f>
        <v>0.95324401586113083</v>
      </c>
      <c r="AB75" s="52">
        <f>(SUM(K75:K78)-SUM(W75:W78)-SUM(Y75:Y78)-SUM(Z75:Z78)-SUM(AC75:AC78)-SUM(V75:V78))-AA75</f>
        <v>-2.3700537194473181E-2</v>
      </c>
      <c r="AC75" s="40">
        <f>K75-T75</f>
        <v>0.74168075566667113</v>
      </c>
      <c r="AD75" s="40">
        <f>+AM75+BA75</f>
        <v>2</v>
      </c>
      <c r="AE75" s="233" t="s">
        <v>453</v>
      </c>
      <c r="AF75" s="40">
        <v>2</v>
      </c>
      <c r="AG75" s="40"/>
      <c r="AH75" s="40"/>
      <c r="AI75" s="505"/>
      <c r="AJ75" s="40"/>
      <c r="AK75" s="40"/>
      <c r="AL75" s="40"/>
      <c r="AM75" s="40">
        <f>SUM(AF75:AL75)+AT75</f>
        <v>2</v>
      </c>
      <c r="AN75" s="40"/>
      <c r="AO75" s="40"/>
      <c r="AP75" s="40"/>
      <c r="AQ75" s="40"/>
      <c r="AR75" s="40">
        <f>SUM(AN75:AQ75)</f>
        <v>0</v>
      </c>
      <c r="AS75" s="40"/>
      <c r="AT75" s="40"/>
      <c r="AU75" s="40"/>
      <c r="AV75" s="40"/>
      <c r="AW75" s="40"/>
      <c r="AX75" s="40"/>
      <c r="AY75" s="40"/>
      <c r="AZ75" s="40"/>
      <c r="BA75" s="40">
        <f>+AR75+AS75+AU75+AV75+AX75</f>
        <v>0</v>
      </c>
      <c r="BB75" s="36">
        <v>1</v>
      </c>
      <c r="BC75" s="54"/>
      <c r="BD75" s="54"/>
      <c r="BE75" s="36"/>
      <c r="BF75" s="54"/>
    </row>
    <row r="76" spans="1:58" ht="12.95" customHeight="1">
      <c r="A76" s="43"/>
      <c r="B76" s="44" t="s">
        <v>586</v>
      </c>
      <c r="C76" s="447">
        <f t="shared" si="100"/>
        <v>17.091476599999996</v>
      </c>
      <c r="D76" s="44" t="s">
        <v>425</v>
      </c>
      <c r="E76" s="45">
        <v>22</v>
      </c>
      <c r="F76" s="45">
        <v>1</v>
      </c>
      <c r="G76" s="502">
        <v>735</v>
      </c>
      <c r="H76" s="47">
        <f t="shared" si="101"/>
        <v>0.14000000000000001</v>
      </c>
      <c r="I76" s="48">
        <v>0.88</v>
      </c>
      <c r="J76" s="85">
        <f t="shared" si="102"/>
        <v>55.068551999999997</v>
      </c>
      <c r="K76" s="85">
        <f t="shared" si="103"/>
        <v>17.091476599999996</v>
      </c>
      <c r="L76" s="603">
        <v>740</v>
      </c>
      <c r="M76" s="38">
        <v>636.4</v>
      </c>
      <c r="N76" s="49">
        <f t="shared" si="104"/>
        <v>0.14000000000000001</v>
      </c>
      <c r="O76" s="50">
        <f>+'Trim Rwd'!H43</f>
        <v>257</v>
      </c>
      <c r="P76" s="51">
        <f t="shared" si="105"/>
        <v>119505</v>
      </c>
      <c r="Q76" s="50">
        <v>475</v>
      </c>
      <c r="R76" s="503">
        <v>0</v>
      </c>
      <c r="S76" s="503">
        <v>10</v>
      </c>
      <c r="T76" s="40">
        <f t="shared" si="106"/>
        <v>17.091476599999996</v>
      </c>
      <c r="U76" s="40">
        <f t="shared" si="107"/>
        <v>16.731656039999997</v>
      </c>
      <c r="V76" s="40">
        <f t="shared" si="108"/>
        <v>0.35738934</v>
      </c>
      <c r="W76" s="40">
        <f>+'13'!K14/1000</f>
        <v>13.879</v>
      </c>
      <c r="X76" s="41"/>
      <c r="Y76" s="214"/>
      <c r="Z76" s="40"/>
      <c r="AA76" s="40"/>
      <c r="AB76" s="40"/>
      <c r="AC76" s="40">
        <f>K76-T76</f>
        <v>0</v>
      </c>
      <c r="AD76" s="40">
        <f t="shared" ref="AD76:AD78" si="109">+AM76+BA76</f>
        <v>11</v>
      </c>
      <c r="AE76" s="233" t="s">
        <v>457</v>
      </c>
      <c r="AF76" s="40"/>
      <c r="AG76" s="40">
        <v>11</v>
      </c>
      <c r="AH76" s="40"/>
      <c r="AI76" s="505"/>
      <c r="AJ76" s="40"/>
      <c r="AK76" s="40"/>
      <c r="AL76" s="40"/>
      <c r="AM76" s="40">
        <f t="shared" ref="AM76:AM78" si="110">SUM(AF76:AL76)+AT76</f>
        <v>11</v>
      </c>
      <c r="AN76" s="86"/>
      <c r="AO76" s="40"/>
      <c r="AP76" s="40"/>
      <c r="AQ76" s="40"/>
      <c r="AR76" s="40">
        <f t="shared" ref="AR76:AR78" si="111">SUM(AN76:AQ76)</f>
        <v>0</v>
      </c>
      <c r="AS76" s="40"/>
      <c r="AT76" s="40"/>
      <c r="AU76" s="40"/>
      <c r="AV76" s="40"/>
      <c r="AW76" s="40"/>
      <c r="AX76" s="40"/>
      <c r="AY76" s="40"/>
      <c r="AZ76" s="40"/>
      <c r="BA76" s="40">
        <f t="shared" ref="BA76:BA78" si="112">+AR76+AS76+AU76+AV76+AX76</f>
        <v>0</v>
      </c>
      <c r="BB76" s="53"/>
      <c r="BC76" s="54">
        <v>7</v>
      </c>
      <c r="BD76" s="54"/>
      <c r="BE76" s="53"/>
      <c r="BF76" s="54"/>
    </row>
    <row r="77" spans="1:58" ht="12.95" customHeight="1">
      <c r="A77" s="43"/>
      <c r="B77" s="44"/>
      <c r="C77" s="447"/>
      <c r="D77" s="44"/>
      <c r="E77" s="45"/>
      <c r="F77" s="45"/>
      <c r="G77" s="502"/>
      <c r="H77" s="47"/>
      <c r="I77" s="48"/>
      <c r="J77" s="85"/>
      <c r="K77" s="85"/>
      <c r="L77" s="603"/>
      <c r="M77" s="38"/>
      <c r="N77" s="49"/>
      <c r="O77" s="50"/>
      <c r="P77" s="51"/>
      <c r="Q77" s="50"/>
      <c r="R77" s="503"/>
      <c r="S77" s="503"/>
      <c r="T77" s="40"/>
      <c r="U77" s="40"/>
      <c r="V77" s="40"/>
      <c r="W77" s="40"/>
      <c r="X77" s="41"/>
      <c r="Y77" s="214"/>
      <c r="Z77" s="40"/>
      <c r="AA77" s="40"/>
      <c r="AB77" s="40"/>
      <c r="AC77" s="40"/>
      <c r="AD77" s="40">
        <f t="shared" si="109"/>
        <v>19</v>
      </c>
      <c r="AE77" s="233" t="s">
        <v>490</v>
      </c>
      <c r="AF77" s="36"/>
      <c r="AG77" s="36"/>
      <c r="AH77" s="36">
        <v>19</v>
      </c>
      <c r="AJ77" s="40"/>
      <c r="AK77" s="40"/>
      <c r="AL77" s="40"/>
      <c r="AM77" s="40">
        <f t="shared" si="110"/>
        <v>19</v>
      </c>
      <c r="AN77" s="40"/>
      <c r="AO77" s="40"/>
      <c r="AP77" s="40"/>
      <c r="AQ77" s="40"/>
      <c r="AR77" s="40">
        <f t="shared" si="111"/>
        <v>0</v>
      </c>
      <c r="AS77" s="40"/>
      <c r="AT77" s="40"/>
      <c r="AU77" s="40"/>
      <c r="AV77" s="40"/>
      <c r="AW77" s="40"/>
      <c r="AX77" s="40"/>
      <c r="AY77" s="40"/>
      <c r="AZ77" s="40"/>
      <c r="BA77" s="40">
        <f t="shared" si="112"/>
        <v>0</v>
      </c>
      <c r="BB77" s="36"/>
      <c r="BC77" s="506"/>
      <c r="BD77" s="506"/>
      <c r="BE77" s="36"/>
      <c r="BF77" s="506"/>
    </row>
    <row r="78" spans="1:58" ht="12.95" customHeight="1">
      <c r="A78" s="43"/>
      <c r="B78" s="44"/>
      <c r="C78" s="447"/>
      <c r="D78" s="44"/>
      <c r="E78" s="45"/>
      <c r="F78" s="45"/>
      <c r="G78" s="46"/>
      <c r="H78" s="47"/>
      <c r="I78" s="48"/>
      <c r="J78" s="85"/>
      <c r="K78" s="85"/>
      <c r="L78" s="603"/>
      <c r="M78" s="38"/>
      <c r="N78" s="49"/>
      <c r="O78" s="50"/>
      <c r="P78" s="51"/>
      <c r="Q78" s="37"/>
      <c r="R78" s="503"/>
      <c r="S78" s="503"/>
      <c r="T78" s="40"/>
      <c r="U78" s="40"/>
      <c r="V78" s="40"/>
      <c r="W78" s="40"/>
      <c r="X78" s="41"/>
      <c r="Y78" s="214"/>
      <c r="Z78" s="40"/>
      <c r="AA78" s="40"/>
      <c r="AB78" s="40"/>
      <c r="AC78" s="40"/>
      <c r="AD78" s="40">
        <f t="shared" si="109"/>
        <v>12</v>
      </c>
      <c r="AE78" s="236" t="s">
        <v>228</v>
      </c>
      <c r="AF78" s="40"/>
      <c r="AG78" s="40"/>
      <c r="AH78" s="40"/>
      <c r="AI78" s="505">
        <v>12</v>
      </c>
      <c r="AJ78" s="40"/>
      <c r="AK78" s="40"/>
      <c r="AL78" s="40"/>
      <c r="AM78" s="40">
        <f t="shared" si="110"/>
        <v>12</v>
      </c>
      <c r="AN78" s="40"/>
      <c r="AO78" s="40"/>
      <c r="AP78" s="40"/>
      <c r="AQ78" s="40"/>
      <c r="AR78" s="40">
        <f t="shared" si="111"/>
        <v>0</v>
      </c>
      <c r="AS78" s="40"/>
      <c r="AT78" s="40"/>
      <c r="AU78" s="40"/>
      <c r="AV78" s="40"/>
      <c r="AW78" s="40"/>
      <c r="AX78" s="40"/>
      <c r="AY78" s="40"/>
      <c r="AZ78" s="40"/>
      <c r="BA78" s="40">
        <f t="shared" si="112"/>
        <v>0</v>
      </c>
      <c r="BB78" s="53"/>
      <c r="BC78" s="54"/>
      <c r="BD78" s="54"/>
      <c r="BE78" s="53"/>
      <c r="BF78" s="54"/>
    </row>
    <row r="79" spans="1:58" ht="12.95" customHeight="1">
      <c r="A79" s="43"/>
      <c r="B79" s="44"/>
      <c r="C79" s="447"/>
      <c r="D79" s="44"/>
      <c r="E79" s="45"/>
      <c r="F79" s="45"/>
      <c r="G79" s="46"/>
      <c r="H79" s="46"/>
      <c r="I79" s="48"/>
      <c r="J79" s="85"/>
      <c r="K79" s="85"/>
      <c r="L79" s="603"/>
      <c r="M79" s="38"/>
      <c r="N79" s="49"/>
      <c r="O79" s="50"/>
      <c r="P79" s="51"/>
      <c r="Q79" s="50"/>
      <c r="R79" s="503"/>
      <c r="S79" s="503"/>
      <c r="T79" s="40"/>
      <c r="U79" s="40"/>
      <c r="V79" s="40"/>
      <c r="W79" s="40"/>
      <c r="X79" s="41"/>
      <c r="Y79" s="214"/>
      <c r="Z79" s="40"/>
      <c r="AA79" s="40"/>
      <c r="AB79" s="40"/>
      <c r="AC79" s="40"/>
      <c r="AD79" s="40"/>
      <c r="AE79" s="233"/>
      <c r="AF79" s="40"/>
      <c r="AG79" s="40"/>
      <c r="AH79" s="40"/>
      <c r="AI79" s="505"/>
      <c r="AJ79" s="40"/>
      <c r="AK79" s="40"/>
      <c r="AL79" s="40"/>
      <c r="AM79" s="40"/>
      <c r="AN79" s="86"/>
      <c r="AO79" s="40"/>
      <c r="AP79" s="40"/>
      <c r="AQ79" s="40"/>
      <c r="AR79" s="40"/>
      <c r="AS79" s="40"/>
      <c r="AT79" s="40"/>
      <c r="AU79" s="40"/>
      <c r="AV79" s="40"/>
      <c r="AW79" s="40"/>
      <c r="AX79" s="40"/>
      <c r="AY79" s="40"/>
      <c r="AZ79" s="40"/>
      <c r="BA79" s="40"/>
      <c r="BB79" s="53"/>
      <c r="BC79" s="54"/>
      <c r="BD79" s="54"/>
      <c r="BE79" s="54"/>
      <c r="BF79" s="54"/>
    </row>
    <row r="80" spans="1:58" ht="12.75" customHeight="1">
      <c r="A80" s="43">
        <v>46095</v>
      </c>
      <c r="B80" s="44" t="s">
        <v>586</v>
      </c>
      <c r="C80" s="447">
        <f t="shared" ref="C80" si="113">(M80*E80*O80*Q80)/100000000</f>
        <v>52.047557759999997</v>
      </c>
      <c r="D80" s="44" t="s">
        <v>425</v>
      </c>
      <c r="E80" s="45">
        <v>22</v>
      </c>
      <c r="F80" s="45">
        <v>1</v>
      </c>
      <c r="G80" s="502">
        <v>735</v>
      </c>
      <c r="H80" s="47">
        <f t="shared" ref="H80" si="114">+N80</f>
        <v>0.14000000000000001</v>
      </c>
      <c r="I80" s="48">
        <v>0.88</v>
      </c>
      <c r="J80" s="85">
        <f t="shared" ref="J80" si="115">E80*G80*(1-H80)*1440/1000000*2.75</f>
        <v>55.068551999999997</v>
      </c>
      <c r="K80" s="85">
        <f t="shared" ref="K80" si="116">(IF(G80&lt;L80,L80,G80)*(1-IF(H80&lt;N80,H80,N80))*E80*O80*Q80)/100000000</f>
        <v>52.047557759999997</v>
      </c>
      <c r="L80" s="603">
        <v>743.33333333333337</v>
      </c>
      <c r="M80" s="38">
        <v>639.26666666666665</v>
      </c>
      <c r="N80" s="49">
        <f t="shared" ref="N80" si="117">1-(M80/L80)</f>
        <v>0.14000000000000001</v>
      </c>
      <c r="O80" s="50">
        <f>+'Trim Rwd'!H47</f>
        <v>257</v>
      </c>
      <c r="P80" s="51">
        <f t="shared" ref="P80" si="118">O80*(Q80-R80-S80)</f>
        <v>358001</v>
      </c>
      <c r="Q80" s="50">
        <v>1440</v>
      </c>
      <c r="R80" s="503">
        <v>0</v>
      </c>
      <c r="S80" s="503">
        <v>47</v>
      </c>
      <c r="T80" s="40">
        <f t="shared" ref="T80" si="119">E80*M80*O80*Q80/100000000</f>
        <v>52.047557759999997</v>
      </c>
      <c r="U80" s="40">
        <f t="shared" ref="U80" si="120">E80*M80*O80*(Q80-R80-S80)/100000000</f>
        <v>50.348783305333335</v>
      </c>
      <c r="V80" s="40">
        <f t="shared" ref="V80" si="121">E80*G80*(1-N80)*O80/100*(R80+S80)/1000000</f>
        <v>1.6797298979999999</v>
      </c>
      <c r="W80" s="40">
        <f>+'14'!K14/1000</f>
        <v>51.557000000000002</v>
      </c>
      <c r="X80" s="504">
        <f>SUM(W80:W83)/SUM(K80:K83)</f>
        <v>0.99057481693450367</v>
      </c>
      <c r="Y80" s="214">
        <v>0</v>
      </c>
      <c r="Z80" s="40">
        <v>0</v>
      </c>
      <c r="AA80" s="52">
        <f>SUM(U80:U83)-SUM(W80:W83)-SUM(Z80:Z83)-SUM(Y80:Y83)</f>
        <v>-1.2082166946666675</v>
      </c>
      <c r="AB80" s="52">
        <f>(SUM(K80:K83)-SUM(W80:W83)-SUM(Y80:Y83)-SUM(Z80:Z83)-SUM(AC80:AC83)-SUM(V80:V83))-AA80</f>
        <v>1.9044556666661938E-2</v>
      </c>
      <c r="AC80" s="40">
        <f>K80-T80</f>
        <v>0</v>
      </c>
      <c r="AD80" s="40">
        <f>+AM80+BA80</f>
        <v>4</v>
      </c>
      <c r="AE80" s="233" t="s">
        <v>486</v>
      </c>
      <c r="AF80" s="40">
        <v>4</v>
      </c>
      <c r="AG80" s="40"/>
      <c r="AH80" s="40"/>
      <c r="AI80" s="505"/>
      <c r="AJ80" s="40"/>
      <c r="AK80" s="40"/>
      <c r="AL80" s="40"/>
      <c r="AM80" s="40">
        <f>SUM(AF80:AL80)+AT80</f>
        <v>4</v>
      </c>
      <c r="AN80" s="40"/>
      <c r="AO80" s="40"/>
      <c r="AP80" s="40"/>
      <c r="AQ80" s="40"/>
      <c r="AR80" s="40">
        <f>SUM(AN80:AQ80)</f>
        <v>0</v>
      </c>
      <c r="AS80" s="40"/>
      <c r="AT80" s="40"/>
      <c r="AU80" s="40"/>
      <c r="AV80" s="40"/>
      <c r="AW80" s="40"/>
      <c r="AX80" s="40"/>
      <c r="AY80" s="40"/>
      <c r="AZ80" s="40"/>
      <c r="BA80" s="40">
        <f>+AR80+AS80+AU80+AV80+AX80</f>
        <v>0</v>
      </c>
      <c r="BB80" s="36">
        <v>2</v>
      </c>
      <c r="BC80" s="54"/>
      <c r="BD80" s="54"/>
      <c r="BE80" s="36"/>
      <c r="BF80" s="54"/>
    </row>
    <row r="81" spans="1:58" ht="12.95" customHeight="1">
      <c r="A81" s="43"/>
      <c r="B81" s="44"/>
      <c r="C81" s="447"/>
      <c r="D81" s="44"/>
      <c r="E81" s="45"/>
      <c r="F81" s="45"/>
      <c r="G81" s="502"/>
      <c r="H81" s="47"/>
      <c r="I81" s="48"/>
      <c r="J81" s="85"/>
      <c r="K81" s="85"/>
      <c r="L81" s="603"/>
      <c r="M81" s="38"/>
      <c r="N81" s="49"/>
      <c r="O81" s="50"/>
      <c r="P81" s="51"/>
      <c r="Q81" s="50"/>
      <c r="R81" s="503"/>
      <c r="S81" s="503"/>
      <c r="T81" s="40"/>
      <c r="U81" s="40"/>
      <c r="V81" s="40"/>
      <c r="W81" s="40"/>
      <c r="X81" s="41"/>
      <c r="Y81" s="214"/>
      <c r="Z81" s="40"/>
      <c r="AA81" s="40"/>
      <c r="AB81" s="40"/>
      <c r="AC81" s="40">
        <f>K81-T81</f>
        <v>0</v>
      </c>
      <c r="AD81" s="40">
        <f t="shared" ref="AD81:AD83" si="122">+AM81+BA81</f>
        <v>6</v>
      </c>
      <c r="AE81" s="233" t="s">
        <v>399</v>
      </c>
      <c r="AF81" s="40"/>
      <c r="AG81" s="40">
        <v>6</v>
      </c>
      <c r="AH81" s="40"/>
      <c r="AI81" s="505"/>
      <c r="AJ81" s="40"/>
      <c r="AK81" s="40"/>
      <c r="AL81" s="40"/>
      <c r="AM81" s="40">
        <f t="shared" ref="AM81:AM83" si="123">SUM(AF81:AL81)+AT81</f>
        <v>6</v>
      </c>
      <c r="AN81" s="86"/>
      <c r="AO81" s="40"/>
      <c r="AP81" s="40"/>
      <c r="AQ81" s="40"/>
      <c r="AR81" s="40">
        <f t="shared" ref="AR81:AR83" si="124">SUM(AN81:AQ81)</f>
        <v>0</v>
      </c>
      <c r="AS81" s="40"/>
      <c r="AT81" s="40"/>
      <c r="AU81" s="40"/>
      <c r="AV81" s="40"/>
      <c r="AW81" s="40"/>
      <c r="AX81" s="40"/>
      <c r="AY81" s="40"/>
      <c r="AZ81" s="40"/>
      <c r="BA81" s="40">
        <f t="shared" ref="BA81:BA83" si="125">+AR81+AS81+AU81+AV81+AX81</f>
        <v>0</v>
      </c>
      <c r="BB81" s="53"/>
      <c r="BC81" s="54">
        <v>6</v>
      </c>
      <c r="BD81" s="54"/>
      <c r="BE81" s="53"/>
      <c r="BF81" s="54"/>
    </row>
    <row r="82" spans="1:58" ht="12.95" customHeight="1">
      <c r="A82" s="43"/>
      <c r="B82" s="44"/>
      <c r="C82" s="447"/>
      <c r="D82" s="44"/>
      <c r="E82" s="45"/>
      <c r="F82" s="45"/>
      <c r="G82" s="502"/>
      <c r="H82" s="47"/>
      <c r="I82" s="48"/>
      <c r="J82" s="85"/>
      <c r="K82" s="85"/>
      <c r="L82" s="603"/>
      <c r="M82" s="38"/>
      <c r="N82" s="49"/>
      <c r="O82" s="50"/>
      <c r="P82" s="51"/>
      <c r="Q82" s="50"/>
      <c r="R82" s="503"/>
      <c r="S82" s="503"/>
      <c r="T82" s="40"/>
      <c r="U82" s="40"/>
      <c r="V82" s="40"/>
      <c r="W82" s="40"/>
      <c r="X82" s="41"/>
      <c r="Y82" s="214"/>
      <c r="Z82" s="40"/>
      <c r="AA82" s="40"/>
      <c r="AB82" s="40"/>
      <c r="AC82" s="40"/>
      <c r="AD82" s="40">
        <f t="shared" si="122"/>
        <v>18</v>
      </c>
      <c r="AE82" s="233" t="s">
        <v>618</v>
      </c>
      <c r="AF82" s="36"/>
      <c r="AG82" s="36"/>
      <c r="AH82" s="36">
        <v>18</v>
      </c>
      <c r="AJ82" s="40"/>
      <c r="AK82" s="40"/>
      <c r="AL82" s="40"/>
      <c r="AM82" s="40">
        <f t="shared" si="123"/>
        <v>18</v>
      </c>
      <c r="AN82" s="40"/>
      <c r="AO82" s="40"/>
      <c r="AP82" s="40"/>
      <c r="AQ82" s="40"/>
      <c r="AR82" s="40">
        <f t="shared" si="124"/>
        <v>0</v>
      </c>
      <c r="AS82" s="40"/>
      <c r="AT82" s="40"/>
      <c r="AU82" s="40"/>
      <c r="AV82" s="40"/>
      <c r="AW82" s="40"/>
      <c r="AX82" s="40"/>
      <c r="AY82" s="40"/>
      <c r="AZ82" s="40"/>
      <c r="BA82" s="40">
        <f t="shared" si="125"/>
        <v>0</v>
      </c>
      <c r="BB82" s="36"/>
      <c r="BC82" s="506"/>
      <c r="BD82" s="506"/>
      <c r="BE82" s="36"/>
      <c r="BF82" s="506"/>
    </row>
    <row r="83" spans="1:58" ht="12.95" customHeight="1">
      <c r="A83" s="43"/>
      <c r="B83" s="44"/>
      <c r="C83" s="447"/>
      <c r="D83" s="44"/>
      <c r="E83" s="45"/>
      <c r="F83" s="45"/>
      <c r="G83" s="46"/>
      <c r="H83" s="47"/>
      <c r="I83" s="48"/>
      <c r="J83" s="85"/>
      <c r="K83" s="85"/>
      <c r="L83" s="603"/>
      <c r="M83" s="38"/>
      <c r="N83" s="49"/>
      <c r="O83" s="50"/>
      <c r="P83" s="51"/>
      <c r="Q83" s="37"/>
      <c r="R83" s="503"/>
      <c r="S83" s="503"/>
      <c r="T83" s="40"/>
      <c r="U83" s="40"/>
      <c r="V83" s="40"/>
      <c r="W83" s="40"/>
      <c r="X83" s="41"/>
      <c r="Y83" s="214"/>
      <c r="Z83" s="40"/>
      <c r="AA83" s="40"/>
      <c r="AB83" s="40"/>
      <c r="AC83" s="40"/>
      <c r="AD83" s="40">
        <f t="shared" si="122"/>
        <v>19</v>
      </c>
      <c r="AE83" s="236" t="s">
        <v>228</v>
      </c>
      <c r="AF83" s="40"/>
      <c r="AG83" s="40"/>
      <c r="AH83" s="40"/>
      <c r="AI83" s="505">
        <v>19</v>
      </c>
      <c r="AJ83" s="40"/>
      <c r="AK83" s="40"/>
      <c r="AL83" s="40"/>
      <c r="AM83" s="40">
        <f t="shared" si="123"/>
        <v>19</v>
      </c>
      <c r="AN83" s="40"/>
      <c r="AO83" s="40"/>
      <c r="AP83" s="40"/>
      <c r="AQ83" s="40"/>
      <c r="AR83" s="40">
        <f t="shared" si="124"/>
        <v>0</v>
      </c>
      <c r="AS83" s="40"/>
      <c r="AT83" s="40"/>
      <c r="AU83" s="40"/>
      <c r="AV83" s="40"/>
      <c r="AW83" s="40"/>
      <c r="AX83" s="40"/>
      <c r="AY83" s="40"/>
      <c r="AZ83" s="40"/>
      <c r="BA83" s="40">
        <f t="shared" si="125"/>
        <v>0</v>
      </c>
      <c r="BB83" s="53"/>
      <c r="BC83" s="54"/>
      <c r="BD83" s="54"/>
      <c r="BE83" s="53"/>
      <c r="BF83" s="54"/>
    </row>
    <row r="84" spans="1:58" ht="12.95" customHeight="1">
      <c r="A84" s="43"/>
      <c r="B84" s="44"/>
      <c r="C84" s="447"/>
      <c r="D84" s="44"/>
      <c r="E84" s="45"/>
      <c r="F84" s="45"/>
      <c r="G84" s="46"/>
      <c r="H84" s="46"/>
      <c r="I84" s="48"/>
      <c r="J84" s="85"/>
      <c r="K84" s="85"/>
      <c r="L84" s="603"/>
      <c r="M84" s="38"/>
      <c r="N84" s="49"/>
      <c r="O84" s="50"/>
      <c r="P84" s="51"/>
      <c r="Q84" s="50"/>
      <c r="R84" s="503"/>
      <c r="S84" s="503"/>
      <c r="T84" s="40"/>
      <c r="U84" s="40"/>
      <c r="V84" s="40"/>
      <c r="W84" s="40"/>
      <c r="X84" s="41"/>
      <c r="Y84" s="214"/>
      <c r="Z84" s="40"/>
      <c r="AA84" s="40"/>
      <c r="AB84" s="40"/>
      <c r="AC84" s="40"/>
      <c r="AD84" s="40"/>
      <c r="AE84" s="233"/>
      <c r="AF84" s="40"/>
      <c r="AG84" s="40"/>
      <c r="AH84" s="40"/>
      <c r="AI84" s="505"/>
      <c r="AJ84" s="40"/>
      <c r="AK84" s="40"/>
      <c r="AL84" s="40"/>
      <c r="AM84" s="40"/>
      <c r="AN84" s="86"/>
      <c r="AO84" s="40"/>
      <c r="AP84" s="40"/>
      <c r="AQ84" s="40"/>
      <c r="AR84" s="40"/>
      <c r="AS84" s="40"/>
      <c r="AT84" s="40"/>
      <c r="AU84" s="40"/>
      <c r="AV84" s="40"/>
      <c r="AW84" s="40"/>
      <c r="AX84" s="40"/>
      <c r="AY84" s="40"/>
      <c r="AZ84" s="40"/>
      <c r="BA84" s="40"/>
      <c r="BB84" s="53"/>
      <c r="BC84" s="54"/>
      <c r="BD84" s="54"/>
      <c r="BE84" s="54"/>
      <c r="BF84" s="54"/>
    </row>
    <row r="85" spans="1:58" ht="12.75" customHeight="1">
      <c r="A85" s="43">
        <v>46096</v>
      </c>
      <c r="B85" s="44" t="s">
        <v>586</v>
      </c>
      <c r="C85" s="447">
        <f t="shared" ref="C85" si="126">(M85*E85*O85*Q85)/100000000</f>
        <v>51.718660446315795</v>
      </c>
      <c r="D85" s="44" t="s">
        <v>425</v>
      </c>
      <c r="E85" s="45">
        <v>22</v>
      </c>
      <c r="F85" s="45">
        <v>1</v>
      </c>
      <c r="G85" s="502">
        <v>735</v>
      </c>
      <c r="H85" s="47">
        <f t="shared" ref="H85" si="127">+N85</f>
        <v>0.14000000000000001</v>
      </c>
      <c r="I85" s="48">
        <v>0.88</v>
      </c>
      <c r="J85" s="85">
        <f t="shared" ref="J85" si="128">E85*G85*(1-H85)*1440/1000000*2.75</f>
        <v>55.068551999999997</v>
      </c>
      <c r="K85" s="85">
        <f t="shared" ref="K85" si="129">(IF(G85&lt;L85,L85,G85)*(1-IF(H85&lt;N85,H85,N85))*E85*O85*Q85)/100000000</f>
        <v>51.718660446315795</v>
      </c>
      <c r="L85" s="603">
        <v>740</v>
      </c>
      <c r="M85" s="38">
        <v>636.4</v>
      </c>
      <c r="N85" s="49">
        <f t="shared" ref="N85" si="130">1-(M85/L85)</f>
        <v>0.14000000000000001</v>
      </c>
      <c r="O85" s="50">
        <f>+'Trim Rwd'!H49</f>
        <v>256.5263157894737</v>
      </c>
      <c r="P85" s="51">
        <f t="shared" ref="P85" si="131">O85*(Q85-R85-S85)</f>
        <v>356315.05263157899</v>
      </c>
      <c r="Q85" s="50">
        <v>1440</v>
      </c>
      <c r="R85" s="503">
        <v>0</v>
      </c>
      <c r="S85" s="503">
        <v>51</v>
      </c>
      <c r="T85" s="40">
        <f t="shared" ref="T85" si="132">E85*M85*O85*Q85/100000000</f>
        <v>51.718660446315795</v>
      </c>
      <c r="U85" s="40">
        <f t="shared" ref="U85" si="133">E85*M85*O85*(Q85-R85-S85)/100000000</f>
        <v>49.886957888842105</v>
      </c>
      <c r="V85" s="40">
        <f t="shared" ref="V85" si="134">E85*G85*(1-N85)*O85/100*(R85+S85)/1000000</f>
        <v>1.8193261888421055</v>
      </c>
      <c r="W85" s="40">
        <f>+'15'!K14/1000</f>
        <v>52.259</v>
      </c>
      <c r="X85" s="504">
        <f>SUM(W85:W88)/SUM(K85:K88)</f>
        <v>1.0104476710924306</v>
      </c>
      <c r="Y85" s="214">
        <v>0</v>
      </c>
      <c r="Z85" s="40">
        <f>+'15'!D16/1000</f>
        <v>0.95</v>
      </c>
      <c r="AA85" s="52">
        <f>SUM(U85:U88)-SUM(W85:W88)-SUM(Z85:Z88)-SUM(Y85:Y88)</f>
        <v>-3.3220421111578959</v>
      </c>
      <c r="AB85" s="52">
        <f>(SUM(K85:K88)-SUM(W85:W88)-SUM(Y85:Y88)-SUM(Z85:Z88)-SUM(AC85:AC88)-SUM(V85:V88))-AA85</f>
        <v>1.2376368631584977E-2</v>
      </c>
      <c r="AC85" s="40">
        <f>K85-T85</f>
        <v>0</v>
      </c>
      <c r="AD85" s="40">
        <f>+AM85+BA85</f>
        <v>4</v>
      </c>
      <c r="AE85" s="233" t="s">
        <v>486</v>
      </c>
      <c r="AF85" s="40">
        <v>4</v>
      </c>
      <c r="AG85" s="40"/>
      <c r="AH85" s="40"/>
      <c r="AI85" s="505"/>
      <c r="AJ85" s="40"/>
      <c r="AK85" s="40"/>
      <c r="AL85" s="40"/>
      <c r="AM85" s="40">
        <f>SUM(AF85:AL85)+AT85</f>
        <v>4</v>
      </c>
      <c r="AN85" s="40"/>
      <c r="AO85" s="40"/>
      <c r="AP85" s="40"/>
      <c r="AQ85" s="40"/>
      <c r="AR85" s="40">
        <f>SUM(AN85:AQ85)</f>
        <v>0</v>
      </c>
      <c r="AS85" s="40"/>
      <c r="AT85" s="40"/>
      <c r="AU85" s="40"/>
      <c r="AV85" s="40"/>
      <c r="AW85" s="40"/>
      <c r="AX85" s="40"/>
      <c r="AY85" s="40"/>
      <c r="AZ85" s="40"/>
      <c r="BA85" s="40">
        <f>+AR85+AS85+AU85+AV85+AX85</f>
        <v>0</v>
      </c>
      <c r="BB85" s="36">
        <v>2</v>
      </c>
      <c r="BC85" s="54"/>
      <c r="BD85" s="54"/>
      <c r="BE85" s="36"/>
      <c r="BF85" s="54"/>
    </row>
    <row r="86" spans="1:58" ht="12.95" customHeight="1">
      <c r="A86" s="43"/>
      <c r="B86" s="44"/>
      <c r="C86" s="447"/>
      <c r="D86" s="44"/>
      <c r="E86" s="45"/>
      <c r="F86" s="45"/>
      <c r="G86" s="502"/>
      <c r="H86" s="47"/>
      <c r="I86" s="48"/>
      <c r="J86" s="85"/>
      <c r="K86" s="85"/>
      <c r="L86" s="603"/>
      <c r="M86" s="38"/>
      <c r="N86" s="49"/>
      <c r="O86" s="50"/>
      <c r="P86" s="51"/>
      <c r="Q86" s="50"/>
      <c r="R86" s="503"/>
      <c r="S86" s="503"/>
      <c r="T86" s="40"/>
      <c r="U86" s="40"/>
      <c r="V86" s="40"/>
      <c r="W86" s="40"/>
      <c r="X86" s="41"/>
      <c r="Y86" s="214"/>
      <c r="Z86" s="40"/>
      <c r="AA86" s="40"/>
      <c r="AB86" s="40"/>
      <c r="AC86" s="40">
        <f>K86-T86</f>
        <v>0</v>
      </c>
      <c r="AD86" s="40">
        <f t="shared" ref="AD86:AD88" si="135">+AM86+BA86</f>
        <v>14</v>
      </c>
      <c r="AE86" s="233" t="s">
        <v>399</v>
      </c>
      <c r="AF86" s="40"/>
      <c r="AG86" s="40">
        <v>14</v>
      </c>
      <c r="AH86" s="40"/>
      <c r="AI86" s="505"/>
      <c r="AJ86" s="40"/>
      <c r="AK86" s="40"/>
      <c r="AL86" s="40"/>
      <c r="AM86" s="40">
        <f t="shared" ref="AM86:AM88" si="136">SUM(AF86:AL86)+AT86</f>
        <v>14</v>
      </c>
      <c r="AN86" s="86"/>
      <c r="AO86" s="40"/>
      <c r="AP86" s="40"/>
      <c r="AQ86" s="40"/>
      <c r="AR86" s="40">
        <f t="shared" ref="AR86:AR88" si="137">SUM(AN86:AQ86)</f>
        <v>0</v>
      </c>
      <c r="AS86" s="40"/>
      <c r="AT86" s="40"/>
      <c r="AU86" s="40"/>
      <c r="AV86" s="40"/>
      <c r="AW86" s="40"/>
      <c r="AX86" s="40"/>
      <c r="AY86" s="40"/>
      <c r="AZ86" s="40"/>
      <c r="BA86" s="40">
        <f t="shared" ref="BA86:BA88" si="138">+AR86+AS86+AU86+AV86+AX86</f>
        <v>0</v>
      </c>
      <c r="BB86" s="53"/>
      <c r="BC86" s="54">
        <v>6</v>
      </c>
      <c r="BD86" s="54"/>
      <c r="BE86" s="53"/>
      <c r="BF86" s="54"/>
    </row>
    <row r="87" spans="1:58" ht="12.95" customHeight="1">
      <c r="A87" s="43"/>
      <c r="B87" s="44"/>
      <c r="C87" s="447"/>
      <c r="D87" s="44"/>
      <c r="E87" s="45"/>
      <c r="F87" s="45"/>
      <c r="G87" s="502"/>
      <c r="H87" s="47"/>
      <c r="I87" s="48"/>
      <c r="J87" s="85"/>
      <c r="K87" s="85"/>
      <c r="L87" s="603"/>
      <c r="M87" s="38"/>
      <c r="N87" s="49"/>
      <c r="O87" s="50"/>
      <c r="P87" s="51"/>
      <c r="Q87" s="50"/>
      <c r="R87" s="503"/>
      <c r="S87" s="503"/>
      <c r="T87" s="40"/>
      <c r="U87" s="40"/>
      <c r="V87" s="40"/>
      <c r="W87" s="40"/>
      <c r="X87" s="41"/>
      <c r="Y87" s="214"/>
      <c r="Z87" s="40"/>
      <c r="AA87" s="40"/>
      <c r="AB87" s="40"/>
      <c r="AC87" s="40"/>
      <c r="AD87" s="40">
        <f t="shared" si="135"/>
        <v>25</v>
      </c>
      <c r="AE87" s="233" t="s">
        <v>475</v>
      </c>
      <c r="AF87" s="36"/>
      <c r="AG87" s="36"/>
      <c r="AH87" s="36">
        <v>25</v>
      </c>
      <c r="AJ87" s="40"/>
      <c r="AK87" s="40"/>
      <c r="AL87" s="40"/>
      <c r="AM87" s="40">
        <f t="shared" si="136"/>
        <v>25</v>
      </c>
      <c r="AN87" s="40"/>
      <c r="AO87" s="40"/>
      <c r="AP87" s="40"/>
      <c r="AQ87" s="40"/>
      <c r="AR87" s="40">
        <f t="shared" si="137"/>
        <v>0</v>
      </c>
      <c r="AS87" s="40"/>
      <c r="AT87" s="40"/>
      <c r="AU87" s="40"/>
      <c r="AV87" s="40"/>
      <c r="AW87" s="40"/>
      <c r="AX87" s="40"/>
      <c r="AY87" s="40"/>
      <c r="AZ87" s="40"/>
      <c r="BA87" s="40">
        <f t="shared" si="138"/>
        <v>0</v>
      </c>
      <c r="BB87" s="36"/>
      <c r="BC87" s="506"/>
      <c r="BD87" s="506"/>
      <c r="BE87" s="36"/>
      <c r="BF87" s="506"/>
    </row>
    <row r="88" spans="1:58" ht="12.95" customHeight="1">
      <c r="A88" s="43"/>
      <c r="B88" s="44"/>
      <c r="C88" s="447"/>
      <c r="D88" s="44"/>
      <c r="E88" s="45"/>
      <c r="F88" s="45"/>
      <c r="G88" s="46"/>
      <c r="H88" s="47"/>
      <c r="I88" s="48"/>
      <c r="J88" s="85"/>
      <c r="K88" s="85"/>
      <c r="L88" s="603"/>
      <c r="M88" s="38"/>
      <c r="N88" s="49"/>
      <c r="O88" s="50"/>
      <c r="P88" s="51"/>
      <c r="Q88" s="37"/>
      <c r="R88" s="503"/>
      <c r="S88" s="503"/>
      <c r="T88" s="40"/>
      <c r="U88" s="40"/>
      <c r="V88" s="40"/>
      <c r="W88" s="40"/>
      <c r="X88" s="41"/>
      <c r="Y88" s="214"/>
      <c r="Z88" s="40"/>
      <c r="AA88" s="40"/>
      <c r="AB88" s="40"/>
      <c r="AC88" s="40"/>
      <c r="AD88" s="40">
        <f t="shared" si="135"/>
        <v>8</v>
      </c>
      <c r="AE88" s="236" t="s">
        <v>228</v>
      </c>
      <c r="AF88" s="40"/>
      <c r="AG88" s="40"/>
      <c r="AH88" s="40"/>
      <c r="AI88" s="505">
        <v>8</v>
      </c>
      <c r="AJ88" s="40"/>
      <c r="AK88" s="40"/>
      <c r="AL88" s="40"/>
      <c r="AM88" s="40">
        <f t="shared" si="136"/>
        <v>8</v>
      </c>
      <c r="AN88" s="40"/>
      <c r="AO88" s="40"/>
      <c r="AP88" s="40"/>
      <c r="AQ88" s="40"/>
      <c r="AR88" s="40">
        <f t="shared" si="137"/>
        <v>0</v>
      </c>
      <c r="AS88" s="40"/>
      <c r="AT88" s="40"/>
      <c r="AU88" s="40"/>
      <c r="AV88" s="40"/>
      <c r="AW88" s="40"/>
      <c r="AX88" s="40"/>
      <c r="AY88" s="40"/>
      <c r="AZ88" s="40"/>
      <c r="BA88" s="40">
        <f t="shared" si="138"/>
        <v>0</v>
      </c>
      <c r="BB88" s="53"/>
      <c r="BC88" s="54"/>
      <c r="BD88" s="54"/>
      <c r="BE88" s="53"/>
      <c r="BF88" s="54"/>
    </row>
    <row r="89" spans="1:58" ht="12.95" customHeight="1">
      <c r="A89" s="43"/>
      <c r="B89" s="44"/>
      <c r="C89" s="447"/>
      <c r="D89" s="44"/>
      <c r="E89" s="45"/>
      <c r="F89" s="45"/>
      <c r="G89" s="46"/>
      <c r="H89" s="46"/>
      <c r="I89" s="48"/>
      <c r="J89" s="85"/>
      <c r="K89" s="85"/>
      <c r="L89" s="603"/>
      <c r="M89" s="38"/>
      <c r="N89" s="49"/>
      <c r="O89" s="50"/>
      <c r="P89" s="51"/>
      <c r="Q89" s="50"/>
      <c r="R89" s="503"/>
      <c r="S89" s="503"/>
      <c r="T89" s="40"/>
      <c r="U89" s="40"/>
      <c r="V89" s="40"/>
      <c r="W89" s="40"/>
      <c r="X89" s="41"/>
      <c r="Y89" s="214"/>
      <c r="Z89" s="40"/>
      <c r="AA89" s="40"/>
      <c r="AB89" s="40"/>
      <c r="AC89" s="40"/>
      <c r="AD89" s="40"/>
      <c r="AE89" s="233"/>
      <c r="AF89" s="36"/>
      <c r="AG89" s="36"/>
      <c r="AH89" s="36"/>
      <c r="AJ89" s="40"/>
      <c r="AK89" s="40"/>
      <c r="AL89" s="40"/>
      <c r="AM89" s="40"/>
      <c r="AN89" s="40"/>
      <c r="AO89" s="40"/>
      <c r="AP89" s="40"/>
      <c r="AQ89" s="40"/>
      <c r="AR89" s="40"/>
      <c r="AS89" s="40"/>
      <c r="AT89" s="40"/>
      <c r="AU89" s="40"/>
      <c r="AV89" s="40"/>
      <c r="AW89" s="40"/>
      <c r="AX89" s="40"/>
      <c r="AY89" s="40"/>
      <c r="AZ89" s="40"/>
      <c r="BA89" s="40"/>
      <c r="BB89" s="36"/>
      <c r="BC89" s="506"/>
      <c r="BD89" s="54"/>
      <c r="BE89" s="54"/>
      <c r="BF89" s="54"/>
    </row>
    <row r="90" spans="1:58" ht="12.75" customHeight="1">
      <c r="A90" s="43">
        <v>46097</v>
      </c>
      <c r="B90" s="44" t="s">
        <v>586</v>
      </c>
      <c r="C90" s="447">
        <f t="shared" ref="C90" si="139">(M90*E90*O90*Q90)/100000000</f>
        <v>51.612549119999997</v>
      </c>
      <c r="D90" s="44" t="s">
        <v>425</v>
      </c>
      <c r="E90" s="45">
        <v>22</v>
      </c>
      <c r="F90" s="45">
        <v>1</v>
      </c>
      <c r="G90" s="502">
        <v>735</v>
      </c>
      <c r="H90" s="47">
        <f t="shared" ref="H90" si="140">+N90</f>
        <v>0.14000000000000001</v>
      </c>
      <c r="I90" s="48">
        <v>0.88</v>
      </c>
      <c r="J90" s="85">
        <f t="shared" ref="J90" si="141">E90*G90*(1-H90)*1440/1000000*2.75</f>
        <v>55.068551999999997</v>
      </c>
      <c r="K90" s="85">
        <f t="shared" ref="K90" si="142">(IF(G90&lt;L90,L90,G90)*(1-IF(H90&lt;N90,H90,N90))*E90*O90*Q90)/100000000</f>
        <v>51.612549119999997</v>
      </c>
      <c r="L90" s="603">
        <v>740</v>
      </c>
      <c r="M90" s="38">
        <v>636.4</v>
      </c>
      <c r="N90" s="49">
        <f t="shared" ref="N90" si="143">1-(M90/L90)</f>
        <v>0.14000000000000001</v>
      </c>
      <c r="O90" s="50">
        <f>+'Trim Rwd'!H52</f>
        <v>256</v>
      </c>
      <c r="P90" s="51">
        <f t="shared" ref="P90" si="144">O90*(Q90-R90-S90)</f>
        <v>358144</v>
      </c>
      <c r="Q90" s="50">
        <v>1440</v>
      </c>
      <c r="R90" s="503">
        <v>0</v>
      </c>
      <c r="S90" s="503">
        <v>41</v>
      </c>
      <c r="T90" s="40">
        <f t="shared" ref="T90" si="145">E90*M90*O90*Q90/100000000</f>
        <v>51.612549119999997</v>
      </c>
      <c r="U90" s="40">
        <f t="shared" ref="U90" si="146">E90*M90*O90*(Q90-R90-S90)/100000000</f>
        <v>50.143025152</v>
      </c>
      <c r="V90" s="40">
        <f t="shared" ref="V90" si="147">E90*G90*(1-N90)*O90/100*(R90+S90)/1000000</f>
        <v>1.4595947519999999</v>
      </c>
      <c r="W90" s="40">
        <f>+'16'!K14/1000</f>
        <v>53.363</v>
      </c>
      <c r="X90" s="504">
        <f>SUM(W90:W93)/SUM(K90:K93)</f>
        <v>1.0339152184855311</v>
      </c>
      <c r="Y90" s="214">
        <v>0</v>
      </c>
      <c r="Z90" s="40">
        <v>0</v>
      </c>
      <c r="AA90" s="52">
        <f>SUM(U90:U93)-SUM(W90:W93)-SUM(Z90:Z93)-SUM(Y90:Y93)</f>
        <v>-3.2199748479999997</v>
      </c>
      <c r="AB90" s="52">
        <f>(SUM(K90:K93)-SUM(W90:W93)-SUM(Y90:Y93)-SUM(Z90:Z93)-SUM(AC90:AC93)-SUM(V90:V93))-AA90</f>
        <v>9.9292159999970764E-3</v>
      </c>
      <c r="AC90" s="40">
        <f>K90-T90</f>
        <v>0</v>
      </c>
      <c r="AD90" s="40">
        <f>+AM90+BA90</f>
        <v>0</v>
      </c>
      <c r="AE90" s="233" t="s">
        <v>391</v>
      </c>
      <c r="AF90" s="40">
        <v>0</v>
      </c>
      <c r="AG90" s="40"/>
      <c r="AH90" s="40"/>
      <c r="AI90" s="505"/>
      <c r="AJ90" s="40"/>
      <c r="AK90" s="40"/>
      <c r="AL90" s="40"/>
      <c r="AM90" s="40">
        <f>SUM(AF90:AL90)+AT90</f>
        <v>0</v>
      </c>
      <c r="AN90" s="40"/>
      <c r="AO90" s="40"/>
      <c r="AP90" s="40"/>
      <c r="AQ90" s="40"/>
      <c r="AR90" s="40">
        <f>SUM(AN90:AQ90)</f>
        <v>0</v>
      </c>
      <c r="AS90" s="40"/>
      <c r="AT90" s="40"/>
      <c r="AU90" s="40"/>
      <c r="AV90" s="40"/>
      <c r="AW90" s="40"/>
      <c r="AX90" s="40"/>
      <c r="AY90" s="40"/>
      <c r="AZ90" s="40"/>
      <c r="BA90" s="40">
        <f>+AR90+AS90+AU90+AV90+AX90</f>
        <v>0</v>
      </c>
      <c r="BB90" s="36">
        <v>0</v>
      </c>
      <c r="BC90" s="54"/>
      <c r="BD90" s="54"/>
      <c r="BE90" s="36"/>
      <c r="BF90" s="54"/>
    </row>
    <row r="91" spans="1:58" ht="12.95" customHeight="1">
      <c r="A91" s="43"/>
      <c r="B91" s="44"/>
      <c r="C91" s="447"/>
      <c r="D91" s="44"/>
      <c r="E91" s="45"/>
      <c r="F91" s="45"/>
      <c r="G91" s="502"/>
      <c r="H91" s="47"/>
      <c r="I91" s="48"/>
      <c r="J91" s="85"/>
      <c r="K91" s="85"/>
      <c r="L91" s="603"/>
      <c r="M91" s="38"/>
      <c r="N91" s="49"/>
      <c r="O91" s="50"/>
      <c r="P91" s="51"/>
      <c r="Q91" s="50"/>
      <c r="R91" s="503"/>
      <c r="S91" s="503"/>
      <c r="T91" s="40"/>
      <c r="U91" s="40"/>
      <c r="V91" s="40"/>
      <c r="W91" s="40"/>
      <c r="X91" s="41"/>
      <c r="Y91" s="214"/>
      <c r="Z91" s="40"/>
      <c r="AA91" s="40"/>
      <c r="AB91" s="40"/>
      <c r="AC91" s="40">
        <f>K91-T91</f>
        <v>0</v>
      </c>
      <c r="AD91" s="40">
        <f t="shared" ref="AD91:AD93" si="148">+AM91+BA91</f>
        <v>7</v>
      </c>
      <c r="AE91" s="233" t="s">
        <v>474</v>
      </c>
      <c r="AF91" s="40"/>
      <c r="AG91" s="40">
        <v>7</v>
      </c>
      <c r="AH91" s="40"/>
      <c r="AI91" s="505"/>
      <c r="AJ91" s="40"/>
      <c r="AK91" s="40"/>
      <c r="AL91" s="40"/>
      <c r="AM91" s="40">
        <f t="shared" ref="AM91:AM93" si="149">SUM(AF91:AL91)+AT91</f>
        <v>7</v>
      </c>
      <c r="AN91" s="86"/>
      <c r="AO91" s="40"/>
      <c r="AP91" s="40"/>
      <c r="AQ91" s="40"/>
      <c r="AR91" s="40">
        <f t="shared" ref="AR91:AR93" si="150">SUM(AN91:AQ91)</f>
        <v>0</v>
      </c>
      <c r="AS91" s="40"/>
      <c r="AT91" s="40"/>
      <c r="AU91" s="40"/>
      <c r="AV91" s="40"/>
      <c r="AW91" s="40"/>
      <c r="AX91" s="40"/>
      <c r="AY91" s="40"/>
      <c r="AZ91" s="40"/>
      <c r="BA91" s="40">
        <f t="shared" ref="BA91:BA93" si="151">+AR91+AS91+AU91+AV91+AX91</f>
        <v>0</v>
      </c>
      <c r="BB91" s="53"/>
      <c r="BC91" s="54">
        <v>4</v>
      </c>
      <c r="BD91" s="54"/>
      <c r="BE91" s="53"/>
      <c r="BF91" s="54"/>
    </row>
    <row r="92" spans="1:58" ht="12.95" customHeight="1">
      <c r="A92" s="43"/>
      <c r="B92" s="44"/>
      <c r="C92" s="447"/>
      <c r="D92" s="44"/>
      <c r="E92" s="45"/>
      <c r="F92" s="45"/>
      <c r="G92" s="502"/>
      <c r="H92" s="47"/>
      <c r="I92" s="48"/>
      <c r="J92" s="85"/>
      <c r="K92" s="85"/>
      <c r="L92" s="603"/>
      <c r="M92" s="38"/>
      <c r="N92" s="49"/>
      <c r="O92" s="50"/>
      <c r="P92" s="51"/>
      <c r="Q92" s="50"/>
      <c r="R92" s="503"/>
      <c r="S92" s="503"/>
      <c r="T92" s="40"/>
      <c r="U92" s="40"/>
      <c r="V92" s="40"/>
      <c r="W92" s="40"/>
      <c r="X92" s="41"/>
      <c r="Y92" s="214"/>
      <c r="Z92" s="40"/>
      <c r="AA92" s="40"/>
      <c r="AB92" s="40"/>
      <c r="AC92" s="40"/>
      <c r="AD92" s="40">
        <f t="shared" si="148"/>
        <v>26</v>
      </c>
      <c r="AE92" s="233" t="s">
        <v>462</v>
      </c>
      <c r="AF92" s="36"/>
      <c r="AG92" s="36"/>
      <c r="AH92" s="36">
        <v>26</v>
      </c>
      <c r="AJ92" s="40"/>
      <c r="AK92" s="40"/>
      <c r="AL92" s="40"/>
      <c r="AM92" s="40">
        <f t="shared" si="149"/>
        <v>26</v>
      </c>
      <c r="AN92" s="40"/>
      <c r="AO92" s="40"/>
      <c r="AP92" s="40"/>
      <c r="AQ92" s="40"/>
      <c r="AR92" s="40">
        <f t="shared" si="150"/>
        <v>0</v>
      </c>
      <c r="AS92" s="40"/>
      <c r="AT92" s="40"/>
      <c r="AU92" s="40"/>
      <c r="AV92" s="40"/>
      <c r="AW92" s="40"/>
      <c r="AX92" s="40"/>
      <c r="AY92" s="40"/>
      <c r="AZ92" s="40"/>
      <c r="BA92" s="40">
        <f t="shared" si="151"/>
        <v>0</v>
      </c>
      <c r="BB92" s="36"/>
      <c r="BC92" s="506"/>
      <c r="BD92" s="506"/>
      <c r="BE92" s="36"/>
      <c r="BF92" s="506"/>
    </row>
    <row r="93" spans="1:58" ht="12.95" customHeight="1">
      <c r="A93" s="43"/>
      <c r="B93" s="44"/>
      <c r="C93" s="447"/>
      <c r="D93" s="44"/>
      <c r="E93" s="45"/>
      <c r="F93" s="45"/>
      <c r="G93" s="46"/>
      <c r="H93" s="47"/>
      <c r="I93" s="48"/>
      <c r="J93" s="85"/>
      <c r="K93" s="85"/>
      <c r="L93" s="603"/>
      <c r="M93" s="38"/>
      <c r="N93" s="49"/>
      <c r="O93" s="50"/>
      <c r="P93" s="51"/>
      <c r="Q93" s="37"/>
      <c r="R93" s="503"/>
      <c r="S93" s="503"/>
      <c r="T93" s="40"/>
      <c r="U93" s="40"/>
      <c r="V93" s="40"/>
      <c r="W93" s="40"/>
      <c r="X93" s="41"/>
      <c r="Y93" s="214"/>
      <c r="Z93" s="40"/>
      <c r="AA93" s="40"/>
      <c r="AB93" s="40"/>
      <c r="AC93" s="40"/>
      <c r="AD93" s="40">
        <f t="shared" si="148"/>
        <v>8</v>
      </c>
      <c r="AE93" s="236" t="s">
        <v>228</v>
      </c>
      <c r="AF93" s="40"/>
      <c r="AG93" s="40"/>
      <c r="AH93" s="40"/>
      <c r="AI93" s="505">
        <v>8</v>
      </c>
      <c r="AJ93" s="40"/>
      <c r="AK93" s="40"/>
      <c r="AL93" s="40"/>
      <c r="AM93" s="40">
        <f t="shared" si="149"/>
        <v>8</v>
      </c>
      <c r="AN93" s="40"/>
      <c r="AO93" s="40"/>
      <c r="AP93" s="40"/>
      <c r="AQ93" s="40"/>
      <c r="AR93" s="40">
        <f t="shared" si="150"/>
        <v>0</v>
      </c>
      <c r="AS93" s="40"/>
      <c r="AT93" s="40"/>
      <c r="AU93" s="40"/>
      <c r="AV93" s="40"/>
      <c r="AW93" s="40"/>
      <c r="AX93" s="40"/>
      <c r="AY93" s="40"/>
      <c r="AZ93" s="40"/>
      <c r="BA93" s="40">
        <f t="shared" si="151"/>
        <v>0</v>
      </c>
      <c r="BB93" s="53"/>
      <c r="BC93" s="54"/>
      <c r="BD93" s="54"/>
      <c r="BE93" s="53"/>
      <c r="BF93" s="54"/>
    </row>
    <row r="94" spans="1:58" ht="12.95" customHeight="1">
      <c r="A94" s="43"/>
      <c r="B94" s="44"/>
      <c r="C94" s="447"/>
      <c r="D94" s="44"/>
      <c r="E94" s="45"/>
      <c r="F94" s="45"/>
      <c r="G94" s="46"/>
      <c r="H94" s="46"/>
      <c r="I94" s="48"/>
      <c r="J94" s="85"/>
      <c r="K94" s="85"/>
      <c r="L94" s="603"/>
      <c r="M94" s="38"/>
      <c r="N94" s="49"/>
      <c r="O94" s="50"/>
      <c r="P94" s="51"/>
      <c r="Q94" s="50"/>
      <c r="R94" s="503"/>
      <c r="S94" s="503"/>
      <c r="T94" s="40"/>
      <c r="U94" s="40"/>
      <c r="V94" s="40"/>
      <c r="W94" s="40"/>
      <c r="X94" s="41"/>
      <c r="Y94" s="214"/>
      <c r="Z94" s="40"/>
      <c r="AA94" s="40"/>
      <c r="AB94" s="40"/>
      <c r="AC94" s="40"/>
      <c r="AD94" s="40"/>
      <c r="AE94" s="233"/>
      <c r="AF94" s="36"/>
      <c r="AG94" s="36"/>
      <c r="AH94" s="36"/>
      <c r="AJ94" s="40"/>
      <c r="AK94" s="40"/>
      <c r="AL94" s="40"/>
      <c r="AM94" s="40"/>
      <c r="AN94" s="40"/>
      <c r="AO94" s="40"/>
      <c r="AP94" s="40"/>
      <c r="AQ94" s="40"/>
      <c r="AR94" s="40"/>
      <c r="AS94" s="40"/>
      <c r="AT94" s="40"/>
      <c r="AU94" s="40"/>
      <c r="AV94" s="40"/>
      <c r="AW94" s="40"/>
      <c r="AX94" s="40"/>
      <c r="AY94" s="40"/>
      <c r="AZ94" s="40"/>
      <c r="BA94" s="40"/>
      <c r="BB94" s="36"/>
      <c r="BC94" s="506"/>
      <c r="BD94" s="54"/>
      <c r="BE94" s="54"/>
      <c r="BF94" s="54"/>
    </row>
    <row r="95" spans="1:58" ht="12.75" customHeight="1">
      <c r="A95" s="43">
        <v>46098</v>
      </c>
      <c r="B95" s="44" t="s">
        <v>586</v>
      </c>
      <c r="C95" s="447">
        <f t="shared" ref="C95" si="152">(M95*E95*O95*Q95)/100000000</f>
        <v>51.612549119999997</v>
      </c>
      <c r="D95" s="44" t="s">
        <v>425</v>
      </c>
      <c r="E95" s="45">
        <v>22</v>
      </c>
      <c r="F95" s="45">
        <v>1</v>
      </c>
      <c r="G95" s="502">
        <v>735</v>
      </c>
      <c r="H95" s="47">
        <f t="shared" ref="H95" si="153">+N95</f>
        <v>0.14000000000000001</v>
      </c>
      <c r="I95" s="48">
        <v>0.88</v>
      </c>
      <c r="J95" s="85">
        <f t="shared" ref="J95" si="154">E95*G95*(1-H95)*1440/1000000*2.75</f>
        <v>55.068551999999997</v>
      </c>
      <c r="K95" s="85">
        <f t="shared" ref="K95" si="155">(IF(G95&lt;L95,L95,G95)*(1-IF(H95&lt;N95,H95,N95))*E95*O95*Q95)/100000000</f>
        <v>51.612549119999997</v>
      </c>
      <c r="L95" s="603">
        <v>740</v>
      </c>
      <c r="M95" s="38">
        <v>636.4</v>
      </c>
      <c r="N95" s="49">
        <f t="shared" ref="N95" si="156">1-(M95/L95)</f>
        <v>0.14000000000000001</v>
      </c>
      <c r="O95" s="50">
        <f>+'Trim Rwd'!H54</f>
        <v>256</v>
      </c>
      <c r="P95" s="51">
        <f t="shared" ref="P95" si="157">O95*(Q95-R95-S95)</f>
        <v>359168</v>
      </c>
      <c r="Q95" s="50">
        <v>1440</v>
      </c>
      <c r="R95" s="503">
        <v>0</v>
      </c>
      <c r="S95" s="503">
        <v>37</v>
      </c>
      <c r="T95" s="40">
        <f t="shared" ref="T95" si="158">E95*M95*O95*Q95/100000000</f>
        <v>51.612549119999997</v>
      </c>
      <c r="U95" s="40">
        <f t="shared" ref="U95" si="159">E95*M95*O95*(Q95-R95-S95)/100000000</f>
        <v>50.286393343999997</v>
      </c>
      <c r="V95" s="40">
        <f t="shared" ref="V95" si="160">E95*G95*(1-N95)*O95/100*(R95+S95)/1000000</f>
        <v>1.3171952639999998</v>
      </c>
      <c r="W95" s="40">
        <f>+'17'!K14/1000</f>
        <v>53.381999999999998</v>
      </c>
      <c r="X95" s="504">
        <f>SUM(W95:W98)/SUM(K95:K98)</f>
        <v>1.0342833460111804</v>
      </c>
      <c r="Y95" s="214">
        <v>0</v>
      </c>
      <c r="Z95" s="40">
        <v>0</v>
      </c>
      <c r="AA95" s="52">
        <f>SUM(U95:U98)-SUM(W95:W98)-SUM(Z95:Z98)-SUM(Y95:Y98)</f>
        <v>-3.0956066560000011</v>
      </c>
      <c r="AB95" s="52">
        <f>(SUM(K95:K98)-SUM(W95:W98)-SUM(Y95:Y98)-SUM(Z95:Z98)-SUM(AC95:AC98)-SUM(V95:V98))-AA95</f>
        <v>8.9605120000006977E-3</v>
      </c>
      <c r="AC95" s="40">
        <f>K95-T95</f>
        <v>0</v>
      </c>
      <c r="AD95" s="40">
        <f>+AM95+BA95</f>
        <v>1</v>
      </c>
      <c r="AE95" s="233" t="s">
        <v>453</v>
      </c>
      <c r="AF95" s="40">
        <v>1</v>
      </c>
      <c r="AG95" s="40"/>
      <c r="AH95" s="40"/>
      <c r="AI95" s="505"/>
      <c r="AJ95" s="40"/>
      <c r="AK95" s="40"/>
      <c r="AL95" s="40"/>
      <c r="AM95" s="40">
        <f>SUM(AF95:AL95)+AT95</f>
        <v>1</v>
      </c>
      <c r="AN95" s="40"/>
      <c r="AO95" s="40"/>
      <c r="AP95" s="40"/>
      <c r="AQ95" s="40"/>
      <c r="AR95" s="40">
        <f>SUM(AN95:AQ95)</f>
        <v>0</v>
      </c>
      <c r="AS95" s="40"/>
      <c r="AT95" s="40"/>
      <c r="AU95" s="40"/>
      <c r="AV95" s="40"/>
      <c r="AW95" s="40"/>
      <c r="AX95" s="40"/>
      <c r="AY95" s="40"/>
      <c r="AZ95" s="40"/>
      <c r="BA95" s="40">
        <f>+AR95+AS95+AU95+AV95+AX95</f>
        <v>0</v>
      </c>
      <c r="BB95" s="36">
        <v>1</v>
      </c>
      <c r="BC95" s="54"/>
      <c r="BD95" s="54"/>
      <c r="BE95" s="36"/>
      <c r="BF95" s="54"/>
    </row>
    <row r="96" spans="1:58" ht="12.95" customHeight="1">
      <c r="A96" s="43"/>
      <c r="B96" s="44"/>
      <c r="C96" s="447"/>
      <c r="D96" s="44"/>
      <c r="E96" s="45"/>
      <c r="F96" s="45"/>
      <c r="G96" s="502"/>
      <c r="H96" s="47"/>
      <c r="I96" s="48"/>
      <c r="J96" s="85"/>
      <c r="K96" s="85"/>
      <c r="L96" s="603"/>
      <c r="M96" s="38"/>
      <c r="N96" s="49"/>
      <c r="O96" s="50"/>
      <c r="P96" s="51"/>
      <c r="Q96" s="50"/>
      <c r="R96" s="503"/>
      <c r="S96" s="503"/>
      <c r="T96" s="40"/>
      <c r="U96" s="40"/>
      <c r="V96" s="40"/>
      <c r="W96" s="40"/>
      <c r="X96" s="41"/>
      <c r="Y96" s="214"/>
      <c r="Z96" s="40"/>
      <c r="AA96" s="40"/>
      <c r="AB96" s="40"/>
      <c r="AC96" s="40">
        <f>K96-T96</f>
        <v>0</v>
      </c>
      <c r="AD96" s="40">
        <f t="shared" ref="AD96:AD98" si="161">+AM96+BA96</f>
        <v>10</v>
      </c>
      <c r="AE96" s="233" t="s">
        <v>452</v>
      </c>
      <c r="AF96" s="40"/>
      <c r="AG96" s="40">
        <v>10</v>
      </c>
      <c r="AH96" s="40"/>
      <c r="AI96" s="505"/>
      <c r="AJ96" s="40"/>
      <c r="AK96" s="40"/>
      <c r="AL96" s="40"/>
      <c r="AM96" s="40">
        <f t="shared" ref="AM96:AM98" si="162">SUM(AF96:AL96)+AT96</f>
        <v>10</v>
      </c>
      <c r="AN96" s="86"/>
      <c r="AO96" s="40"/>
      <c r="AP96" s="40"/>
      <c r="AQ96" s="40"/>
      <c r="AR96" s="40">
        <f t="shared" ref="AR96:AR98" si="163">SUM(AN96:AQ96)</f>
        <v>0</v>
      </c>
      <c r="AS96" s="40"/>
      <c r="AT96" s="40"/>
      <c r="AU96" s="40"/>
      <c r="AV96" s="40"/>
      <c r="AW96" s="40"/>
      <c r="AX96" s="40"/>
      <c r="AY96" s="40"/>
      <c r="AZ96" s="40"/>
      <c r="BA96" s="40">
        <f t="shared" ref="BA96:BA98" si="164">+AR96+AS96+AU96+AV96+AX96</f>
        <v>0</v>
      </c>
      <c r="BB96" s="53"/>
      <c r="BC96" s="54">
        <v>5</v>
      </c>
      <c r="BD96" s="54"/>
      <c r="BE96" s="53"/>
      <c r="BF96" s="54"/>
    </row>
    <row r="97" spans="1:58" ht="12.95" customHeight="1">
      <c r="A97" s="43"/>
      <c r="B97" s="44"/>
      <c r="C97" s="447"/>
      <c r="D97" s="44"/>
      <c r="E97" s="45"/>
      <c r="F97" s="45"/>
      <c r="G97" s="502"/>
      <c r="H97" s="47"/>
      <c r="I97" s="48"/>
      <c r="J97" s="85"/>
      <c r="K97" s="85"/>
      <c r="L97" s="603"/>
      <c r="M97" s="38"/>
      <c r="N97" s="49"/>
      <c r="O97" s="50"/>
      <c r="P97" s="51"/>
      <c r="Q97" s="50"/>
      <c r="R97" s="503"/>
      <c r="S97" s="503"/>
      <c r="T97" s="40"/>
      <c r="U97" s="40"/>
      <c r="V97" s="40"/>
      <c r="W97" s="40"/>
      <c r="X97" s="41"/>
      <c r="Y97" s="214"/>
      <c r="Z97" s="40"/>
      <c r="AA97" s="40"/>
      <c r="AB97" s="40"/>
      <c r="AC97" s="40"/>
      <c r="AD97" s="40">
        <f t="shared" si="161"/>
        <v>19</v>
      </c>
      <c r="AE97" s="233" t="s">
        <v>462</v>
      </c>
      <c r="AF97" s="36"/>
      <c r="AG97" s="36"/>
      <c r="AH97" s="36">
        <v>19</v>
      </c>
      <c r="AJ97" s="40"/>
      <c r="AK97" s="40"/>
      <c r="AL97" s="40"/>
      <c r="AM97" s="40">
        <f t="shared" si="162"/>
        <v>19</v>
      </c>
      <c r="AN97" s="40"/>
      <c r="AO97" s="40"/>
      <c r="AP97" s="40"/>
      <c r="AQ97" s="40"/>
      <c r="AR97" s="40">
        <f t="shared" si="163"/>
        <v>0</v>
      </c>
      <c r="AS97" s="40"/>
      <c r="AT97" s="40"/>
      <c r="AU97" s="40"/>
      <c r="AV97" s="40"/>
      <c r="AW97" s="40"/>
      <c r="AX97" s="40"/>
      <c r="AY97" s="40"/>
      <c r="AZ97" s="40"/>
      <c r="BA97" s="40">
        <f t="shared" si="164"/>
        <v>0</v>
      </c>
      <c r="BB97" s="36"/>
      <c r="BC97" s="506"/>
      <c r="BD97" s="506"/>
      <c r="BE97" s="36"/>
      <c r="BF97" s="506"/>
    </row>
    <row r="98" spans="1:58" ht="12.95" customHeight="1">
      <c r="A98" s="43"/>
      <c r="B98" s="44"/>
      <c r="C98" s="447"/>
      <c r="D98" s="44"/>
      <c r="E98" s="45"/>
      <c r="F98" s="45"/>
      <c r="G98" s="46"/>
      <c r="H98" s="47"/>
      <c r="I98" s="48"/>
      <c r="J98" s="85"/>
      <c r="K98" s="85"/>
      <c r="L98" s="603"/>
      <c r="M98" s="38"/>
      <c r="N98" s="49"/>
      <c r="O98" s="50"/>
      <c r="P98" s="51"/>
      <c r="Q98" s="37"/>
      <c r="R98" s="503"/>
      <c r="S98" s="503"/>
      <c r="T98" s="40"/>
      <c r="U98" s="40"/>
      <c r="V98" s="40"/>
      <c r="W98" s="40"/>
      <c r="X98" s="41"/>
      <c r="Y98" s="214"/>
      <c r="Z98" s="40"/>
      <c r="AA98" s="40"/>
      <c r="AB98" s="40"/>
      <c r="AC98" s="40"/>
      <c r="AD98" s="40">
        <f t="shared" si="161"/>
        <v>7</v>
      </c>
      <c r="AE98" s="236" t="s">
        <v>228</v>
      </c>
      <c r="AF98" s="40"/>
      <c r="AG98" s="40"/>
      <c r="AH98" s="40"/>
      <c r="AI98" s="505">
        <v>7</v>
      </c>
      <c r="AJ98" s="40"/>
      <c r="AK98" s="40"/>
      <c r="AL98" s="40"/>
      <c r="AM98" s="40">
        <f t="shared" si="162"/>
        <v>7</v>
      </c>
      <c r="AN98" s="40"/>
      <c r="AO98" s="40"/>
      <c r="AP98" s="40"/>
      <c r="AQ98" s="40"/>
      <c r="AR98" s="40">
        <f t="shared" si="163"/>
        <v>0</v>
      </c>
      <c r="AS98" s="40"/>
      <c r="AT98" s="40"/>
      <c r="AU98" s="40"/>
      <c r="AV98" s="40"/>
      <c r="AW98" s="40"/>
      <c r="AX98" s="40"/>
      <c r="AY98" s="40"/>
      <c r="AZ98" s="40"/>
      <c r="BA98" s="40">
        <f t="shared" si="164"/>
        <v>0</v>
      </c>
      <c r="BB98" s="53"/>
      <c r="BC98" s="54"/>
      <c r="BD98" s="54"/>
      <c r="BE98" s="53"/>
      <c r="BF98" s="54"/>
    </row>
    <row r="99" spans="1:58" ht="12.95" customHeight="1">
      <c r="A99" s="43"/>
      <c r="B99" s="44"/>
      <c r="C99" s="447"/>
      <c r="D99" s="44"/>
      <c r="E99" s="45"/>
      <c r="F99" s="45"/>
      <c r="G99" s="46"/>
      <c r="H99" s="46"/>
      <c r="I99" s="48"/>
      <c r="J99" s="85"/>
      <c r="K99" s="85"/>
      <c r="L99" s="603"/>
      <c r="M99" s="38"/>
      <c r="N99" s="49"/>
      <c r="O99" s="50"/>
      <c r="P99" s="51"/>
      <c r="Q99" s="50"/>
      <c r="R99" s="503"/>
      <c r="S99" s="503"/>
      <c r="T99" s="40"/>
      <c r="U99" s="40"/>
      <c r="V99" s="40"/>
      <c r="W99" s="40"/>
      <c r="X99" s="41"/>
      <c r="Y99" s="214"/>
      <c r="Z99" s="40"/>
      <c r="AA99" s="40"/>
      <c r="AB99" s="40"/>
      <c r="AC99" s="40"/>
      <c r="AD99" s="40"/>
      <c r="AE99" s="233"/>
      <c r="AF99" s="40"/>
      <c r="AG99" s="40"/>
      <c r="AH99" s="40"/>
      <c r="AI99" s="505"/>
      <c r="AJ99" s="40"/>
      <c r="AK99" s="40"/>
      <c r="AL99" s="40"/>
      <c r="AM99" s="40"/>
      <c r="AN99" s="86"/>
      <c r="AO99" s="40"/>
      <c r="AP99" s="40"/>
      <c r="AQ99" s="40"/>
      <c r="AR99" s="40"/>
      <c r="AS99" s="40"/>
      <c r="AT99" s="40"/>
      <c r="AU99" s="40"/>
      <c r="AV99" s="40"/>
      <c r="AW99" s="40"/>
      <c r="AX99" s="40"/>
      <c r="AY99" s="40"/>
      <c r="AZ99" s="40"/>
      <c r="BA99" s="40"/>
      <c r="BB99" s="53"/>
      <c r="BC99" s="54"/>
      <c r="BD99" s="54"/>
      <c r="BE99" s="54"/>
      <c r="BF99" s="54"/>
    </row>
    <row r="100" spans="1:58" ht="12.75" customHeight="1">
      <c r="A100" s="43">
        <v>46099</v>
      </c>
      <c r="B100" s="44" t="s">
        <v>586</v>
      </c>
      <c r="C100" s="447">
        <f t="shared" ref="C100" si="165">(M100*E100*O100*Q100)/100000000</f>
        <v>8.7096176639999996</v>
      </c>
      <c r="D100" s="44" t="s">
        <v>425</v>
      </c>
      <c r="E100" s="45">
        <v>22</v>
      </c>
      <c r="F100" s="45">
        <v>1</v>
      </c>
      <c r="G100" s="502">
        <v>735</v>
      </c>
      <c r="H100" s="47">
        <f t="shared" ref="H100" si="166">+N100</f>
        <v>0.14000000000000001</v>
      </c>
      <c r="I100" s="48">
        <v>0.88</v>
      </c>
      <c r="J100" s="85">
        <f t="shared" ref="J100" si="167">E100*G100*(1-H100)*1440/1000000*2.75</f>
        <v>55.068551999999997</v>
      </c>
      <c r="K100" s="85">
        <f t="shared" ref="K100:K102" si="168">(IF(G100&lt;L100,L100,G100)*(1-IF(H100&lt;N100,H100,N100))*E100*O100*Q100)/100000000</f>
        <v>8.7096176639999996</v>
      </c>
      <c r="L100" s="603">
        <v>740</v>
      </c>
      <c r="M100" s="38">
        <v>636.4</v>
      </c>
      <c r="N100" s="49">
        <f t="shared" ref="N100" si="169">1-(M100/L100)</f>
        <v>0.14000000000000001</v>
      </c>
      <c r="O100" s="50">
        <f>+'Trim Rwd'!H56</f>
        <v>256</v>
      </c>
      <c r="P100" s="51">
        <f t="shared" ref="P100" si="170">O100*(Q100-R100-S100)</f>
        <v>61184</v>
      </c>
      <c r="Q100" s="50">
        <v>243</v>
      </c>
      <c r="R100" s="503">
        <v>0</v>
      </c>
      <c r="S100" s="503">
        <v>4</v>
      </c>
      <c r="T100" s="40">
        <f t="shared" ref="T100" si="171">E100*M100*O100*Q100/100000000</f>
        <v>8.7096176639999996</v>
      </c>
      <c r="U100" s="40">
        <f t="shared" ref="U100" si="172">E100*M100*O100*(Q100-R100-S100)/100000000</f>
        <v>8.5662494719999991</v>
      </c>
      <c r="V100" s="40">
        <f t="shared" ref="V100" si="173">E100*G100*(1-N100)*O100/100*(R100+S100)/1000000</f>
        <v>0.14239948799999999</v>
      </c>
      <c r="W100" s="40">
        <f>+'18'!K14/1000</f>
        <v>12.789</v>
      </c>
      <c r="X100" s="504">
        <f>SUM(W100:W103)/SUM(K100:K103)</f>
        <v>0.88917135028025607</v>
      </c>
      <c r="Y100" s="214">
        <v>0</v>
      </c>
      <c r="Z100" s="40">
        <v>0</v>
      </c>
      <c r="AA100" s="52">
        <f>SUM(U100:U103)-SUM(W100:W103)-SUM(Z100:Z103)-SUM(Y100:Y103)</f>
        <v>9.5341066476990477E-2</v>
      </c>
      <c r="AB100" s="52">
        <f>(SUM(K100:K103)-SUM(W100:W103)-SUM(Y100:Y103)-SUM(Z100:Z103)-SUM(AC100:AC103)-SUM(V100:V103))-AA100</f>
        <v>-0.11596957047698586</v>
      </c>
      <c r="AC100" s="40">
        <f>K100-T100</f>
        <v>0</v>
      </c>
      <c r="AD100" s="40">
        <f>+AM100+BA100</f>
        <v>6</v>
      </c>
      <c r="AE100" s="233" t="s">
        <v>486</v>
      </c>
      <c r="AF100" s="40">
        <v>6</v>
      </c>
      <c r="AG100" s="40"/>
      <c r="AH100" s="40"/>
      <c r="AI100" s="505"/>
      <c r="AJ100" s="40"/>
      <c r="AK100" s="40"/>
      <c r="AL100" s="40"/>
      <c r="AM100" s="40">
        <f>SUM(AF100:AL100)+AT100</f>
        <v>6</v>
      </c>
      <c r="AN100" s="40"/>
      <c r="AO100" s="40"/>
      <c r="AP100" s="40"/>
      <c r="AQ100" s="40"/>
      <c r="AR100" s="40">
        <f>SUM(AN100:AQ100)</f>
        <v>0</v>
      </c>
      <c r="AS100" s="40"/>
      <c r="AT100" s="40"/>
      <c r="AU100" s="40"/>
      <c r="AV100" s="40"/>
      <c r="AW100" s="40"/>
      <c r="AX100" s="40"/>
      <c r="AY100" s="40"/>
      <c r="AZ100" s="40"/>
      <c r="BA100" s="40">
        <f>+AR100+AS100+AU100+AV100+AX100</f>
        <v>0</v>
      </c>
      <c r="BB100" s="36">
        <v>2</v>
      </c>
      <c r="BC100" s="54"/>
      <c r="BD100" s="54"/>
      <c r="BE100" s="36"/>
      <c r="BF100" s="54"/>
    </row>
    <row r="101" spans="1:58" ht="12.95" customHeight="1">
      <c r="A101" s="43"/>
      <c r="B101" s="44" t="s">
        <v>423</v>
      </c>
      <c r="C101" s="447">
        <f>(M101*E101*O101*Q101)/100000000</f>
        <v>22.36198692</v>
      </c>
      <c r="D101" s="44" t="s">
        <v>425</v>
      </c>
      <c r="E101" s="45">
        <v>14</v>
      </c>
      <c r="F101" s="45">
        <v>1</v>
      </c>
      <c r="G101" s="502">
        <v>1275</v>
      </c>
      <c r="H101" s="47">
        <f>+N101</f>
        <v>0.21999999999999997</v>
      </c>
      <c r="I101" s="48">
        <v>0.88</v>
      </c>
      <c r="J101" s="85">
        <f>E101*G101*(1-H101)*1440/1000000*2.75</f>
        <v>55.135079999999995</v>
      </c>
      <c r="K101" s="85">
        <f t="shared" si="168"/>
        <v>26.554224059999999</v>
      </c>
      <c r="L101" s="603">
        <v>1073.7099023709902</v>
      </c>
      <c r="M101" s="38">
        <v>837.49372384937237</v>
      </c>
      <c r="N101" s="49">
        <f>1-(M101/L101)</f>
        <v>0.21999999999999997</v>
      </c>
      <c r="O101" s="50">
        <f>+'Trim Rwd'!H57</f>
        <v>266</v>
      </c>
      <c r="P101" s="51">
        <f>O101*(Q101-R101-S101)</f>
        <v>185402</v>
      </c>
      <c r="Q101" s="50">
        <v>717</v>
      </c>
      <c r="R101" s="503">
        <v>0</v>
      </c>
      <c r="S101" s="503">
        <v>20</v>
      </c>
      <c r="T101" s="40">
        <f>E101*M101*O101*Q101/100000000</f>
        <v>22.36198692</v>
      </c>
      <c r="U101" s="40">
        <f>E101*M101*O101*(Q101-R101-S101)/100000000</f>
        <v>21.73822159447699</v>
      </c>
      <c r="V101" s="40">
        <f>E101*G101*(1-N101)*O101/100*(R101+S101)/1000000</f>
        <v>0.74070360000000002</v>
      </c>
      <c r="W101" s="40">
        <f>+('18'!C8+'18'!C16+'18'!C25)/1000</f>
        <v>24.158000000000001</v>
      </c>
      <c r="X101" s="41"/>
      <c r="Y101" s="214"/>
      <c r="Z101" s="40"/>
      <c r="AA101" s="40"/>
      <c r="AB101" s="40"/>
      <c r="AC101" s="40">
        <f>K101-T101</f>
        <v>4.1922371399999996</v>
      </c>
      <c r="AD101" s="40">
        <f t="shared" ref="AD101:AD103" si="174">+AM101+BA101</f>
        <v>12</v>
      </c>
      <c r="AE101" s="233" t="s">
        <v>399</v>
      </c>
      <c r="AF101" s="40"/>
      <c r="AG101" s="40">
        <v>12</v>
      </c>
      <c r="AH101" s="40"/>
      <c r="AI101" s="505"/>
      <c r="AJ101" s="40"/>
      <c r="AK101" s="40"/>
      <c r="AL101" s="40"/>
      <c r="AM101" s="40">
        <f t="shared" ref="AM101:AM102" si="175">SUM(AF101:AL101)+AT101</f>
        <v>12</v>
      </c>
      <c r="AN101" s="86"/>
      <c r="AO101" s="40"/>
      <c r="AP101" s="40"/>
      <c r="AQ101" s="40"/>
      <c r="AR101" s="40">
        <f t="shared" ref="AR101:AR102" si="176">SUM(AN101:AQ101)</f>
        <v>0</v>
      </c>
      <c r="AS101" s="40"/>
      <c r="AT101" s="40"/>
      <c r="AU101" s="40"/>
      <c r="AV101" s="40"/>
      <c r="AW101" s="40"/>
      <c r="AX101" s="40"/>
      <c r="AY101" s="40"/>
      <c r="AZ101" s="40"/>
      <c r="BA101" s="40">
        <f t="shared" ref="BA101:BA102" si="177">+AR101+AS101+AU101+AV101+AX101</f>
        <v>0</v>
      </c>
      <c r="BB101" s="53"/>
      <c r="BC101" s="54">
        <v>6</v>
      </c>
      <c r="BD101" s="54"/>
      <c r="BE101" s="53"/>
      <c r="BF101" s="54"/>
    </row>
    <row r="102" spans="1:58" ht="12.95" customHeight="1">
      <c r="A102" s="43"/>
      <c r="B102" s="44" t="s">
        <v>423</v>
      </c>
      <c r="C102" s="447">
        <f>(M102*E102*O102*Q102)/100000000</f>
        <v>16.576560000000001</v>
      </c>
      <c r="D102" s="44" t="s">
        <v>425</v>
      </c>
      <c r="E102" s="45">
        <v>14</v>
      </c>
      <c r="F102" s="45">
        <v>1</v>
      </c>
      <c r="G102" s="598">
        <f>+L102</f>
        <v>1150</v>
      </c>
      <c r="H102" s="47">
        <f>+N102</f>
        <v>0.21999999999999997</v>
      </c>
      <c r="I102" s="48">
        <v>0.88</v>
      </c>
      <c r="J102" s="85">
        <f>E102*G102*(1-H102)*1440/1000000*2.75</f>
        <v>49.729680000000002</v>
      </c>
      <c r="K102" s="85">
        <f t="shared" si="168"/>
        <v>16.576560000000001</v>
      </c>
      <c r="L102" s="603">
        <v>1150</v>
      </c>
      <c r="M102" s="38">
        <f t="shared" ref="M102" si="178">+L102-L102*0.22</f>
        <v>897</v>
      </c>
      <c r="N102" s="49">
        <f>1-(M102/L102)</f>
        <v>0.21999999999999997</v>
      </c>
      <c r="O102" s="50">
        <f>+'Trim Rwd'!H58</f>
        <v>275</v>
      </c>
      <c r="P102" s="51">
        <f>O102*(Q102-R102-S102)</f>
        <v>126500</v>
      </c>
      <c r="Q102" s="50">
        <v>480</v>
      </c>
      <c r="R102" s="503">
        <v>0</v>
      </c>
      <c r="S102" s="503">
        <v>20</v>
      </c>
      <c r="T102" s="40">
        <f>E102*M102*O102*Q102/100000000</f>
        <v>16.576560000000001</v>
      </c>
      <c r="U102" s="40">
        <f>E102*M102*O102*(Q102-R102-S102)/100000000</f>
        <v>15.885870000000001</v>
      </c>
      <c r="V102" s="40">
        <f>E102*G102*(1-N102)*O102/100*(R102+S102)/1000000</f>
        <v>0.69069000000000003</v>
      </c>
      <c r="W102" s="40">
        <f>+'18'!C26/1000</f>
        <v>9.1479999999999997</v>
      </c>
      <c r="X102" s="41"/>
      <c r="Y102" s="214"/>
      <c r="Z102" s="40"/>
      <c r="AA102" s="40"/>
      <c r="AB102" s="40"/>
      <c r="AC102" s="40">
        <f>K102-T102</f>
        <v>0</v>
      </c>
      <c r="AD102" s="40">
        <f t="shared" si="174"/>
        <v>26</v>
      </c>
      <c r="AE102" s="233" t="s">
        <v>634</v>
      </c>
      <c r="AF102" s="36"/>
      <c r="AG102" s="36"/>
      <c r="AH102" s="36">
        <v>26</v>
      </c>
      <c r="AJ102" s="40"/>
      <c r="AK102" s="40"/>
      <c r="AL102" s="40"/>
      <c r="AM102" s="40">
        <f t="shared" si="175"/>
        <v>26</v>
      </c>
      <c r="AN102" s="40"/>
      <c r="AO102" s="40"/>
      <c r="AP102" s="40"/>
      <c r="AQ102" s="40"/>
      <c r="AR102" s="40">
        <f t="shared" si="176"/>
        <v>0</v>
      </c>
      <c r="AS102" s="40"/>
      <c r="AT102" s="40"/>
      <c r="AU102" s="40"/>
      <c r="AV102" s="40"/>
      <c r="AW102" s="40"/>
      <c r="AX102" s="40"/>
      <c r="AY102" s="40"/>
      <c r="AZ102" s="40"/>
      <c r="BA102" s="40">
        <f t="shared" si="177"/>
        <v>0</v>
      </c>
      <c r="BB102" s="36"/>
      <c r="BC102" s="506"/>
      <c r="BD102" s="506"/>
      <c r="BE102" s="36"/>
      <c r="BF102" s="506"/>
    </row>
    <row r="103" spans="1:58" ht="12.95" customHeight="1">
      <c r="A103" s="43"/>
      <c r="B103" s="44"/>
      <c r="C103" s="447"/>
      <c r="D103" s="44"/>
      <c r="E103" s="45"/>
      <c r="F103" s="45"/>
      <c r="G103" s="46"/>
      <c r="H103" s="47"/>
      <c r="I103" s="48"/>
      <c r="J103" s="85"/>
      <c r="K103" s="85"/>
      <c r="L103" s="603"/>
      <c r="M103" s="38"/>
      <c r="N103" s="49"/>
      <c r="O103" s="50"/>
      <c r="P103" s="51"/>
      <c r="Q103" s="37"/>
      <c r="R103" s="503"/>
      <c r="S103" s="503"/>
      <c r="T103" s="40"/>
      <c r="U103" s="40"/>
      <c r="V103" s="40"/>
      <c r="W103" s="40"/>
      <c r="X103" s="41"/>
      <c r="Y103" s="214"/>
      <c r="Z103" s="40"/>
      <c r="AA103" s="40"/>
      <c r="AB103" s="40"/>
      <c r="AC103" s="40"/>
      <c r="AD103" s="40">
        <f t="shared" si="174"/>
        <v>0</v>
      </c>
      <c r="AE103" s="236" t="s">
        <v>228</v>
      </c>
      <c r="AF103" s="40"/>
      <c r="AG103" s="40"/>
      <c r="AH103" s="40"/>
      <c r="AI103" s="505">
        <v>0</v>
      </c>
      <c r="AJ103" s="40"/>
      <c r="AK103" s="40"/>
      <c r="AL103" s="40"/>
      <c r="AM103" s="40">
        <f t="shared" ref="AM103" si="179">SUM(AF103:AL103)+AT103</f>
        <v>0</v>
      </c>
      <c r="AN103" s="40"/>
      <c r="AO103" s="40"/>
      <c r="AP103" s="40"/>
      <c r="AQ103" s="40"/>
      <c r="AR103" s="40">
        <f t="shared" ref="AR103" si="180">SUM(AN103:AQ103)</f>
        <v>0</v>
      </c>
      <c r="AS103" s="40"/>
      <c r="AT103" s="40"/>
      <c r="AU103" s="40"/>
      <c r="AV103" s="40"/>
      <c r="AW103" s="40"/>
      <c r="AX103" s="40"/>
      <c r="AY103" s="40"/>
      <c r="AZ103" s="40"/>
      <c r="BA103" s="40">
        <f t="shared" ref="BA103" si="181">+AR103+AS103+AU103+AV103+AX103</f>
        <v>0</v>
      </c>
      <c r="BB103" s="53"/>
      <c r="BC103" s="54"/>
      <c r="BD103" s="54"/>
      <c r="BE103" s="53"/>
      <c r="BF103" s="54"/>
    </row>
    <row r="104" spans="1:58" ht="12.95" customHeight="1">
      <c r="A104" s="43"/>
      <c r="B104" s="44"/>
      <c r="C104" s="447"/>
      <c r="D104" s="44"/>
      <c r="E104" s="45"/>
      <c r="F104" s="45"/>
      <c r="G104" s="46"/>
      <c r="H104" s="46"/>
      <c r="I104" s="48"/>
      <c r="J104" s="85"/>
      <c r="K104" s="85"/>
      <c r="L104" s="603"/>
      <c r="M104" s="38"/>
      <c r="N104" s="49"/>
      <c r="O104" s="50"/>
      <c r="P104" s="51"/>
      <c r="Q104" s="50"/>
      <c r="R104" s="503"/>
      <c r="S104" s="503"/>
      <c r="T104" s="40"/>
      <c r="U104" s="40"/>
      <c r="V104" s="40"/>
      <c r="W104" s="40"/>
      <c r="X104" s="504"/>
      <c r="Y104" s="214"/>
      <c r="Z104" s="40"/>
      <c r="AA104" s="52"/>
      <c r="AB104" s="52"/>
      <c r="AC104" s="40"/>
      <c r="AD104" s="40"/>
      <c r="AE104" s="233"/>
      <c r="AF104" s="40"/>
      <c r="AG104" s="40"/>
      <c r="AH104" s="40"/>
      <c r="AI104" s="505"/>
      <c r="AJ104" s="40"/>
      <c r="AK104" s="40"/>
      <c r="AL104" s="40"/>
      <c r="AM104" s="40"/>
      <c r="AN104" s="40"/>
      <c r="AO104" s="40"/>
      <c r="AP104" s="40"/>
      <c r="AQ104" s="40"/>
      <c r="AR104" s="40"/>
      <c r="AS104" s="40"/>
      <c r="AT104" s="40"/>
      <c r="AU104" s="40"/>
      <c r="AV104" s="40"/>
      <c r="AW104" s="40"/>
      <c r="AX104" s="40"/>
      <c r="AY104" s="40"/>
      <c r="AZ104" s="40"/>
      <c r="BA104" s="40"/>
      <c r="BB104" s="36"/>
      <c r="BC104" s="54"/>
      <c r="BD104" s="54"/>
      <c r="BE104" s="54"/>
      <c r="BF104" s="54"/>
    </row>
    <row r="105" spans="1:58" ht="12.75" customHeight="1">
      <c r="A105" s="43">
        <v>46100</v>
      </c>
      <c r="B105" s="44" t="s">
        <v>423</v>
      </c>
      <c r="C105" s="447">
        <f>(M105*E105*O105*Q105)/100000000</f>
        <v>49.729680000000002</v>
      </c>
      <c r="D105" s="44" t="s">
        <v>425</v>
      </c>
      <c r="E105" s="45">
        <v>14</v>
      </c>
      <c r="F105" s="45">
        <v>1</v>
      </c>
      <c r="G105" s="598">
        <f>+L105</f>
        <v>1150</v>
      </c>
      <c r="H105" s="47">
        <f>+N105</f>
        <v>0.21999999999999997</v>
      </c>
      <c r="I105" s="48">
        <v>0.88</v>
      </c>
      <c r="J105" s="85">
        <f>E105*G105*(1-H105)*1440/1000000*2.75</f>
        <v>49.729680000000002</v>
      </c>
      <c r="K105" s="85">
        <f t="shared" ref="K105" si="182">(IF(G105&lt;L105,L105,G105)*(1-IF(H105&lt;N105,H105,N105))*E105*O105*Q105)/100000000</f>
        <v>49.729680000000002</v>
      </c>
      <c r="L105" s="38">
        <v>1150</v>
      </c>
      <c r="M105" s="38">
        <v>897</v>
      </c>
      <c r="N105" s="49">
        <f>1-(M105/L105)</f>
        <v>0.21999999999999997</v>
      </c>
      <c r="O105" s="50">
        <f>+'Trim Rwd'!H60</f>
        <v>275</v>
      </c>
      <c r="P105" s="51">
        <f>O105*(Q105-R105-S105)</f>
        <v>383075</v>
      </c>
      <c r="Q105" s="50">
        <v>1440</v>
      </c>
      <c r="R105" s="503">
        <v>0</v>
      </c>
      <c r="S105" s="503">
        <v>47</v>
      </c>
      <c r="T105" s="40">
        <f>E105*M105*O105*Q105/100000000</f>
        <v>49.729680000000002</v>
      </c>
      <c r="U105" s="40">
        <f>E105*M105*O105*(Q105-R105-S105)/100000000</f>
        <v>48.106558499999998</v>
      </c>
      <c r="V105" s="40">
        <f>E105*G105*(1-N105)*O105/100*(R105+S105)/1000000</f>
        <v>1.6231215000000001</v>
      </c>
      <c r="W105" s="40">
        <f>+'19'!K34/1000</f>
        <v>47.469000000000001</v>
      </c>
      <c r="X105" s="504">
        <f>SUM(W105:W108)/SUM(K105:K108)</f>
        <v>0.95454062845367194</v>
      </c>
      <c r="Y105" s="214">
        <v>0</v>
      </c>
      <c r="Z105" s="40">
        <v>0</v>
      </c>
      <c r="AA105" s="52">
        <f>SUM(U105:U108)-SUM(W105:W108)-SUM(Z105:Z108)-SUM(Y105:Y108)</f>
        <v>0.63755849999999725</v>
      </c>
      <c r="AB105" s="52">
        <f>(SUM(K105:K108)-SUM(W105:W108)-SUM(Y105:Y108)-SUM(Z105:Z108)-SUM(AC105:AC108)-SUM(V105:V108))-AA105</f>
        <v>3.3306690738754696E-15</v>
      </c>
      <c r="AC105" s="40">
        <f>K105-T105</f>
        <v>0</v>
      </c>
      <c r="AD105" s="40">
        <f>+AM105+BA105</f>
        <v>15</v>
      </c>
      <c r="AE105" s="233" t="s">
        <v>488</v>
      </c>
      <c r="AF105" s="40">
        <v>15</v>
      </c>
      <c r="AG105" s="40"/>
      <c r="AH105" s="40"/>
      <c r="AI105" s="505"/>
      <c r="AJ105" s="40"/>
      <c r="AK105" s="40"/>
      <c r="AL105" s="40"/>
      <c r="AM105" s="40">
        <f>SUM(AF105:AL105)+AT105</f>
        <v>15</v>
      </c>
      <c r="AN105" s="40"/>
      <c r="AO105" s="40"/>
      <c r="AP105" s="40"/>
      <c r="AQ105" s="40"/>
      <c r="AR105" s="40">
        <f>SUM(AN105:AQ105)</f>
        <v>0</v>
      </c>
      <c r="AS105" s="40"/>
      <c r="AT105" s="40"/>
      <c r="AU105" s="40"/>
      <c r="AV105" s="40"/>
      <c r="AW105" s="40"/>
      <c r="AX105" s="40"/>
      <c r="AY105" s="40"/>
      <c r="AZ105" s="40"/>
      <c r="BA105" s="40">
        <f>+AR105+AS105+AU105+AV105+AX105</f>
        <v>0</v>
      </c>
      <c r="BB105" s="36">
        <v>3</v>
      </c>
      <c r="BC105" s="54"/>
      <c r="BD105" s="54"/>
      <c r="BE105" s="36"/>
      <c r="BF105" s="54"/>
    </row>
    <row r="106" spans="1:58" ht="12.95" customHeight="1">
      <c r="A106" s="43"/>
      <c r="B106" s="44"/>
      <c r="C106" s="447"/>
      <c r="D106" s="44"/>
      <c r="E106" s="45"/>
      <c r="F106" s="45"/>
      <c r="G106" s="502"/>
      <c r="H106" s="47"/>
      <c r="I106" s="48"/>
      <c r="J106" s="85"/>
      <c r="K106" s="85"/>
      <c r="L106" s="38"/>
      <c r="M106" s="38"/>
      <c r="N106" s="49"/>
      <c r="O106" s="50"/>
      <c r="P106" s="51"/>
      <c r="Q106" s="50"/>
      <c r="R106" s="503"/>
      <c r="S106" s="503"/>
      <c r="T106" s="40"/>
      <c r="U106" s="40"/>
      <c r="V106" s="40"/>
      <c r="W106" s="40"/>
      <c r="X106" s="41"/>
      <c r="Y106" s="214"/>
      <c r="Z106" s="40"/>
      <c r="AA106" s="40"/>
      <c r="AB106" s="40"/>
      <c r="AC106" s="40"/>
      <c r="AD106" s="40">
        <f t="shared" ref="AD106:AD108" si="183">+AM106+BA106</f>
        <v>9</v>
      </c>
      <c r="AE106" s="233" t="s">
        <v>489</v>
      </c>
      <c r="AF106" s="40"/>
      <c r="AG106" s="40">
        <v>9</v>
      </c>
      <c r="AH106" s="40"/>
      <c r="AI106" s="505"/>
      <c r="AJ106" s="40"/>
      <c r="AK106" s="40"/>
      <c r="AL106" s="40"/>
      <c r="AM106" s="40">
        <f t="shared" ref="AM106:AM108" si="184">SUM(AF106:AL106)+AT106</f>
        <v>9</v>
      </c>
      <c r="AN106" s="86"/>
      <c r="AO106" s="40"/>
      <c r="AP106" s="40"/>
      <c r="AQ106" s="40"/>
      <c r="AR106" s="40">
        <f t="shared" ref="AR106:AR108" si="185">SUM(AN106:AQ106)</f>
        <v>0</v>
      </c>
      <c r="AS106" s="40"/>
      <c r="AT106" s="40"/>
      <c r="AU106" s="40"/>
      <c r="AV106" s="40"/>
      <c r="AW106" s="40"/>
      <c r="AX106" s="40"/>
      <c r="AY106" s="40"/>
      <c r="AZ106" s="40"/>
      <c r="BA106" s="40">
        <f t="shared" ref="BA106:BA108" si="186">+AR106+AS106+AU106+AV106+AX106</f>
        <v>0</v>
      </c>
      <c r="BB106" s="53"/>
      <c r="BC106" s="54">
        <v>8</v>
      </c>
      <c r="BD106" s="54"/>
      <c r="BE106" s="53"/>
      <c r="BF106" s="54"/>
    </row>
    <row r="107" spans="1:58" ht="12.95" customHeight="1">
      <c r="A107" s="43"/>
      <c r="B107" s="44"/>
      <c r="C107" s="447"/>
      <c r="D107" s="44"/>
      <c r="E107" s="45"/>
      <c r="F107" s="45"/>
      <c r="G107" s="502"/>
      <c r="H107" s="47"/>
      <c r="I107" s="48"/>
      <c r="J107" s="85"/>
      <c r="K107" s="85"/>
      <c r="L107" s="38"/>
      <c r="M107" s="38"/>
      <c r="N107" s="49"/>
      <c r="O107" s="50"/>
      <c r="P107" s="51"/>
      <c r="Q107" s="50"/>
      <c r="R107" s="503"/>
      <c r="S107" s="503"/>
      <c r="T107" s="40"/>
      <c r="U107" s="40"/>
      <c r="V107" s="40"/>
      <c r="W107" s="40"/>
      <c r="X107" s="41"/>
      <c r="Y107" s="214"/>
      <c r="Z107" s="40"/>
      <c r="AA107" s="40"/>
      <c r="AB107" s="40"/>
      <c r="AC107" s="40"/>
      <c r="AD107" s="40">
        <f t="shared" si="183"/>
        <v>23</v>
      </c>
      <c r="AE107" s="233" t="s">
        <v>587</v>
      </c>
      <c r="AF107" s="36"/>
      <c r="AG107" s="36"/>
      <c r="AH107" s="36">
        <v>23</v>
      </c>
      <c r="AJ107" s="40"/>
      <c r="AK107" s="40"/>
      <c r="AL107" s="40"/>
      <c r="AM107" s="40">
        <f t="shared" si="184"/>
        <v>23</v>
      </c>
      <c r="AN107" s="40"/>
      <c r="AO107" s="40"/>
      <c r="AP107" s="40"/>
      <c r="AQ107" s="40"/>
      <c r="AR107" s="40">
        <f t="shared" si="185"/>
        <v>0</v>
      </c>
      <c r="AS107" s="40"/>
      <c r="AT107" s="40"/>
      <c r="AU107" s="40"/>
      <c r="AV107" s="40"/>
      <c r="AW107" s="40"/>
      <c r="AX107" s="40"/>
      <c r="AY107" s="40"/>
      <c r="AZ107" s="40"/>
      <c r="BA107" s="40">
        <f t="shared" si="186"/>
        <v>0</v>
      </c>
      <c r="BB107" s="36"/>
      <c r="BC107" s="506"/>
      <c r="BD107" s="506"/>
      <c r="BE107" s="36"/>
      <c r="BF107" s="506"/>
    </row>
    <row r="108" spans="1:58" ht="12.95" customHeight="1">
      <c r="A108" s="43"/>
      <c r="B108" s="44"/>
      <c r="C108" s="447"/>
      <c r="D108" s="44"/>
      <c r="E108" s="45"/>
      <c r="F108" s="45"/>
      <c r="G108" s="46"/>
      <c r="H108" s="47"/>
      <c r="I108" s="48"/>
      <c r="J108" s="85"/>
      <c r="K108" s="85"/>
      <c r="L108" s="38"/>
      <c r="M108" s="38"/>
      <c r="N108" s="49"/>
      <c r="O108" s="50"/>
      <c r="P108" s="51"/>
      <c r="Q108" s="37"/>
      <c r="R108" s="503"/>
      <c r="S108" s="503"/>
      <c r="T108" s="40"/>
      <c r="U108" s="40"/>
      <c r="V108" s="40"/>
      <c r="W108" s="40"/>
      <c r="X108" s="41"/>
      <c r="Y108" s="214"/>
      <c r="Z108" s="40"/>
      <c r="AA108" s="40"/>
      <c r="AB108" s="40"/>
      <c r="AC108" s="40"/>
      <c r="AD108" s="40">
        <f t="shared" si="183"/>
        <v>0</v>
      </c>
      <c r="AE108" s="236" t="s">
        <v>228</v>
      </c>
      <c r="AF108" s="40"/>
      <c r="AG108" s="40"/>
      <c r="AH108" s="40"/>
      <c r="AI108" s="505">
        <v>0</v>
      </c>
      <c r="AJ108" s="40"/>
      <c r="AK108" s="40"/>
      <c r="AL108" s="40"/>
      <c r="AM108" s="40">
        <f t="shared" si="184"/>
        <v>0</v>
      </c>
      <c r="AN108" s="40"/>
      <c r="AO108" s="40"/>
      <c r="AP108" s="40"/>
      <c r="AQ108" s="40"/>
      <c r="AR108" s="40">
        <f t="shared" si="185"/>
        <v>0</v>
      </c>
      <c r="AS108" s="40"/>
      <c r="AT108" s="40"/>
      <c r="AU108" s="40"/>
      <c r="AV108" s="40"/>
      <c r="AW108" s="40"/>
      <c r="AX108" s="40"/>
      <c r="AY108" s="40"/>
      <c r="AZ108" s="40"/>
      <c r="BA108" s="40">
        <f t="shared" si="186"/>
        <v>0</v>
      </c>
      <c r="BB108" s="53"/>
      <c r="BC108" s="54"/>
      <c r="BD108" s="54"/>
      <c r="BE108" s="53"/>
      <c r="BF108" s="54"/>
    </row>
    <row r="109" spans="1:58" ht="12.95" customHeight="1">
      <c r="A109" s="43"/>
      <c r="B109" s="44"/>
      <c r="C109" s="447"/>
      <c r="D109" s="44"/>
      <c r="E109" s="45"/>
      <c r="F109" s="45"/>
      <c r="G109" s="46"/>
      <c r="H109" s="46"/>
      <c r="I109" s="48"/>
      <c r="J109" s="85"/>
      <c r="K109" s="85"/>
      <c r="L109" s="38"/>
      <c r="M109" s="38"/>
      <c r="N109" s="49"/>
      <c r="O109" s="50"/>
      <c r="P109" s="51"/>
      <c r="Q109" s="50"/>
      <c r="R109" s="503"/>
      <c r="S109" s="503"/>
      <c r="T109" s="40"/>
      <c r="U109" s="40"/>
      <c r="V109" s="40"/>
      <c r="W109" s="40"/>
      <c r="X109" s="41"/>
      <c r="Y109" s="214"/>
      <c r="Z109" s="40"/>
      <c r="AA109" s="40"/>
      <c r="AB109" s="40"/>
      <c r="AC109" s="40"/>
      <c r="AD109" s="40"/>
      <c r="AE109" s="233"/>
      <c r="AF109" s="40"/>
      <c r="AG109" s="40"/>
      <c r="AH109" s="40"/>
      <c r="AI109" s="505"/>
      <c r="AJ109" s="40"/>
      <c r="AK109" s="40"/>
      <c r="AL109" s="40"/>
      <c r="AM109" s="40"/>
      <c r="AN109" s="86"/>
      <c r="AO109" s="40"/>
      <c r="AP109" s="40"/>
      <c r="AQ109" s="40"/>
      <c r="AR109" s="40"/>
      <c r="AS109" s="40"/>
      <c r="AT109" s="40"/>
      <c r="AU109" s="40"/>
      <c r="AV109" s="40"/>
      <c r="AW109" s="40"/>
      <c r="AX109" s="40"/>
      <c r="AY109" s="40"/>
      <c r="AZ109" s="40"/>
      <c r="BA109" s="40"/>
      <c r="BB109" s="53"/>
      <c r="BC109" s="54"/>
      <c r="BD109" s="54"/>
      <c r="BE109" s="54"/>
      <c r="BF109" s="54"/>
    </row>
    <row r="110" spans="1:58" ht="12.75" customHeight="1">
      <c r="A110" s="43">
        <v>46101</v>
      </c>
      <c r="B110" s="44" t="s">
        <v>423</v>
      </c>
      <c r="C110" s="447">
        <f>(M110*E110*O110*Q110)/100000000</f>
        <v>50.99796156</v>
      </c>
      <c r="D110" s="44" t="s">
        <v>425</v>
      </c>
      <c r="E110" s="45">
        <v>14</v>
      </c>
      <c r="F110" s="45">
        <v>1</v>
      </c>
      <c r="G110" s="598">
        <f>+L110</f>
        <v>1196.7361111111111</v>
      </c>
      <c r="H110" s="47">
        <f>+N110</f>
        <v>0.21999999999999997</v>
      </c>
      <c r="I110" s="48">
        <v>0.88</v>
      </c>
      <c r="J110" s="85">
        <f>E110*G110*(1-H110)*1440/1000000*2.75</f>
        <v>51.750698999999997</v>
      </c>
      <c r="K110" s="85">
        <f t="shared" ref="K110" si="187">(IF(G110&lt;L110,L110,G110)*(1-IF(H110&lt;N110,H110,N110))*E110*O110*Q110)/100000000</f>
        <v>50.99796156</v>
      </c>
      <c r="L110" s="38">
        <v>1196.7361111111111</v>
      </c>
      <c r="M110" s="38">
        <v>933.45416666666665</v>
      </c>
      <c r="N110" s="49">
        <f>1-(M110/L110)</f>
        <v>0.21999999999999997</v>
      </c>
      <c r="O110" s="50">
        <f>+'Trim Rwd'!H62</f>
        <v>271</v>
      </c>
      <c r="P110" s="51">
        <f>O110*(Q110-R110-S110)</f>
        <v>372625</v>
      </c>
      <c r="Q110" s="50">
        <v>1440</v>
      </c>
      <c r="R110" s="503">
        <v>0</v>
      </c>
      <c r="S110" s="503">
        <v>65</v>
      </c>
      <c r="T110" s="40">
        <f>E110*M110*O110*Q110/100000000</f>
        <v>50.99796156</v>
      </c>
      <c r="U110" s="40">
        <f>E110*M110*O110*(Q110-R110-S110)/100000000</f>
        <v>48.695970239583332</v>
      </c>
      <c r="V110" s="40">
        <f>E110*G110*(1-N110)*O110/100*(R110+S110)/1000000</f>
        <v>2.3019913204166671</v>
      </c>
      <c r="W110" s="40">
        <f>+'20'!K7/1000</f>
        <v>45.683999999999997</v>
      </c>
      <c r="X110" s="504">
        <f>SUM(W110:W113)/SUM(K110:K113)</f>
        <v>0.89580051050181619</v>
      </c>
      <c r="Y110" s="214">
        <v>0</v>
      </c>
      <c r="Z110" s="40">
        <v>0</v>
      </c>
      <c r="AA110" s="52">
        <f>SUM(U110:U113)-SUM(W110:W113)-SUM(Z110:Z113)-SUM(Y110:Y113)</f>
        <v>3.0119702395833343</v>
      </c>
      <c r="AB110" s="52">
        <f>(SUM(K110:K113)-SUM(W110:W113)-SUM(Y110:Y113)-SUM(Z110:Z113)-SUM(AC110:AC113)-SUM(V110:V113))-AA110</f>
        <v>0</v>
      </c>
      <c r="AC110" s="40">
        <f>K110-T110</f>
        <v>0</v>
      </c>
      <c r="AD110" s="40">
        <f>+AM110+BA110</f>
        <v>5</v>
      </c>
      <c r="AE110" s="233" t="s">
        <v>453</v>
      </c>
      <c r="AF110" s="40">
        <v>5</v>
      </c>
      <c r="AG110" s="40"/>
      <c r="AH110" s="40"/>
      <c r="AI110" s="505"/>
      <c r="AJ110" s="40"/>
      <c r="AK110" s="40"/>
      <c r="AL110" s="40"/>
      <c r="AM110" s="40">
        <f>SUM(AF110:AL110)+AT110</f>
        <v>5</v>
      </c>
      <c r="AN110" s="40"/>
      <c r="AO110" s="40"/>
      <c r="AP110" s="40"/>
      <c r="AQ110" s="40"/>
      <c r="AR110" s="40">
        <f>SUM(AN110:AQ110)</f>
        <v>0</v>
      </c>
      <c r="AS110" s="40"/>
      <c r="AT110" s="40"/>
      <c r="AU110" s="40"/>
      <c r="AV110" s="40"/>
      <c r="AW110" s="40"/>
      <c r="AX110" s="40"/>
      <c r="AY110" s="40"/>
      <c r="AZ110" s="40"/>
      <c r="BA110" s="40">
        <f>+AR110+AS110+AU110+AV110+AX110</f>
        <v>0</v>
      </c>
      <c r="BB110" s="36">
        <v>1</v>
      </c>
      <c r="BC110" s="54"/>
      <c r="BD110" s="54"/>
      <c r="BE110" s="36"/>
      <c r="BF110" s="54"/>
    </row>
    <row r="111" spans="1:58" ht="12.95" customHeight="1">
      <c r="A111" s="43"/>
      <c r="B111" s="44"/>
      <c r="C111" s="447"/>
      <c r="D111" s="44"/>
      <c r="E111" s="45"/>
      <c r="F111" s="45"/>
      <c r="G111" s="502"/>
      <c r="H111" s="47"/>
      <c r="I111" s="48"/>
      <c r="J111" s="85"/>
      <c r="K111" s="85"/>
      <c r="L111" s="38"/>
      <c r="M111" s="38"/>
      <c r="N111" s="49"/>
      <c r="O111" s="50"/>
      <c r="P111" s="51"/>
      <c r="Q111" s="50"/>
      <c r="R111" s="503"/>
      <c r="S111" s="503"/>
      <c r="T111" s="40"/>
      <c r="U111" s="40"/>
      <c r="V111" s="40"/>
      <c r="W111" s="40"/>
      <c r="X111" s="41"/>
      <c r="Y111" s="214"/>
      <c r="Z111" s="40"/>
      <c r="AA111" s="40"/>
      <c r="AB111" s="40"/>
      <c r="AC111" s="40"/>
      <c r="AD111" s="40">
        <f t="shared" ref="AD111:AD113" si="188">+AM111+BA111</f>
        <v>22</v>
      </c>
      <c r="AE111" s="233" t="s">
        <v>461</v>
      </c>
      <c r="AF111" s="40"/>
      <c r="AG111" s="40">
        <v>22</v>
      </c>
      <c r="AH111" s="40"/>
      <c r="AI111" s="505"/>
      <c r="AJ111" s="40"/>
      <c r="AK111" s="40"/>
      <c r="AL111" s="40"/>
      <c r="AM111" s="40">
        <f t="shared" ref="AM111:AM113" si="189">SUM(AF111:AL111)+AT111</f>
        <v>22</v>
      </c>
      <c r="AN111" s="86"/>
      <c r="AO111" s="40"/>
      <c r="AP111" s="40"/>
      <c r="AQ111" s="40"/>
      <c r="AR111" s="40">
        <f t="shared" ref="AR111:AR113" si="190">SUM(AN111:AQ111)</f>
        <v>0</v>
      </c>
      <c r="AS111" s="40"/>
      <c r="AT111" s="40"/>
      <c r="AU111" s="40"/>
      <c r="AV111" s="40"/>
      <c r="AW111" s="40"/>
      <c r="AX111" s="40"/>
      <c r="AY111" s="40"/>
      <c r="AZ111" s="40"/>
      <c r="BA111" s="40">
        <f t="shared" ref="BA111:BA113" si="191">+AR111+AS111+AU111+AV111+AX111</f>
        <v>0</v>
      </c>
      <c r="BB111" s="53"/>
      <c r="BC111" s="54">
        <v>13</v>
      </c>
      <c r="BD111" s="54"/>
      <c r="BE111" s="53"/>
      <c r="BF111" s="54"/>
    </row>
    <row r="112" spans="1:58" ht="12.95" customHeight="1">
      <c r="A112" s="43"/>
      <c r="B112" s="44"/>
      <c r="C112" s="447"/>
      <c r="D112" s="44"/>
      <c r="E112" s="45"/>
      <c r="F112" s="45"/>
      <c r="G112" s="502"/>
      <c r="H112" s="47"/>
      <c r="I112" s="48"/>
      <c r="J112" s="85"/>
      <c r="K112" s="85"/>
      <c r="L112" s="38"/>
      <c r="M112" s="38"/>
      <c r="N112" s="49"/>
      <c r="O112" s="50"/>
      <c r="P112" s="51"/>
      <c r="Q112" s="50"/>
      <c r="R112" s="503"/>
      <c r="S112" s="503"/>
      <c r="T112" s="40"/>
      <c r="U112" s="40"/>
      <c r="V112" s="40"/>
      <c r="W112" s="40"/>
      <c r="X112" s="41"/>
      <c r="Y112" s="214"/>
      <c r="Z112" s="40"/>
      <c r="AA112" s="40"/>
      <c r="AB112" s="40"/>
      <c r="AC112" s="40"/>
      <c r="AD112" s="40">
        <f t="shared" si="188"/>
        <v>23</v>
      </c>
      <c r="AE112" s="233" t="s">
        <v>475</v>
      </c>
      <c r="AF112" s="36"/>
      <c r="AG112" s="36"/>
      <c r="AH112" s="36">
        <v>23</v>
      </c>
      <c r="AJ112" s="40"/>
      <c r="AK112" s="40"/>
      <c r="AL112" s="40"/>
      <c r="AM112" s="40">
        <f t="shared" si="189"/>
        <v>23</v>
      </c>
      <c r="AN112" s="40"/>
      <c r="AO112" s="40"/>
      <c r="AP112" s="40"/>
      <c r="AQ112" s="40"/>
      <c r="AR112" s="40">
        <f t="shared" si="190"/>
        <v>0</v>
      </c>
      <c r="AS112" s="40"/>
      <c r="AT112" s="40"/>
      <c r="AU112" s="40"/>
      <c r="AV112" s="40"/>
      <c r="AW112" s="40"/>
      <c r="AX112" s="40"/>
      <c r="AY112" s="40"/>
      <c r="AZ112" s="40"/>
      <c r="BA112" s="40">
        <f t="shared" si="191"/>
        <v>0</v>
      </c>
      <c r="BB112" s="36"/>
      <c r="BC112" s="506"/>
      <c r="BD112" s="506"/>
      <c r="BE112" s="36"/>
      <c r="BF112" s="506"/>
    </row>
    <row r="113" spans="1:58" ht="12.95" customHeight="1">
      <c r="A113" s="43"/>
      <c r="B113" s="44"/>
      <c r="C113" s="447"/>
      <c r="D113" s="44"/>
      <c r="E113" s="45"/>
      <c r="F113" s="45"/>
      <c r="G113" s="46"/>
      <c r="H113" s="47"/>
      <c r="I113" s="48"/>
      <c r="J113" s="85"/>
      <c r="K113" s="85"/>
      <c r="L113" s="38"/>
      <c r="M113" s="38"/>
      <c r="N113" s="49"/>
      <c r="O113" s="50"/>
      <c r="P113" s="51"/>
      <c r="Q113" s="37"/>
      <c r="R113" s="503"/>
      <c r="S113" s="503"/>
      <c r="T113" s="40"/>
      <c r="U113" s="40"/>
      <c r="V113" s="40"/>
      <c r="W113" s="40"/>
      <c r="X113" s="41"/>
      <c r="Y113" s="214"/>
      <c r="Z113" s="40"/>
      <c r="AA113" s="40"/>
      <c r="AB113" s="40"/>
      <c r="AC113" s="40"/>
      <c r="AD113" s="40">
        <f t="shared" si="188"/>
        <v>15</v>
      </c>
      <c r="AE113" s="236" t="s">
        <v>660</v>
      </c>
      <c r="AF113" s="40"/>
      <c r="AG113" s="40"/>
      <c r="AH113" s="40"/>
      <c r="AI113" s="505">
        <v>0</v>
      </c>
      <c r="AJ113" s="40">
        <v>15</v>
      </c>
      <c r="AK113" s="40"/>
      <c r="AL113" s="40"/>
      <c r="AM113" s="40">
        <f t="shared" si="189"/>
        <v>15</v>
      </c>
      <c r="AN113" s="40"/>
      <c r="AO113" s="40"/>
      <c r="AP113" s="40"/>
      <c r="AQ113" s="40"/>
      <c r="AR113" s="40">
        <f t="shared" si="190"/>
        <v>0</v>
      </c>
      <c r="AS113" s="40"/>
      <c r="AT113" s="40"/>
      <c r="AU113" s="40"/>
      <c r="AV113" s="40"/>
      <c r="AW113" s="40"/>
      <c r="AX113" s="40"/>
      <c r="AY113" s="40"/>
      <c r="AZ113" s="40"/>
      <c r="BA113" s="40">
        <f t="shared" si="191"/>
        <v>0</v>
      </c>
      <c r="BB113" s="53"/>
      <c r="BC113" s="54"/>
      <c r="BD113" s="54"/>
      <c r="BE113" s="53"/>
      <c r="BF113" s="54"/>
    </row>
    <row r="114" spans="1:58" ht="12.95" customHeight="1">
      <c r="A114" s="43"/>
      <c r="B114" s="44"/>
      <c r="C114" s="447"/>
      <c r="D114" s="44"/>
      <c r="E114" s="45"/>
      <c r="F114" s="45"/>
      <c r="G114" s="46"/>
      <c r="H114" s="46"/>
      <c r="I114" s="48"/>
      <c r="J114" s="85"/>
      <c r="K114" s="85"/>
      <c r="L114" s="38"/>
      <c r="M114" s="38"/>
      <c r="N114" s="49"/>
      <c r="O114" s="50"/>
      <c r="P114" s="51"/>
      <c r="Q114" s="50"/>
      <c r="R114" s="503"/>
      <c r="S114" s="503"/>
      <c r="T114" s="40"/>
      <c r="U114" s="40"/>
      <c r="V114" s="40"/>
      <c r="W114" s="40"/>
      <c r="X114" s="41"/>
      <c r="Y114" s="214"/>
      <c r="Z114" s="40"/>
      <c r="AA114" s="40"/>
      <c r="AB114" s="40"/>
      <c r="AC114" s="40"/>
      <c r="AD114" s="40"/>
      <c r="AE114" s="233"/>
      <c r="AF114" s="40"/>
      <c r="AG114" s="40"/>
      <c r="AH114" s="40"/>
      <c r="AI114" s="505"/>
      <c r="AJ114" s="40"/>
      <c r="AK114" s="40"/>
      <c r="AL114" s="40"/>
      <c r="AM114" s="40"/>
      <c r="AN114" s="86"/>
      <c r="AO114" s="40"/>
      <c r="AP114" s="40"/>
      <c r="AQ114" s="40"/>
      <c r="AR114" s="40"/>
      <c r="AS114" s="40"/>
      <c r="AT114" s="40"/>
      <c r="AU114" s="40"/>
      <c r="AV114" s="40"/>
      <c r="AW114" s="40"/>
      <c r="AX114" s="40"/>
      <c r="AY114" s="40"/>
      <c r="AZ114" s="40"/>
      <c r="BA114" s="40"/>
      <c r="BB114" s="53"/>
      <c r="BC114" s="54"/>
      <c r="BD114" s="54"/>
      <c r="BE114" s="54"/>
      <c r="BF114" s="54"/>
    </row>
    <row r="115" spans="1:58" ht="12.75" customHeight="1">
      <c r="A115" s="43">
        <v>46102</v>
      </c>
      <c r="B115" s="44" t="s">
        <v>423</v>
      </c>
      <c r="C115" s="447">
        <f>(M115*E115*O115*Q115)/100000000</f>
        <v>50.876729838805971</v>
      </c>
      <c r="D115" s="44" t="s">
        <v>425</v>
      </c>
      <c r="E115" s="45">
        <v>14</v>
      </c>
      <c r="F115" s="45">
        <v>1</v>
      </c>
      <c r="G115" s="598">
        <f>+L115</f>
        <v>1183.3333333333333</v>
      </c>
      <c r="H115" s="47">
        <f>+N115</f>
        <v>0.21999999999999997</v>
      </c>
      <c r="I115" s="48">
        <v>0.88</v>
      </c>
      <c r="J115" s="85">
        <f>E115*G115*(1-H115)*1440/1000000*2.75</f>
        <v>51.171119999999988</v>
      </c>
      <c r="K115" s="85">
        <f t="shared" ref="K115" si="192">(IF(G115&lt;L115,L115,G115)*(1-IF(H115&lt;N115,H115,N115))*E115*O115*Q115)/100000000</f>
        <v>50.876729838805971</v>
      </c>
      <c r="L115" s="38">
        <v>1183.3333333333333</v>
      </c>
      <c r="M115" s="38">
        <v>923</v>
      </c>
      <c r="N115" s="49">
        <f>1-(M115/L115)</f>
        <v>0.21999999999999997</v>
      </c>
      <c r="O115" s="50">
        <f>+'Trim Rwd'!H64</f>
        <v>273.41791044776119</v>
      </c>
      <c r="P115" s="51">
        <f>O115*(Q115-R115-S115)</f>
        <v>379777.4776119403</v>
      </c>
      <c r="Q115" s="50">
        <v>1440</v>
      </c>
      <c r="R115" s="503">
        <v>0</v>
      </c>
      <c r="S115" s="503">
        <v>51</v>
      </c>
      <c r="T115" s="40">
        <f>E115*M115*O115*Q115/100000000</f>
        <v>50.876729838805971</v>
      </c>
      <c r="U115" s="40">
        <f>E115*M115*O115*(Q115-R115-S115)/100000000</f>
        <v>49.074845657014926</v>
      </c>
      <c r="V115" s="40">
        <f>E115*G115*(1-N115)*O115/100*(R115+S115)/1000000</f>
        <v>1.8018841817910445</v>
      </c>
      <c r="W115" s="40">
        <f>+'21'!K7/1000</f>
        <v>47.493000000000002</v>
      </c>
      <c r="X115" s="504">
        <f>SUM(W115:W118)/SUM(K115:K118)</f>
        <v>0.93349160117942476</v>
      </c>
      <c r="Y115" s="214">
        <v>0</v>
      </c>
      <c r="Z115" s="40">
        <f>+'21'!D34/1000</f>
        <v>0.70399999999999996</v>
      </c>
      <c r="AA115" s="52">
        <f>SUM(U115:U118)-SUM(W115:W118)-SUM(Z115:Z118)-SUM(Y115:Y118)</f>
        <v>0.87784565701492379</v>
      </c>
      <c r="AB115" s="52">
        <f>(SUM(K115:K118)-SUM(W115:W118)-SUM(Y115:Y118)-SUM(Z115:Z118)-SUM(AC115:AC118)-SUM(V115:V118))-AA115</f>
        <v>1.3322676295501878E-15</v>
      </c>
      <c r="AC115" s="40">
        <f>K115-T115</f>
        <v>0</v>
      </c>
      <c r="AD115" s="40">
        <f>+AM115+BA115</f>
        <v>0</v>
      </c>
      <c r="AE115" s="233" t="s">
        <v>391</v>
      </c>
      <c r="AF115" s="40">
        <v>0</v>
      </c>
      <c r="AG115" s="40"/>
      <c r="AH115" s="40"/>
      <c r="AI115" s="505"/>
      <c r="AJ115" s="40"/>
      <c r="AK115" s="40"/>
      <c r="AL115" s="40"/>
      <c r="AM115" s="40">
        <f>SUM(AF115:AL115)+AT115</f>
        <v>0</v>
      </c>
      <c r="AN115" s="40"/>
      <c r="AO115" s="40"/>
      <c r="AP115" s="40"/>
      <c r="AQ115" s="40"/>
      <c r="AR115" s="40">
        <f>SUM(AN115:AQ115)</f>
        <v>0</v>
      </c>
      <c r="AS115" s="40"/>
      <c r="AT115" s="40"/>
      <c r="AU115" s="40"/>
      <c r="AV115" s="40"/>
      <c r="AW115" s="40"/>
      <c r="AX115" s="40"/>
      <c r="AY115" s="40"/>
      <c r="AZ115" s="40"/>
      <c r="BA115" s="40">
        <f>+AR115+AS115+AU115+AV115+AX115</f>
        <v>0</v>
      </c>
      <c r="BB115" s="36">
        <v>0</v>
      </c>
      <c r="BC115" s="54"/>
      <c r="BD115" s="54"/>
      <c r="BE115" s="36"/>
      <c r="BF115" s="54"/>
    </row>
    <row r="116" spans="1:58" ht="12.95" customHeight="1">
      <c r="A116" s="43"/>
      <c r="B116" s="44"/>
      <c r="C116" s="447"/>
      <c r="D116" s="44"/>
      <c r="E116" s="45"/>
      <c r="F116" s="45"/>
      <c r="G116" s="502"/>
      <c r="H116" s="47"/>
      <c r="I116" s="48"/>
      <c r="J116" s="85"/>
      <c r="K116" s="85"/>
      <c r="L116" s="38"/>
      <c r="M116" s="38"/>
      <c r="N116" s="49"/>
      <c r="O116" s="50"/>
      <c r="P116" s="51"/>
      <c r="Q116" s="50"/>
      <c r="R116" s="503"/>
      <c r="S116" s="503"/>
      <c r="T116" s="40"/>
      <c r="U116" s="40"/>
      <c r="V116" s="40"/>
      <c r="W116" s="40"/>
      <c r="X116" s="41"/>
      <c r="Y116" s="214"/>
      <c r="Z116" s="40"/>
      <c r="AA116" s="40"/>
      <c r="AB116" s="40"/>
      <c r="AC116" s="40"/>
      <c r="AD116" s="40">
        <f t="shared" ref="AD116:AD118" si="193">+AM116+BA116</f>
        <v>15</v>
      </c>
      <c r="AE116" s="233" t="s">
        <v>555</v>
      </c>
      <c r="AF116" s="40"/>
      <c r="AG116" s="40">
        <v>15</v>
      </c>
      <c r="AH116" s="40"/>
      <c r="AI116" s="505"/>
      <c r="AJ116" s="40"/>
      <c r="AK116" s="40"/>
      <c r="AL116" s="40"/>
      <c r="AM116" s="40">
        <f t="shared" ref="AM116:AM118" si="194">SUM(AF116:AL116)+AT116</f>
        <v>15</v>
      </c>
      <c r="AN116" s="86"/>
      <c r="AO116" s="40"/>
      <c r="AP116" s="40"/>
      <c r="AQ116" s="40"/>
      <c r="AR116" s="40">
        <f t="shared" ref="AR116:AR118" si="195">SUM(AN116:AQ116)</f>
        <v>0</v>
      </c>
      <c r="AS116" s="40"/>
      <c r="AT116" s="40"/>
      <c r="AU116" s="40"/>
      <c r="AV116" s="40"/>
      <c r="AW116" s="40"/>
      <c r="AX116" s="40"/>
      <c r="AY116" s="40"/>
      <c r="AZ116" s="40"/>
      <c r="BA116" s="40">
        <f t="shared" ref="BA116:BA118" si="196">+AR116+AS116+AU116+AV116+AX116</f>
        <v>0</v>
      </c>
      <c r="BB116" s="53"/>
      <c r="BC116" s="54">
        <v>10</v>
      </c>
      <c r="BD116" s="54"/>
      <c r="BE116" s="53"/>
      <c r="BF116" s="54"/>
    </row>
    <row r="117" spans="1:58" ht="12.95" customHeight="1">
      <c r="A117" s="43"/>
      <c r="B117" s="44"/>
      <c r="C117" s="447"/>
      <c r="D117" s="44"/>
      <c r="E117" s="45"/>
      <c r="F117" s="45"/>
      <c r="G117" s="502"/>
      <c r="H117" s="47"/>
      <c r="I117" s="48"/>
      <c r="J117" s="85"/>
      <c r="K117" s="85"/>
      <c r="L117" s="38"/>
      <c r="M117" s="38"/>
      <c r="N117" s="49"/>
      <c r="O117" s="50"/>
      <c r="P117" s="51"/>
      <c r="Q117" s="50"/>
      <c r="R117" s="503"/>
      <c r="S117" s="503"/>
      <c r="T117" s="40"/>
      <c r="U117" s="40"/>
      <c r="V117" s="40"/>
      <c r="W117" s="40"/>
      <c r="X117" s="41"/>
      <c r="Y117" s="214"/>
      <c r="Z117" s="40"/>
      <c r="AA117" s="40"/>
      <c r="AB117" s="40"/>
      <c r="AC117" s="40"/>
      <c r="AD117" s="40">
        <f t="shared" si="193"/>
        <v>23</v>
      </c>
      <c r="AE117" s="233" t="s">
        <v>475</v>
      </c>
      <c r="AF117" s="36"/>
      <c r="AG117" s="36"/>
      <c r="AH117" s="36">
        <v>23</v>
      </c>
      <c r="AJ117" s="40"/>
      <c r="AK117" s="40"/>
      <c r="AL117" s="40"/>
      <c r="AM117" s="40">
        <f t="shared" si="194"/>
        <v>23</v>
      </c>
      <c r="AN117" s="40"/>
      <c r="AO117" s="40"/>
      <c r="AP117" s="40"/>
      <c r="AQ117" s="40"/>
      <c r="AR117" s="40">
        <f t="shared" si="195"/>
        <v>0</v>
      </c>
      <c r="AS117" s="40"/>
      <c r="AT117" s="40"/>
      <c r="AU117" s="40"/>
      <c r="AV117" s="40"/>
      <c r="AW117" s="40"/>
      <c r="AX117" s="40"/>
      <c r="AY117" s="40"/>
      <c r="AZ117" s="40"/>
      <c r="BA117" s="40">
        <f t="shared" si="196"/>
        <v>0</v>
      </c>
      <c r="BB117" s="36"/>
      <c r="BC117" s="506"/>
      <c r="BD117" s="506"/>
      <c r="BE117" s="36"/>
      <c r="BF117" s="506"/>
    </row>
    <row r="118" spans="1:58" ht="12.95" customHeight="1">
      <c r="A118" s="43"/>
      <c r="B118" s="44"/>
      <c r="C118" s="447"/>
      <c r="D118" s="44"/>
      <c r="E118" s="45"/>
      <c r="F118" s="45"/>
      <c r="G118" s="46"/>
      <c r="H118" s="47"/>
      <c r="I118" s="48"/>
      <c r="J118" s="85"/>
      <c r="K118" s="85"/>
      <c r="L118" s="38"/>
      <c r="M118" s="38"/>
      <c r="N118" s="49"/>
      <c r="O118" s="50"/>
      <c r="P118" s="51"/>
      <c r="Q118" s="37"/>
      <c r="R118" s="503"/>
      <c r="S118" s="503"/>
      <c r="T118" s="40"/>
      <c r="U118" s="40"/>
      <c r="V118" s="40"/>
      <c r="W118" s="40"/>
      <c r="X118" s="41"/>
      <c r="Y118" s="214"/>
      <c r="Z118" s="40"/>
      <c r="AA118" s="40"/>
      <c r="AB118" s="40"/>
      <c r="AC118" s="40"/>
      <c r="AD118" s="40">
        <f t="shared" si="193"/>
        <v>13</v>
      </c>
      <c r="AE118" s="236" t="s">
        <v>228</v>
      </c>
      <c r="AF118" s="40"/>
      <c r="AG118" s="40"/>
      <c r="AH118" s="40"/>
      <c r="AI118" s="505">
        <v>13</v>
      </c>
      <c r="AJ118" s="40"/>
      <c r="AK118" s="40"/>
      <c r="AL118" s="40"/>
      <c r="AM118" s="40">
        <f t="shared" si="194"/>
        <v>13</v>
      </c>
      <c r="AN118" s="40"/>
      <c r="AO118" s="40"/>
      <c r="AP118" s="40"/>
      <c r="AQ118" s="40"/>
      <c r="AR118" s="40">
        <f t="shared" si="195"/>
        <v>0</v>
      </c>
      <c r="AS118" s="40"/>
      <c r="AT118" s="40"/>
      <c r="AU118" s="40"/>
      <c r="AV118" s="40"/>
      <c r="AW118" s="40"/>
      <c r="AX118" s="40"/>
      <c r="AY118" s="40"/>
      <c r="AZ118" s="40"/>
      <c r="BA118" s="40">
        <f t="shared" si="196"/>
        <v>0</v>
      </c>
      <c r="BB118" s="53"/>
      <c r="BC118" s="54"/>
      <c r="BD118" s="54"/>
      <c r="BE118" s="53"/>
      <c r="BF118" s="54"/>
    </row>
    <row r="119" spans="1:58" ht="12.95" customHeight="1">
      <c r="A119" s="43"/>
      <c r="B119" s="44"/>
      <c r="C119" s="447"/>
      <c r="D119" s="44"/>
      <c r="E119" s="45"/>
      <c r="F119" s="45"/>
      <c r="G119" s="46"/>
      <c r="H119" s="46"/>
      <c r="I119" s="48"/>
      <c r="J119" s="85"/>
      <c r="K119" s="85"/>
      <c r="L119" s="38"/>
      <c r="M119" s="38"/>
      <c r="N119" s="49"/>
      <c r="O119" s="50"/>
      <c r="P119" s="51"/>
      <c r="Q119" s="50"/>
      <c r="R119" s="503"/>
      <c r="S119" s="503"/>
      <c r="T119" s="40"/>
      <c r="U119" s="40"/>
      <c r="V119" s="40"/>
      <c r="W119" s="40"/>
      <c r="X119" s="504"/>
      <c r="Y119" s="214"/>
      <c r="Z119" s="40"/>
      <c r="AA119" s="52"/>
      <c r="AB119" s="52"/>
      <c r="AC119" s="40"/>
      <c r="AD119" s="40"/>
      <c r="AE119" s="233"/>
      <c r="AF119" s="40"/>
      <c r="AG119" s="40"/>
      <c r="AH119" s="40"/>
      <c r="AI119" s="505"/>
      <c r="AJ119" s="40"/>
      <c r="AK119" s="40"/>
      <c r="AL119" s="40"/>
      <c r="AM119" s="40"/>
      <c r="AN119" s="40"/>
      <c r="AO119" s="40"/>
      <c r="AP119" s="40"/>
      <c r="AQ119" s="40"/>
      <c r="AR119" s="40"/>
      <c r="AS119" s="40"/>
      <c r="AT119" s="40"/>
      <c r="AU119" s="40"/>
      <c r="AV119" s="40"/>
      <c r="AW119" s="40"/>
      <c r="AX119" s="40"/>
      <c r="AY119" s="40"/>
      <c r="AZ119" s="40"/>
      <c r="BA119" s="40"/>
      <c r="BB119" s="36"/>
      <c r="BC119" s="54"/>
      <c r="BD119" s="54"/>
      <c r="BE119" s="54"/>
      <c r="BF119" s="54"/>
    </row>
    <row r="120" spans="1:58" ht="12.75" customHeight="1">
      <c r="A120" s="43">
        <v>46103</v>
      </c>
      <c r="B120" s="44" t="s">
        <v>423</v>
      </c>
      <c r="C120" s="447">
        <f>(M120*E120*O120*Q120)/100000000</f>
        <v>22.979174400000002</v>
      </c>
      <c r="D120" s="44" t="s">
        <v>425</v>
      </c>
      <c r="E120" s="45">
        <v>14</v>
      </c>
      <c r="F120" s="45">
        <v>1</v>
      </c>
      <c r="G120" s="598">
        <f>+L120</f>
        <v>1200</v>
      </c>
      <c r="H120" s="47">
        <f>+N120</f>
        <v>0.21999999999999997</v>
      </c>
      <c r="I120" s="48">
        <v>0.88</v>
      </c>
      <c r="J120" s="85">
        <f>E120*G120*(1-H120)*1440/1000000*2.75</f>
        <v>51.891840000000002</v>
      </c>
      <c r="K120" s="85">
        <f t="shared" ref="K120:K121" si="197">(IF(G120&lt;L120,L120,G120)*(1-IF(H120&lt;N120,H120,N120))*E120*O120*Q120)/100000000</f>
        <v>22.979174400000002</v>
      </c>
      <c r="L120" s="38">
        <v>1200</v>
      </c>
      <c r="M120" s="38">
        <v>936</v>
      </c>
      <c r="N120" s="49">
        <f>1-(M120/L120)</f>
        <v>0.21999999999999997</v>
      </c>
      <c r="O120" s="50">
        <f>+'Trim Rwd'!H67</f>
        <v>274</v>
      </c>
      <c r="P120" s="51">
        <f>O120*(Q120-R120-S120)</f>
        <v>169606</v>
      </c>
      <c r="Q120" s="50">
        <v>640</v>
      </c>
      <c r="R120" s="503">
        <v>0</v>
      </c>
      <c r="S120" s="503">
        <v>21</v>
      </c>
      <c r="T120" s="40">
        <f>E120*M120*O120*Q120/100000000</f>
        <v>22.979174400000002</v>
      </c>
      <c r="U120" s="40">
        <f>E120*M120*O120*(Q120-R120-S120)/100000000</f>
        <v>22.225170240000001</v>
      </c>
      <c r="V120" s="40">
        <f>E120*G120*(1-N120)*O120/100*(R120+S120)/1000000</f>
        <v>0.75400416000000003</v>
      </c>
      <c r="W120" s="40">
        <f>+'22'!K7/1000</f>
        <v>25.29</v>
      </c>
      <c r="X120" s="504">
        <f>SUM(W120:W123)/SUM(K120:K123)</f>
        <v>0.94194678766189488</v>
      </c>
      <c r="Y120" s="214">
        <v>0</v>
      </c>
      <c r="Z120" s="40">
        <v>0</v>
      </c>
      <c r="AA120" s="52">
        <f>SUM(U120:U123)-SUM(W120:W123)-SUM(Z120:Z123)-SUM(Y120:Y123)</f>
        <v>1.0818080000000023</v>
      </c>
      <c r="AB120" s="52">
        <f>(SUM(K120:K123)-SUM(W120:W123)-SUM(Y120:Y123)-SUM(Z120:Z123)-SUM(AC120:AC123)-SUM(V120:V123))-AA120</f>
        <v>5.9952043329758453E-15</v>
      </c>
      <c r="AC120" s="40">
        <f>K120-T120</f>
        <v>0</v>
      </c>
      <c r="AD120" s="40">
        <f>+AM120+BA120</f>
        <v>9</v>
      </c>
      <c r="AE120" s="233" t="s">
        <v>488</v>
      </c>
      <c r="AF120" s="40">
        <v>9</v>
      </c>
      <c r="AG120" s="40"/>
      <c r="AH120" s="40"/>
      <c r="AI120" s="505"/>
      <c r="AJ120" s="40"/>
      <c r="AK120" s="40"/>
      <c r="AL120" s="40"/>
      <c r="AM120" s="40">
        <f>SUM(AF120:AL120)+AT120</f>
        <v>9</v>
      </c>
      <c r="AN120" s="40"/>
      <c r="AO120" s="40"/>
      <c r="AP120" s="40"/>
      <c r="AQ120" s="40"/>
      <c r="AR120" s="40">
        <f>SUM(AN120:AQ120)</f>
        <v>0</v>
      </c>
      <c r="AS120" s="40"/>
      <c r="AT120" s="40"/>
      <c r="AU120" s="40"/>
      <c r="AV120" s="40"/>
      <c r="AW120" s="40"/>
      <c r="AX120" s="40"/>
      <c r="AY120" s="40"/>
      <c r="AZ120" s="40"/>
      <c r="BA120" s="40">
        <f>+AR120+AS120+AU120+AV120+AX120</f>
        <v>0</v>
      </c>
      <c r="BB120" s="36">
        <v>3</v>
      </c>
      <c r="BC120" s="54"/>
      <c r="BD120" s="54"/>
      <c r="BE120" s="36"/>
      <c r="BF120" s="54"/>
    </row>
    <row r="121" spans="1:58" ht="12.95" customHeight="1">
      <c r="A121" s="43"/>
      <c r="B121" s="44" t="s">
        <v>423</v>
      </c>
      <c r="C121" s="447">
        <f>(M121*E121*O121*Q121)/100000000</f>
        <v>27.795456000000001</v>
      </c>
      <c r="D121" s="44" t="s">
        <v>425</v>
      </c>
      <c r="E121" s="45">
        <v>14.5</v>
      </c>
      <c r="F121" s="45">
        <v>1</v>
      </c>
      <c r="G121" s="598">
        <f>+L121</f>
        <v>1200</v>
      </c>
      <c r="H121" s="47">
        <f>+N121</f>
        <v>0.21999999999999997</v>
      </c>
      <c r="I121" s="48">
        <v>0.88</v>
      </c>
      <c r="J121" s="85">
        <f>E121*G121*(1-H121)*1440/1000000*2.75</f>
        <v>53.745119999999993</v>
      </c>
      <c r="K121" s="85">
        <f t="shared" si="197"/>
        <v>27.795456000000001</v>
      </c>
      <c r="L121" s="38">
        <v>1200</v>
      </c>
      <c r="M121" s="38">
        <v>936</v>
      </c>
      <c r="N121" s="49">
        <f>1-(M121/L121)</f>
        <v>0.21999999999999997</v>
      </c>
      <c r="O121" s="50">
        <f>+'Trim Rwd'!H68</f>
        <v>256</v>
      </c>
      <c r="P121" s="51">
        <f>O121*(Q121-R121-S121)</f>
        <v>196608</v>
      </c>
      <c r="Q121" s="50">
        <v>800</v>
      </c>
      <c r="R121" s="503">
        <v>0</v>
      </c>
      <c r="S121" s="503">
        <v>32</v>
      </c>
      <c r="T121" s="40">
        <f>E121*M121*O121*Q121/100000000</f>
        <v>27.795456000000001</v>
      </c>
      <c r="U121" s="40">
        <f>E121*M121*O121*(Q121-R121-S121)/100000000</f>
        <v>26.68363776</v>
      </c>
      <c r="V121" s="40">
        <f>E121*G121*(1-N121)*O121/100*(R121+S121)/1000000</f>
        <v>1.1118182400000001</v>
      </c>
      <c r="W121" s="40">
        <f>+'22'!K15/1000</f>
        <v>22.536999999999999</v>
      </c>
      <c r="X121" s="41"/>
      <c r="Y121" s="214"/>
      <c r="Z121" s="40"/>
      <c r="AA121" s="40"/>
      <c r="AB121" s="40"/>
      <c r="AC121" s="40">
        <f>K121-T121</f>
        <v>0</v>
      </c>
      <c r="AD121" s="40">
        <f t="shared" ref="AD121:AD123" si="198">+AM121+BA121</f>
        <v>10</v>
      </c>
      <c r="AE121" s="233" t="s">
        <v>457</v>
      </c>
      <c r="AF121" s="40"/>
      <c r="AG121" s="40">
        <v>10</v>
      </c>
      <c r="AH121" s="40"/>
      <c r="AI121" s="505"/>
      <c r="AJ121" s="40"/>
      <c r="AK121" s="40"/>
      <c r="AL121" s="40"/>
      <c r="AM121" s="40">
        <f t="shared" ref="AM121:AM123" si="199">SUM(AF121:AL121)+AT121</f>
        <v>10</v>
      </c>
      <c r="AN121" s="86"/>
      <c r="AO121" s="40"/>
      <c r="AP121" s="40"/>
      <c r="AQ121" s="40"/>
      <c r="AR121" s="40">
        <f t="shared" ref="AR121:AR123" si="200">SUM(AN121:AQ121)</f>
        <v>0</v>
      </c>
      <c r="AS121" s="40"/>
      <c r="AT121" s="40"/>
      <c r="AU121" s="40"/>
      <c r="AV121" s="40"/>
      <c r="AW121" s="40"/>
      <c r="AX121" s="40"/>
      <c r="AY121" s="40"/>
      <c r="AZ121" s="40"/>
      <c r="BA121" s="40">
        <f t="shared" ref="BA121:BA123" si="201">+AR121+AS121+AU121+AV121+AX121</f>
        <v>0</v>
      </c>
      <c r="BB121" s="53"/>
      <c r="BC121" s="54">
        <v>7</v>
      </c>
      <c r="BD121" s="54"/>
      <c r="BE121" s="53"/>
      <c r="BF121" s="54"/>
    </row>
    <row r="122" spans="1:58" ht="12.95" customHeight="1">
      <c r="A122" s="43"/>
      <c r="B122" s="44"/>
      <c r="C122" s="447"/>
      <c r="D122" s="44"/>
      <c r="E122" s="45"/>
      <c r="F122" s="45"/>
      <c r="G122" s="502"/>
      <c r="H122" s="47"/>
      <c r="I122" s="48"/>
      <c r="J122" s="85"/>
      <c r="K122" s="85"/>
      <c r="L122" s="38"/>
      <c r="M122" s="38"/>
      <c r="N122" s="49"/>
      <c r="O122" s="50"/>
      <c r="P122" s="51"/>
      <c r="Q122" s="50"/>
      <c r="R122" s="503"/>
      <c r="S122" s="503"/>
      <c r="T122" s="40"/>
      <c r="U122" s="40"/>
      <c r="V122" s="40"/>
      <c r="W122" s="40"/>
      <c r="X122" s="41"/>
      <c r="Y122" s="214"/>
      <c r="Z122" s="40"/>
      <c r="AA122" s="40"/>
      <c r="AB122" s="40"/>
      <c r="AC122" s="40"/>
      <c r="AD122" s="40">
        <f t="shared" si="198"/>
        <v>29</v>
      </c>
      <c r="AE122" s="233" t="s">
        <v>592</v>
      </c>
      <c r="AF122" s="36"/>
      <c r="AG122" s="36"/>
      <c r="AH122" s="36">
        <v>29</v>
      </c>
      <c r="AJ122" s="40"/>
      <c r="AK122" s="40"/>
      <c r="AL122" s="40"/>
      <c r="AM122" s="40">
        <f t="shared" si="199"/>
        <v>29</v>
      </c>
      <c r="AN122" s="40"/>
      <c r="AO122" s="40"/>
      <c r="AP122" s="40"/>
      <c r="AQ122" s="40"/>
      <c r="AR122" s="40">
        <f t="shared" si="200"/>
        <v>0</v>
      </c>
      <c r="AS122" s="40"/>
      <c r="AT122" s="40"/>
      <c r="AU122" s="40"/>
      <c r="AV122" s="40"/>
      <c r="AW122" s="40"/>
      <c r="AX122" s="40"/>
      <c r="AY122" s="40"/>
      <c r="AZ122" s="40"/>
      <c r="BA122" s="40">
        <f t="shared" si="201"/>
        <v>0</v>
      </c>
      <c r="BB122" s="36"/>
      <c r="BC122" s="506"/>
      <c r="BD122" s="506"/>
      <c r="BE122" s="36"/>
      <c r="BF122" s="506"/>
    </row>
    <row r="123" spans="1:58" ht="12.95" customHeight="1">
      <c r="A123" s="43"/>
      <c r="B123" s="44"/>
      <c r="C123" s="447"/>
      <c r="D123" s="44"/>
      <c r="E123" s="45"/>
      <c r="F123" s="45"/>
      <c r="G123" s="46"/>
      <c r="H123" s="47"/>
      <c r="I123" s="48"/>
      <c r="J123" s="85"/>
      <c r="K123" s="85"/>
      <c r="L123" s="38"/>
      <c r="M123" s="38"/>
      <c r="N123" s="49"/>
      <c r="O123" s="50"/>
      <c r="P123" s="51"/>
      <c r="Q123" s="37"/>
      <c r="R123" s="503"/>
      <c r="S123" s="503"/>
      <c r="T123" s="40"/>
      <c r="U123" s="40"/>
      <c r="V123" s="40"/>
      <c r="W123" s="40"/>
      <c r="X123" s="41"/>
      <c r="Y123" s="214"/>
      <c r="Z123" s="40"/>
      <c r="AA123" s="40"/>
      <c r="AB123" s="40"/>
      <c r="AC123" s="40"/>
      <c r="AD123" s="40">
        <f t="shared" si="198"/>
        <v>5</v>
      </c>
      <c r="AE123" s="236" t="s">
        <v>228</v>
      </c>
      <c r="AF123" s="40"/>
      <c r="AG123" s="40"/>
      <c r="AH123" s="40"/>
      <c r="AI123" s="505">
        <v>5</v>
      </c>
      <c r="AJ123" s="40"/>
      <c r="AK123" s="40"/>
      <c r="AL123" s="40"/>
      <c r="AM123" s="40">
        <f t="shared" si="199"/>
        <v>5</v>
      </c>
      <c r="AN123" s="40"/>
      <c r="AO123" s="40"/>
      <c r="AP123" s="40"/>
      <c r="AQ123" s="40"/>
      <c r="AR123" s="40">
        <f t="shared" si="200"/>
        <v>0</v>
      </c>
      <c r="AS123" s="40"/>
      <c r="AT123" s="40"/>
      <c r="AU123" s="40"/>
      <c r="AV123" s="40"/>
      <c r="AW123" s="40"/>
      <c r="AX123" s="40"/>
      <c r="AY123" s="40"/>
      <c r="AZ123" s="40"/>
      <c r="BA123" s="40">
        <f t="shared" si="201"/>
        <v>0</v>
      </c>
      <c r="BB123" s="53"/>
      <c r="BC123" s="54"/>
      <c r="BD123" s="54"/>
      <c r="BE123" s="53"/>
      <c r="BF123" s="54"/>
    </row>
    <row r="124" spans="1:58" ht="12.95" customHeight="1">
      <c r="A124" s="43"/>
      <c r="B124" s="44"/>
      <c r="C124" s="447"/>
      <c r="D124" s="44"/>
      <c r="E124" s="45"/>
      <c r="F124" s="45"/>
      <c r="G124" s="502"/>
      <c r="H124" s="47"/>
      <c r="I124" s="48"/>
      <c r="J124" s="85"/>
      <c r="K124" s="85"/>
      <c r="L124" s="38"/>
      <c r="M124" s="38"/>
      <c r="N124" s="49"/>
      <c r="O124" s="50"/>
      <c r="P124" s="51"/>
      <c r="Q124" s="50"/>
      <c r="R124" s="503"/>
      <c r="S124" s="503"/>
      <c r="T124" s="40"/>
      <c r="U124" s="40"/>
      <c r="V124" s="40"/>
      <c r="W124" s="40"/>
      <c r="X124" s="504"/>
      <c r="Y124" s="214"/>
      <c r="Z124" s="40"/>
      <c r="AA124" s="52"/>
      <c r="AB124" s="52"/>
      <c r="AC124" s="40"/>
      <c r="AD124" s="40"/>
      <c r="AE124" s="233"/>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36"/>
      <c r="BC124" s="54"/>
      <c r="BD124" s="54"/>
      <c r="BE124" s="54"/>
      <c r="BF124" s="54"/>
    </row>
    <row r="125" spans="1:58" ht="12.75" customHeight="1">
      <c r="A125" s="43">
        <v>46104</v>
      </c>
      <c r="B125" s="44" t="s">
        <v>423</v>
      </c>
      <c r="C125" s="447">
        <f>(M125*E125*O125*Q125)/100000000</f>
        <v>48.630466559999988</v>
      </c>
      <c r="D125" s="44" t="s">
        <v>425</v>
      </c>
      <c r="E125" s="45">
        <v>14.5</v>
      </c>
      <c r="F125" s="45">
        <v>1</v>
      </c>
      <c r="G125" s="598">
        <f>+L125</f>
        <v>1235</v>
      </c>
      <c r="H125" s="47">
        <f>+N125</f>
        <v>0.22000000000000008</v>
      </c>
      <c r="I125" s="48">
        <v>0.88</v>
      </c>
      <c r="J125" s="85">
        <f>E125*G125*(1-H125)*1440/1000000*2.75</f>
        <v>55.312685999999985</v>
      </c>
      <c r="K125" s="85">
        <f t="shared" ref="K125:K126" si="202">(IF(G125&lt;L125,L125,G125)*(1-IF(H125&lt;N125,H125,N125))*E125*O125*Q125)/100000000</f>
        <v>48.630466559999988</v>
      </c>
      <c r="L125" s="38">
        <v>1235</v>
      </c>
      <c r="M125" s="38">
        <v>963.3</v>
      </c>
      <c r="N125" s="49">
        <f>1-(M125/L125)</f>
        <v>0.22000000000000008</v>
      </c>
      <c r="O125" s="50">
        <f>+'Trim Rwd'!H70</f>
        <v>256</v>
      </c>
      <c r="P125" s="51">
        <f>O125*(Q125-R125-S125)</f>
        <v>335360</v>
      </c>
      <c r="Q125" s="50">
        <v>1360</v>
      </c>
      <c r="R125" s="503">
        <v>0</v>
      </c>
      <c r="S125" s="503">
        <v>50</v>
      </c>
      <c r="T125" s="40">
        <f>E125*M125*O125*Q125/100000000</f>
        <v>48.630466559999988</v>
      </c>
      <c r="U125" s="40">
        <f>E125*M125*O125*(Q125-R125-S125)/100000000</f>
        <v>46.842581759999987</v>
      </c>
      <c r="V125" s="40">
        <f>E125*G125*(1-N125)*O125/100*(R125+S125)/1000000</f>
        <v>1.7878847999999998</v>
      </c>
      <c r="W125" s="40">
        <f>+'23'!K15/1000</f>
        <v>4.7240000000000002</v>
      </c>
      <c r="X125" s="504">
        <f>SUM(W125:W128)/SUM(K125:K128)</f>
        <v>0.8961945696284046</v>
      </c>
      <c r="Y125" s="214">
        <v>0</v>
      </c>
      <c r="Z125" s="40">
        <v>0</v>
      </c>
      <c r="AA125" s="52">
        <f>SUM(U125:U128)-SUM(W125:W128)-SUM(Z125:Z128)-SUM(Y125:Y128)</f>
        <v>2.8762767599999819</v>
      </c>
      <c r="AB125" s="52">
        <f>(SUM(K125:K128)-SUM(W125:W128)-SUM(Y125:Y128)-SUM(Z125:Z128)-SUM(AC125:AC128)-SUM(V125:V128))-AA125</f>
        <v>0</v>
      </c>
      <c r="AC125" s="40">
        <f>K125-T125</f>
        <v>0</v>
      </c>
      <c r="AD125" s="40">
        <f>+AM125+BA125</f>
        <v>6</v>
      </c>
      <c r="AE125" s="233" t="s">
        <v>488</v>
      </c>
      <c r="AF125" s="40">
        <v>6</v>
      </c>
      <c r="AG125" s="40"/>
      <c r="AH125" s="40"/>
      <c r="AI125" s="505"/>
      <c r="AJ125" s="40"/>
      <c r="AK125" s="40"/>
      <c r="AL125" s="40"/>
      <c r="AM125" s="40">
        <f>SUM(AF125:AL125)+AT125</f>
        <v>6</v>
      </c>
      <c r="AN125" s="40"/>
      <c r="AO125" s="40"/>
      <c r="AP125" s="40"/>
      <c r="AQ125" s="40"/>
      <c r="AR125" s="40">
        <f>SUM(AN125:AQ125)</f>
        <v>0</v>
      </c>
      <c r="AS125" s="40"/>
      <c r="AT125" s="40"/>
      <c r="AU125" s="40"/>
      <c r="AV125" s="40"/>
      <c r="AW125" s="40"/>
      <c r="AX125" s="40"/>
      <c r="AY125" s="40"/>
      <c r="AZ125" s="40"/>
      <c r="BA125" s="40">
        <f>+AR125+AS125+AU125+AV125+AX125</f>
        <v>0</v>
      </c>
      <c r="BB125" s="36">
        <v>3</v>
      </c>
      <c r="BC125" s="54"/>
      <c r="BD125" s="54"/>
      <c r="BE125" s="36"/>
      <c r="BF125" s="54"/>
    </row>
    <row r="126" spans="1:58" ht="12.95" customHeight="1">
      <c r="A126" s="43"/>
      <c r="B126" s="44" t="s">
        <v>423</v>
      </c>
      <c r="C126" s="447">
        <f>(M126*E126*O126*Q126)/100000000</f>
        <v>2.6262599999999998</v>
      </c>
      <c r="D126" s="44" t="s">
        <v>425</v>
      </c>
      <c r="E126" s="45">
        <v>13</v>
      </c>
      <c r="F126" s="45">
        <v>1</v>
      </c>
      <c r="G126" s="598">
        <f>+L126</f>
        <v>1250</v>
      </c>
      <c r="H126" s="47">
        <f>+N126</f>
        <v>0.21999999999999997</v>
      </c>
      <c r="I126" s="48">
        <v>0.88</v>
      </c>
      <c r="J126" s="85">
        <f>E126*G126*(1-H126)*1440/1000000*2.75</f>
        <v>50.192999999999998</v>
      </c>
      <c r="K126" s="85">
        <f t="shared" si="202"/>
        <v>2.6262599999999998</v>
      </c>
      <c r="L126" s="38">
        <v>1250</v>
      </c>
      <c r="M126" s="38">
        <v>975</v>
      </c>
      <c r="N126" s="49">
        <f>1-(M126/L126)</f>
        <v>0.21999999999999997</v>
      </c>
      <c r="O126" s="50">
        <f>+'Trim Rwd'!H71</f>
        <v>259</v>
      </c>
      <c r="P126" s="51">
        <f>O126*(Q126-R126-S126)</f>
        <v>15540</v>
      </c>
      <c r="Q126" s="50">
        <v>80</v>
      </c>
      <c r="R126" s="503">
        <v>0</v>
      </c>
      <c r="S126" s="503">
        <v>20</v>
      </c>
      <c r="T126" s="40">
        <f>E126*M126*O126*Q126/100000000</f>
        <v>2.6262599999999998</v>
      </c>
      <c r="U126" s="40">
        <f>E126*M126*O126*(Q126-R126-S126)/100000000</f>
        <v>1.969695</v>
      </c>
      <c r="V126" s="40">
        <f>E126*G126*(1-N126)*O126/100*(R126+S126)/1000000</f>
        <v>0.65656499999999995</v>
      </c>
      <c r="W126" s="40">
        <f>+'23'!K16/1000</f>
        <v>41.212000000000003</v>
      </c>
      <c r="X126" s="41"/>
      <c r="Y126" s="214"/>
      <c r="Z126" s="40"/>
      <c r="AA126" s="40"/>
      <c r="AB126" s="40"/>
      <c r="AC126" s="40">
        <f>K126-T126</f>
        <v>0</v>
      </c>
      <c r="AD126" s="40">
        <f t="shared" ref="AD126:AD128" si="203">+AM126+BA126</f>
        <v>10</v>
      </c>
      <c r="AE126" s="233" t="s">
        <v>510</v>
      </c>
      <c r="AF126" s="40"/>
      <c r="AG126" s="40">
        <v>10</v>
      </c>
      <c r="AH126" s="40"/>
      <c r="AI126" s="505"/>
      <c r="AJ126" s="40"/>
      <c r="AK126" s="40"/>
      <c r="AL126" s="40"/>
      <c r="AM126" s="40">
        <f t="shared" ref="AM126:AM128" si="204">SUM(AF126:AL126)+AT126</f>
        <v>10</v>
      </c>
      <c r="AN126" s="86"/>
      <c r="AO126" s="40"/>
      <c r="AP126" s="40"/>
      <c r="AQ126" s="40"/>
      <c r="AR126" s="40">
        <f t="shared" ref="AR126:AR128" si="205">SUM(AN126:AQ126)</f>
        <v>0</v>
      </c>
      <c r="AS126" s="40"/>
      <c r="AT126" s="40"/>
      <c r="AU126" s="40"/>
      <c r="AV126" s="40"/>
      <c r="AW126" s="40"/>
      <c r="AX126" s="40"/>
      <c r="AY126" s="40"/>
      <c r="AZ126" s="40"/>
      <c r="BA126" s="40">
        <f t="shared" ref="BA126:BA128" si="206">+AR126+AS126+AU126+AV126+AX126</f>
        <v>0</v>
      </c>
      <c r="BB126" s="53"/>
      <c r="BC126" s="54">
        <v>9</v>
      </c>
      <c r="BD126" s="54"/>
      <c r="BE126" s="53"/>
      <c r="BF126" s="54"/>
    </row>
    <row r="127" spans="1:58" ht="12.95" customHeight="1">
      <c r="A127" s="43"/>
      <c r="B127" s="44"/>
      <c r="C127" s="447"/>
      <c r="D127" s="44"/>
      <c r="E127" s="45"/>
      <c r="F127" s="45"/>
      <c r="G127" s="502"/>
      <c r="H127" s="47"/>
      <c r="I127" s="48"/>
      <c r="J127" s="85"/>
      <c r="K127" s="85"/>
      <c r="L127" s="38"/>
      <c r="M127" s="38"/>
      <c r="N127" s="49"/>
      <c r="O127" s="50"/>
      <c r="P127" s="51"/>
      <c r="Q127" s="50"/>
      <c r="R127" s="503"/>
      <c r="S127" s="503"/>
      <c r="T127" s="40"/>
      <c r="U127" s="40"/>
      <c r="V127" s="40"/>
      <c r="W127" s="40"/>
      <c r="X127" s="41"/>
      <c r="Y127" s="214"/>
      <c r="Z127" s="40"/>
      <c r="AA127" s="40"/>
      <c r="AB127" s="40"/>
      <c r="AC127" s="40"/>
      <c r="AD127" s="40">
        <f t="shared" si="203"/>
        <v>46</v>
      </c>
      <c r="AE127" s="233" t="s">
        <v>634</v>
      </c>
      <c r="AF127" s="36"/>
      <c r="AG127" s="36"/>
      <c r="AH127" s="36">
        <v>46</v>
      </c>
      <c r="AJ127" s="40"/>
      <c r="AK127" s="40"/>
      <c r="AL127" s="40"/>
      <c r="AM127" s="40">
        <f t="shared" si="204"/>
        <v>46</v>
      </c>
      <c r="AN127" s="40"/>
      <c r="AO127" s="40"/>
      <c r="AP127" s="40"/>
      <c r="AQ127" s="40"/>
      <c r="AR127" s="40">
        <f t="shared" si="205"/>
        <v>0</v>
      </c>
      <c r="AS127" s="40"/>
      <c r="AT127" s="40"/>
      <c r="AU127" s="40"/>
      <c r="AV127" s="40"/>
      <c r="AW127" s="40"/>
      <c r="AX127" s="40"/>
      <c r="AY127" s="40"/>
      <c r="AZ127" s="40"/>
      <c r="BA127" s="40">
        <f t="shared" si="206"/>
        <v>0</v>
      </c>
      <c r="BB127" s="36"/>
      <c r="BC127" s="506"/>
      <c r="BD127" s="506"/>
      <c r="BE127" s="36"/>
      <c r="BF127" s="506"/>
    </row>
    <row r="128" spans="1:58" ht="12.95" customHeight="1">
      <c r="A128" s="43"/>
      <c r="B128" s="44"/>
      <c r="C128" s="447"/>
      <c r="D128" s="44"/>
      <c r="E128" s="45"/>
      <c r="F128" s="45"/>
      <c r="G128" s="46"/>
      <c r="H128" s="47"/>
      <c r="I128" s="48"/>
      <c r="J128" s="85"/>
      <c r="K128" s="85"/>
      <c r="L128" s="38"/>
      <c r="M128" s="38"/>
      <c r="N128" s="49"/>
      <c r="O128" s="50"/>
      <c r="P128" s="51"/>
      <c r="Q128" s="37"/>
      <c r="R128" s="503"/>
      <c r="S128" s="503"/>
      <c r="T128" s="40"/>
      <c r="U128" s="40"/>
      <c r="V128" s="40"/>
      <c r="W128" s="40"/>
      <c r="X128" s="41"/>
      <c r="Y128" s="214"/>
      <c r="Z128" s="40"/>
      <c r="AA128" s="40"/>
      <c r="AB128" s="40"/>
      <c r="AC128" s="40"/>
      <c r="AD128" s="40">
        <f t="shared" si="203"/>
        <v>8</v>
      </c>
      <c r="AE128" s="236" t="s">
        <v>228</v>
      </c>
      <c r="AF128" s="40"/>
      <c r="AG128" s="40"/>
      <c r="AH128" s="40"/>
      <c r="AI128" s="505">
        <v>8</v>
      </c>
      <c r="AJ128" s="40"/>
      <c r="AK128" s="40"/>
      <c r="AL128" s="40"/>
      <c r="AM128" s="40">
        <f t="shared" si="204"/>
        <v>8</v>
      </c>
      <c r="AN128" s="40"/>
      <c r="AO128" s="40"/>
      <c r="AP128" s="40"/>
      <c r="AQ128" s="40"/>
      <c r="AR128" s="40">
        <f t="shared" si="205"/>
        <v>0</v>
      </c>
      <c r="AS128" s="40"/>
      <c r="AT128" s="40"/>
      <c r="AU128" s="40"/>
      <c r="AV128" s="40"/>
      <c r="AW128" s="40"/>
      <c r="AX128" s="40"/>
      <c r="AY128" s="40"/>
      <c r="AZ128" s="40"/>
      <c r="BA128" s="40">
        <f t="shared" si="206"/>
        <v>0</v>
      </c>
      <c r="BB128" s="53"/>
      <c r="BC128" s="54"/>
      <c r="BD128" s="54"/>
      <c r="BE128" s="53"/>
      <c r="BF128" s="54"/>
    </row>
    <row r="129" spans="1:58" ht="12.95" customHeight="1">
      <c r="A129" s="43"/>
      <c r="B129" s="44"/>
      <c r="C129" s="447"/>
      <c r="D129" s="44"/>
      <c r="E129" s="45"/>
      <c r="F129" s="45"/>
      <c r="G129" s="46"/>
      <c r="H129" s="47"/>
      <c r="I129" s="48"/>
      <c r="J129" s="85"/>
      <c r="K129" s="85"/>
      <c r="L129" s="38"/>
      <c r="M129" s="38"/>
      <c r="N129" s="49"/>
      <c r="O129" s="50"/>
      <c r="P129" s="51"/>
      <c r="Q129" s="50"/>
      <c r="R129" s="503"/>
      <c r="S129" s="503"/>
      <c r="T129" s="40"/>
      <c r="U129" s="40"/>
      <c r="V129" s="40"/>
      <c r="W129" s="40"/>
      <c r="X129" s="504"/>
      <c r="Y129" s="214"/>
      <c r="Z129" s="40"/>
      <c r="AA129" s="52"/>
      <c r="AB129" s="52"/>
      <c r="AC129" s="40"/>
      <c r="AD129" s="40"/>
      <c r="AE129"/>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36"/>
      <c r="BC129" s="54"/>
      <c r="BD129" s="54"/>
      <c r="BE129" s="54"/>
      <c r="BF129" s="54"/>
    </row>
    <row r="130" spans="1:58" ht="12.75" customHeight="1">
      <c r="A130" s="43">
        <v>46105</v>
      </c>
      <c r="B130" s="44" t="s">
        <v>423</v>
      </c>
      <c r="C130" s="447">
        <f>(M130*E130*O130*Q130)/100000000</f>
        <v>10.2958011</v>
      </c>
      <c r="D130" s="44" t="s">
        <v>425</v>
      </c>
      <c r="E130" s="45">
        <v>13</v>
      </c>
      <c r="F130" s="45">
        <v>1</v>
      </c>
      <c r="G130" s="598">
        <f>+L130</f>
        <v>1270</v>
      </c>
      <c r="H130" s="47">
        <f>+N130</f>
        <v>0.21999999999999997</v>
      </c>
      <c r="I130" s="48">
        <v>0.88</v>
      </c>
      <c r="J130" s="85">
        <f>E130*G130*(1-H130)*1440/1000000*2.75</f>
        <v>50.996088</v>
      </c>
      <c r="K130" s="85">
        <f t="shared" ref="K130:K131" si="207">(IF(G130&lt;L130,L130,G130)*(1-IF(H130&lt;N130,H130,N130))*E130*O130*Q130)/100000000</f>
        <v>10.2958011</v>
      </c>
      <c r="L130" s="38">
        <v>1270</v>
      </c>
      <c r="M130" s="38">
        <v>990.6</v>
      </c>
      <c r="N130" s="49">
        <f>1-(M130/L130)</f>
        <v>0.21999999999999997</v>
      </c>
      <c r="O130" s="50">
        <f>+'Trim Rwd'!H73</f>
        <v>266.5</v>
      </c>
      <c r="P130" s="51">
        <f>O130*(Q130-R130-S130)</f>
        <v>74886.5</v>
      </c>
      <c r="Q130" s="50">
        <v>300</v>
      </c>
      <c r="R130" s="503">
        <v>0</v>
      </c>
      <c r="S130" s="503">
        <v>19</v>
      </c>
      <c r="T130" s="40">
        <f>E130*M130*O130*Q130/100000000</f>
        <v>10.2958011</v>
      </c>
      <c r="U130" s="40">
        <f>E130*M130*O130*(Q130-R130-S130)/100000000</f>
        <v>9.643733697</v>
      </c>
      <c r="V130" s="40">
        <f>E130*G130*(1-N130)*O130/100*(R130+S130)/1000000</f>
        <v>0.65206740299999988</v>
      </c>
      <c r="W130" s="40">
        <f>+'24'!K16/1000</f>
        <v>13.183</v>
      </c>
      <c r="X130" s="504">
        <f>SUM(W130:W133)/SUM(K130:K133)</f>
        <v>0.95579908542762404</v>
      </c>
      <c r="Y130" s="214">
        <v>0</v>
      </c>
      <c r="Z130" s="40">
        <v>0</v>
      </c>
      <c r="AA130" s="52">
        <f>SUM(U130:U133)-SUM(W130:W133)-SUM(Z130:Z133)-SUM(Y130:Y133)</f>
        <v>0.19601769700000204</v>
      </c>
      <c r="AB130" s="52">
        <f>(SUM(K130:K133)-SUM(W130:W133)-SUM(Y130:Y133)-SUM(Z130:Z133)-SUM(AC130:AC133)-SUM(V130:V133))-AA130</f>
        <v>-3.1086244689504383E-15</v>
      </c>
      <c r="AC130" s="40">
        <f>K130-T130</f>
        <v>0</v>
      </c>
      <c r="AD130" s="40">
        <f>+AM130+BA130</f>
        <v>0</v>
      </c>
      <c r="AE130" s="233" t="s">
        <v>391</v>
      </c>
      <c r="AF130" s="40">
        <v>0</v>
      </c>
      <c r="AG130" s="40"/>
      <c r="AH130" s="40"/>
      <c r="AI130" s="505"/>
      <c r="AJ130" s="40"/>
      <c r="AK130" s="40"/>
      <c r="AL130" s="40"/>
      <c r="AM130" s="40">
        <f>SUM(AF130:AL130)+AT130</f>
        <v>0</v>
      </c>
      <c r="AN130" s="40"/>
      <c r="AO130" s="40"/>
      <c r="AP130" s="40"/>
      <c r="AQ130" s="40"/>
      <c r="AR130" s="40">
        <f>SUM(AN130:AQ130)</f>
        <v>0</v>
      </c>
      <c r="AS130" s="40"/>
      <c r="AT130" s="40"/>
      <c r="AU130" s="40"/>
      <c r="AV130" s="40"/>
      <c r="AW130" s="40"/>
      <c r="AX130" s="40"/>
      <c r="AY130" s="40"/>
      <c r="AZ130" s="40"/>
      <c r="BA130" s="40">
        <f>+AR130+AS130+AU130+AV130+AX130</f>
        <v>0</v>
      </c>
      <c r="BB130" s="36">
        <v>0</v>
      </c>
      <c r="BC130" s="54"/>
      <c r="BD130" s="54"/>
      <c r="BE130" s="36"/>
      <c r="BF130" s="54"/>
    </row>
    <row r="131" spans="1:58" ht="12.95" customHeight="1">
      <c r="A131" s="43"/>
      <c r="B131" s="44" t="s">
        <v>423</v>
      </c>
      <c r="C131" s="447">
        <f>(M131*E131*O131*Q131)/100000000</f>
        <v>43.124421599999998</v>
      </c>
      <c r="D131" s="44" t="s">
        <v>425</v>
      </c>
      <c r="E131" s="45">
        <v>15</v>
      </c>
      <c r="F131" s="45">
        <v>1</v>
      </c>
      <c r="G131" s="598">
        <f>+L131</f>
        <v>1180</v>
      </c>
      <c r="H131" s="47">
        <f>+N131</f>
        <v>0.21999999999999997</v>
      </c>
      <c r="I131" s="48">
        <v>0.88</v>
      </c>
      <c r="J131" s="85">
        <f>E131*G131*(1-H131)*1440/1000000*2.75</f>
        <v>54.671759999999999</v>
      </c>
      <c r="K131" s="85">
        <f t="shared" si="207"/>
        <v>43.124421599999998</v>
      </c>
      <c r="L131" s="38">
        <v>1180</v>
      </c>
      <c r="M131" s="38">
        <v>920.4</v>
      </c>
      <c r="N131" s="49">
        <f>1-(M131/L131)</f>
        <v>0.21999999999999997</v>
      </c>
      <c r="O131" s="50">
        <f>+'Trim Rwd'!H75</f>
        <v>274</v>
      </c>
      <c r="P131" s="51">
        <f>O131*(Q131-R131-S131)</f>
        <v>301400</v>
      </c>
      <c r="Q131" s="50">
        <v>1140</v>
      </c>
      <c r="R131" s="503">
        <v>0</v>
      </c>
      <c r="S131" s="503">
        <v>40</v>
      </c>
      <c r="T131" s="40">
        <f>E131*M131*O131*Q131/100000000</f>
        <v>43.124421599999998</v>
      </c>
      <c r="U131" s="40">
        <f>E131*M131*O131*(Q131-R131-S131)/100000000</f>
        <v>41.611283999999998</v>
      </c>
      <c r="V131" s="40">
        <f>E131*G131*(1-N131)*O131/100*(R131+S131)/1000000</f>
        <v>1.5131376000000001</v>
      </c>
      <c r="W131" s="40">
        <f>+'24'!K17/1000</f>
        <v>37.875999999999998</v>
      </c>
      <c r="X131" s="41"/>
      <c r="Y131" s="214"/>
      <c r="Z131" s="40"/>
      <c r="AA131" s="40"/>
      <c r="AB131" s="40"/>
      <c r="AC131" s="40"/>
      <c r="AD131" s="40">
        <f t="shared" ref="AD131:AD133" si="208">+AM131+BA131</f>
        <v>21</v>
      </c>
      <c r="AE131" s="233" t="s">
        <v>461</v>
      </c>
      <c r="AF131" s="40"/>
      <c r="AG131" s="40">
        <v>21</v>
      </c>
      <c r="AH131" s="40"/>
      <c r="AI131" s="505"/>
      <c r="AJ131" s="40"/>
      <c r="AK131" s="40"/>
      <c r="AL131" s="40"/>
      <c r="AM131" s="40">
        <f t="shared" ref="AM131:AM133" si="209">SUM(AF131:AL131)+AT131</f>
        <v>21</v>
      </c>
      <c r="AN131" s="86"/>
      <c r="AO131" s="40"/>
      <c r="AP131" s="40"/>
      <c r="AQ131" s="40"/>
      <c r="AR131" s="40">
        <f t="shared" ref="AR131:AR133" si="210">SUM(AN131:AQ131)</f>
        <v>0</v>
      </c>
      <c r="AS131" s="40"/>
      <c r="AT131" s="40"/>
      <c r="AU131" s="40"/>
      <c r="AV131" s="40"/>
      <c r="AW131" s="40"/>
      <c r="AX131" s="40"/>
      <c r="AY131" s="40"/>
      <c r="AZ131" s="40"/>
      <c r="BA131" s="40">
        <f t="shared" ref="BA131:BA133" si="211">+AR131+AS131+AU131+AV131+AX131</f>
        <v>0</v>
      </c>
      <c r="BB131" s="53"/>
      <c r="BC131" s="54">
        <v>13</v>
      </c>
      <c r="BD131" s="54"/>
      <c r="BE131" s="53"/>
      <c r="BF131" s="54"/>
    </row>
    <row r="132" spans="1:58" ht="12.95" customHeight="1">
      <c r="A132" s="43"/>
      <c r="B132" s="44"/>
      <c r="C132" s="447"/>
      <c r="D132" s="44"/>
      <c r="E132" s="45"/>
      <c r="F132" s="45"/>
      <c r="G132" s="502"/>
      <c r="H132" s="47"/>
      <c r="I132" s="48"/>
      <c r="J132" s="85"/>
      <c r="K132" s="85"/>
      <c r="L132" s="38"/>
      <c r="M132" s="38"/>
      <c r="N132" s="49"/>
      <c r="O132" s="50"/>
      <c r="P132" s="51"/>
      <c r="Q132" s="50"/>
      <c r="R132" s="503"/>
      <c r="S132" s="503"/>
      <c r="T132" s="40"/>
      <c r="U132" s="40"/>
      <c r="V132" s="40"/>
      <c r="W132" s="40"/>
      <c r="X132" s="41"/>
      <c r="Y132" s="214"/>
      <c r="Z132" s="40"/>
      <c r="AA132" s="40"/>
      <c r="AB132" s="40"/>
      <c r="AC132" s="40"/>
      <c r="AD132" s="40">
        <f t="shared" si="208"/>
        <v>30</v>
      </c>
      <c r="AE132" s="233" t="s">
        <v>587</v>
      </c>
      <c r="AF132" s="36"/>
      <c r="AG132" s="36"/>
      <c r="AH132" s="36">
        <v>30</v>
      </c>
      <c r="AJ132" s="40"/>
      <c r="AK132" s="40"/>
      <c r="AL132" s="40"/>
      <c r="AM132" s="40">
        <f t="shared" si="209"/>
        <v>30</v>
      </c>
      <c r="AN132" s="40"/>
      <c r="AO132" s="40"/>
      <c r="AP132" s="40"/>
      <c r="AQ132" s="40"/>
      <c r="AR132" s="40">
        <f t="shared" si="210"/>
        <v>0</v>
      </c>
      <c r="AS132" s="40"/>
      <c r="AT132" s="40"/>
      <c r="AU132" s="40"/>
      <c r="AV132" s="40"/>
      <c r="AW132" s="40"/>
      <c r="AX132" s="40"/>
      <c r="AY132" s="40"/>
      <c r="AZ132" s="40"/>
      <c r="BA132" s="40">
        <f t="shared" si="211"/>
        <v>0</v>
      </c>
      <c r="BB132" s="36"/>
      <c r="BC132" s="506"/>
      <c r="BD132" s="506"/>
      <c r="BE132" s="36"/>
      <c r="BF132" s="506"/>
    </row>
    <row r="133" spans="1:58" ht="12.95" customHeight="1">
      <c r="A133" s="43"/>
      <c r="B133" s="44"/>
      <c r="C133" s="447"/>
      <c r="D133" s="44"/>
      <c r="E133" s="45"/>
      <c r="F133" s="45"/>
      <c r="G133" s="46"/>
      <c r="H133" s="47"/>
      <c r="I133" s="48"/>
      <c r="J133" s="85"/>
      <c r="K133" s="85"/>
      <c r="L133" s="38"/>
      <c r="M133" s="38"/>
      <c r="N133" s="49"/>
      <c r="O133" s="50"/>
      <c r="P133" s="51"/>
      <c r="Q133" s="37"/>
      <c r="R133" s="503"/>
      <c r="S133" s="503"/>
      <c r="T133" s="40"/>
      <c r="U133" s="40"/>
      <c r="V133" s="40"/>
      <c r="W133" s="40"/>
      <c r="X133" s="41"/>
      <c r="Y133" s="214"/>
      <c r="Z133" s="40"/>
      <c r="AA133" s="40"/>
      <c r="AB133" s="40"/>
      <c r="AC133" s="40"/>
      <c r="AD133" s="40">
        <f t="shared" si="208"/>
        <v>8</v>
      </c>
      <c r="AE133" s="236" t="s">
        <v>228</v>
      </c>
      <c r="AF133" s="40"/>
      <c r="AG133" s="40"/>
      <c r="AH133" s="40"/>
      <c r="AI133" s="505">
        <v>8</v>
      </c>
      <c r="AJ133" s="40"/>
      <c r="AK133" s="40"/>
      <c r="AL133" s="40"/>
      <c r="AM133" s="40">
        <f t="shared" si="209"/>
        <v>8</v>
      </c>
      <c r="AN133" s="40"/>
      <c r="AO133" s="40"/>
      <c r="AP133" s="40"/>
      <c r="AQ133" s="40"/>
      <c r="AR133" s="40">
        <f t="shared" si="210"/>
        <v>0</v>
      </c>
      <c r="AS133" s="40"/>
      <c r="AT133" s="40"/>
      <c r="AU133" s="40"/>
      <c r="AV133" s="40"/>
      <c r="AW133" s="40"/>
      <c r="AX133" s="40"/>
      <c r="AY133" s="40"/>
      <c r="AZ133" s="40"/>
      <c r="BA133" s="40">
        <f t="shared" si="211"/>
        <v>0</v>
      </c>
      <c r="BB133" s="53"/>
      <c r="BC133" s="54"/>
      <c r="BD133" s="54"/>
      <c r="BE133" s="53"/>
      <c r="BF133" s="54"/>
    </row>
    <row r="134" spans="1:58" ht="12.95" customHeight="1">
      <c r="A134" s="43"/>
      <c r="B134" s="44"/>
      <c r="C134" s="447"/>
      <c r="D134" s="44"/>
      <c r="E134" s="45"/>
      <c r="F134" s="45"/>
      <c r="G134" s="46"/>
      <c r="H134" s="47"/>
      <c r="I134" s="48"/>
      <c r="J134" s="85"/>
      <c r="K134" s="85"/>
      <c r="L134" s="38"/>
      <c r="M134" s="38"/>
      <c r="N134" s="49"/>
      <c r="O134" s="50"/>
      <c r="P134" s="51"/>
      <c r="Q134" s="50"/>
      <c r="R134" s="503"/>
      <c r="S134" s="503"/>
      <c r="T134" s="40"/>
      <c r="U134" s="40"/>
      <c r="V134" s="40"/>
      <c r="W134" s="40"/>
      <c r="X134" s="504"/>
      <c r="Y134" s="214"/>
      <c r="Z134" s="40"/>
      <c r="AA134" s="52"/>
      <c r="AB134" s="52"/>
      <c r="AC134" s="40"/>
      <c r="AD134" s="40"/>
      <c r="AE134"/>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36"/>
      <c r="BC134" s="54"/>
      <c r="BD134" s="54"/>
      <c r="BE134" s="54"/>
      <c r="BF134" s="54"/>
    </row>
    <row r="135" spans="1:58" ht="12.75" customHeight="1">
      <c r="A135" s="43">
        <v>46106</v>
      </c>
      <c r="B135" s="44" t="s">
        <v>423</v>
      </c>
      <c r="C135" s="447">
        <f>(M135*E135*O135*Q135)/100000000</f>
        <v>55.396223999999997</v>
      </c>
      <c r="D135" s="44" t="s">
        <v>425</v>
      </c>
      <c r="E135" s="45">
        <v>15</v>
      </c>
      <c r="F135" s="45">
        <v>1</v>
      </c>
      <c r="G135" s="598">
        <f>+L135</f>
        <v>1200</v>
      </c>
      <c r="H135" s="47">
        <f>+N135</f>
        <v>0.21999999999999997</v>
      </c>
      <c r="I135" s="48">
        <v>0.88</v>
      </c>
      <c r="J135" s="85">
        <f>E135*G135*(1-H135)*1440/1000000*2.75</f>
        <v>55.598400000000005</v>
      </c>
      <c r="K135" s="85">
        <f t="shared" ref="K135" si="212">(IF(G135&lt;L135,L135,G135)*(1-IF(H135&lt;N135,H135,N135))*E135*O135*Q135)/100000000</f>
        <v>55.396223999999997</v>
      </c>
      <c r="L135" s="38">
        <v>1200</v>
      </c>
      <c r="M135" s="38">
        <v>936</v>
      </c>
      <c r="N135" s="49">
        <f>1-(M135/L135)</f>
        <v>0.21999999999999997</v>
      </c>
      <c r="O135" s="50">
        <f>+'Trim Rwd'!H77</f>
        <v>274</v>
      </c>
      <c r="P135" s="51">
        <f>O135*(Q135-R135-S135)</f>
        <v>379216</v>
      </c>
      <c r="Q135" s="50">
        <v>1440</v>
      </c>
      <c r="R135" s="503">
        <v>0</v>
      </c>
      <c r="S135" s="503">
        <v>56</v>
      </c>
      <c r="T135" s="40">
        <f>E135*M135*O135*Q135/100000000</f>
        <v>55.396223999999997</v>
      </c>
      <c r="U135" s="40">
        <f>E135*M135*O135*(Q135-R135-S135)/100000000</f>
        <v>53.241926399999997</v>
      </c>
      <c r="V135" s="40">
        <f>E135*G135*(1-N135)*O135/100*(R135+S135)/1000000</f>
        <v>2.1542976</v>
      </c>
      <c r="W135" s="40">
        <f>+'25'!K17/1000</f>
        <v>53.16</v>
      </c>
      <c r="X135" s="504">
        <f>SUM(W135:W138)/SUM(K135:K138)</f>
        <v>0.95963219442538172</v>
      </c>
      <c r="Y135" s="214">
        <v>0</v>
      </c>
      <c r="Z135" s="40">
        <v>0</v>
      </c>
      <c r="AA135" s="52">
        <f>SUM(U135:U138)-SUM(W135:W138)-SUM(Z135:Z138)-SUM(Y135:Y138)</f>
        <v>8.1926400000000399E-2</v>
      </c>
      <c r="AB135" s="52">
        <f>(SUM(K135:K138)-SUM(W135:W138)-SUM(Y135:Y138)-SUM(Z135:Z138)-SUM(AC135:AC138)-SUM(V135:V138))-AA135</f>
        <v>-4.4408920985006262E-16</v>
      </c>
      <c r="AC135" s="40">
        <f>K135-T135</f>
        <v>0</v>
      </c>
      <c r="AD135" s="40">
        <f>+AM135+BA135</f>
        <v>0</v>
      </c>
      <c r="AE135" s="233" t="s">
        <v>391</v>
      </c>
      <c r="AF135" s="40">
        <v>0</v>
      </c>
      <c r="AG135" s="40"/>
      <c r="AH135" s="40"/>
      <c r="AI135" s="505"/>
      <c r="AJ135" s="40"/>
      <c r="AK135" s="40"/>
      <c r="AL135" s="40"/>
      <c r="AM135" s="40">
        <f>SUM(AF135:AL135)+AT135</f>
        <v>0</v>
      </c>
      <c r="AN135" s="40"/>
      <c r="AO135" s="40"/>
      <c r="AP135" s="40"/>
      <c r="AQ135" s="40"/>
      <c r="AR135" s="40">
        <f>SUM(AN135:AQ135)</f>
        <v>0</v>
      </c>
      <c r="AS135" s="40"/>
      <c r="AT135" s="40"/>
      <c r="AU135" s="40"/>
      <c r="AV135" s="40"/>
      <c r="AW135" s="40"/>
      <c r="AX135" s="40"/>
      <c r="AY135" s="40"/>
      <c r="AZ135" s="40"/>
      <c r="BA135" s="40">
        <f>+AR135+AS135+AU135+AV135+AX135</f>
        <v>0</v>
      </c>
      <c r="BB135" s="36">
        <v>0</v>
      </c>
      <c r="BC135" s="54"/>
      <c r="BD135" s="54"/>
      <c r="BE135" s="36"/>
      <c r="BF135" s="54"/>
    </row>
    <row r="136" spans="1:58" ht="12.95" customHeight="1">
      <c r="A136" s="43"/>
      <c r="B136" s="44"/>
      <c r="C136" s="447"/>
      <c r="D136" s="44"/>
      <c r="E136" s="45"/>
      <c r="F136" s="45"/>
      <c r="G136" s="502"/>
      <c r="H136" s="47"/>
      <c r="I136" s="48"/>
      <c r="J136" s="85"/>
      <c r="K136" s="85"/>
      <c r="L136" s="38"/>
      <c r="M136" s="38"/>
      <c r="N136" s="49"/>
      <c r="O136" s="50"/>
      <c r="P136" s="51"/>
      <c r="Q136" s="50"/>
      <c r="R136" s="503"/>
      <c r="S136" s="503"/>
      <c r="T136" s="40"/>
      <c r="U136" s="40"/>
      <c r="V136" s="40"/>
      <c r="W136" s="40"/>
      <c r="X136" s="41"/>
      <c r="Y136" s="214"/>
      <c r="Z136" s="40"/>
      <c r="AA136" s="40"/>
      <c r="AB136" s="40"/>
      <c r="AC136" s="40"/>
      <c r="AD136" s="40">
        <f t="shared" ref="AD136:AD138" si="213">+AM136+BA136</f>
        <v>23</v>
      </c>
      <c r="AE136" s="233" t="s">
        <v>461</v>
      </c>
      <c r="AF136" s="40"/>
      <c r="AG136" s="40">
        <v>23</v>
      </c>
      <c r="AH136" s="40"/>
      <c r="AI136" s="505"/>
      <c r="AJ136" s="40"/>
      <c r="AK136" s="40"/>
      <c r="AL136" s="40"/>
      <c r="AM136" s="40">
        <f t="shared" ref="AM136:AM138" si="214">SUM(AF136:AL136)+AT136</f>
        <v>23</v>
      </c>
      <c r="AN136" s="86"/>
      <c r="AO136" s="40"/>
      <c r="AP136" s="40"/>
      <c r="AQ136" s="40"/>
      <c r="AR136" s="40">
        <f t="shared" ref="AR136:AR138" si="215">SUM(AN136:AQ136)</f>
        <v>0</v>
      </c>
      <c r="AS136" s="40"/>
      <c r="AT136" s="40"/>
      <c r="AU136" s="40"/>
      <c r="AV136" s="40"/>
      <c r="AW136" s="40"/>
      <c r="AX136" s="40"/>
      <c r="AY136" s="40"/>
      <c r="AZ136" s="40"/>
      <c r="BA136" s="40">
        <f t="shared" ref="BA136:BA138" si="216">+AR136+AS136+AU136+AV136+AX136</f>
        <v>0</v>
      </c>
      <c r="BB136" s="53"/>
      <c r="BC136" s="54">
        <v>13</v>
      </c>
      <c r="BD136" s="54"/>
      <c r="BE136" s="53"/>
      <c r="BF136" s="54"/>
    </row>
    <row r="137" spans="1:58" ht="12.95" customHeight="1">
      <c r="A137" s="43"/>
      <c r="B137" s="44"/>
      <c r="C137" s="447"/>
      <c r="D137" s="44"/>
      <c r="E137" s="45"/>
      <c r="F137" s="45"/>
      <c r="G137" s="502"/>
      <c r="H137" s="47"/>
      <c r="I137" s="48"/>
      <c r="J137" s="85"/>
      <c r="K137" s="85"/>
      <c r="L137" s="38"/>
      <c r="M137" s="38"/>
      <c r="N137" s="49"/>
      <c r="O137" s="50"/>
      <c r="P137" s="51"/>
      <c r="Q137" s="50"/>
      <c r="R137" s="503"/>
      <c r="S137" s="503"/>
      <c r="T137" s="40"/>
      <c r="U137" s="40"/>
      <c r="V137" s="40"/>
      <c r="W137" s="40"/>
      <c r="X137" s="41"/>
      <c r="Y137" s="214"/>
      <c r="Z137" s="40"/>
      <c r="AA137" s="40"/>
      <c r="AB137" s="40"/>
      <c r="AC137" s="40"/>
      <c r="AD137" s="40">
        <f t="shared" si="213"/>
        <v>33</v>
      </c>
      <c r="AE137" s="233" t="s">
        <v>592</v>
      </c>
      <c r="AF137" s="36"/>
      <c r="AG137" s="36"/>
      <c r="AH137" s="36">
        <v>33</v>
      </c>
      <c r="AJ137" s="40"/>
      <c r="AK137" s="40"/>
      <c r="AL137" s="40"/>
      <c r="AM137" s="40">
        <f t="shared" si="214"/>
        <v>33</v>
      </c>
      <c r="AN137" s="40"/>
      <c r="AO137" s="40"/>
      <c r="AP137" s="40"/>
      <c r="AQ137" s="40"/>
      <c r="AR137" s="40">
        <f t="shared" si="215"/>
        <v>0</v>
      </c>
      <c r="AS137" s="40"/>
      <c r="AT137" s="40"/>
      <c r="AU137" s="40"/>
      <c r="AV137" s="40"/>
      <c r="AW137" s="40"/>
      <c r="AX137" s="40"/>
      <c r="AY137" s="40"/>
      <c r="AZ137" s="40"/>
      <c r="BA137" s="40">
        <f t="shared" si="216"/>
        <v>0</v>
      </c>
      <c r="BB137" s="36"/>
      <c r="BC137" s="506"/>
      <c r="BD137" s="506"/>
      <c r="BE137" s="36"/>
      <c r="BF137" s="506"/>
    </row>
    <row r="138" spans="1:58" ht="12.95" customHeight="1">
      <c r="A138" s="43"/>
      <c r="B138" s="44"/>
      <c r="C138" s="447"/>
      <c r="D138" s="44"/>
      <c r="E138" s="45"/>
      <c r="F138" s="45"/>
      <c r="G138" s="46"/>
      <c r="H138" s="47"/>
      <c r="I138" s="48"/>
      <c r="J138" s="85"/>
      <c r="K138" s="85"/>
      <c r="L138" s="38"/>
      <c r="M138" s="38"/>
      <c r="N138" s="49"/>
      <c r="O138" s="50"/>
      <c r="P138" s="51"/>
      <c r="Q138" s="37"/>
      <c r="R138" s="503"/>
      <c r="S138" s="503"/>
      <c r="T138" s="40"/>
      <c r="U138" s="40"/>
      <c r="V138" s="40"/>
      <c r="W138" s="40"/>
      <c r="X138" s="41"/>
      <c r="Y138" s="214"/>
      <c r="Z138" s="40"/>
      <c r="AA138" s="40"/>
      <c r="AB138" s="40"/>
      <c r="AC138" s="40"/>
      <c r="AD138" s="40">
        <f t="shared" si="213"/>
        <v>0</v>
      </c>
      <c r="AE138" s="236" t="s">
        <v>228</v>
      </c>
      <c r="AF138" s="40"/>
      <c r="AG138" s="40"/>
      <c r="AH138" s="40"/>
      <c r="AI138" s="505">
        <v>0</v>
      </c>
      <c r="AJ138" s="40"/>
      <c r="AK138" s="40"/>
      <c r="AL138" s="40"/>
      <c r="AM138" s="40">
        <f t="shared" si="214"/>
        <v>0</v>
      </c>
      <c r="AN138" s="40"/>
      <c r="AO138" s="40"/>
      <c r="AP138" s="40"/>
      <c r="AQ138" s="40"/>
      <c r="AR138" s="40">
        <f t="shared" si="215"/>
        <v>0</v>
      </c>
      <c r="AS138" s="40"/>
      <c r="AT138" s="40"/>
      <c r="AU138" s="40"/>
      <c r="AV138" s="40"/>
      <c r="AW138" s="40"/>
      <c r="AX138" s="40"/>
      <c r="AY138" s="40"/>
      <c r="AZ138" s="40"/>
      <c r="BA138" s="40">
        <f t="shared" si="216"/>
        <v>0</v>
      </c>
      <c r="BB138" s="53"/>
      <c r="BC138" s="54"/>
      <c r="BD138" s="54"/>
      <c r="BE138" s="53"/>
      <c r="BF138" s="54"/>
    </row>
    <row r="139" spans="1:58" ht="12.95" customHeight="1">
      <c r="A139" s="43"/>
      <c r="B139" s="562"/>
      <c r="C139" s="447"/>
      <c r="D139" s="44"/>
      <c r="E139" s="250"/>
      <c r="F139" s="45"/>
      <c r="G139" s="46"/>
      <c r="H139" s="47"/>
      <c r="I139" s="48"/>
      <c r="J139" s="85"/>
      <c r="K139" s="85"/>
      <c r="L139" s="38"/>
      <c r="M139" s="38"/>
      <c r="N139" s="49"/>
      <c r="O139" s="50"/>
      <c r="P139" s="51"/>
      <c r="Q139" s="376"/>
      <c r="R139" s="53"/>
      <c r="S139" s="53"/>
      <c r="T139" s="40"/>
      <c r="U139" s="40"/>
      <c r="V139" s="40"/>
      <c r="W139" s="36"/>
      <c r="X139" s="41"/>
      <c r="Y139" s="41"/>
      <c r="Z139" s="36"/>
      <c r="AA139" s="52"/>
      <c r="AB139" s="52"/>
      <c r="AC139" s="40"/>
      <c r="AD139" s="40"/>
      <c r="AE139" s="23"/>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36"/>
      <c r="BC139" s="54"/>
      <c r="BD139" s="54"/>
      <c r="BE139" s="53"/>
      <c r="BF139" s="54"/>
    </row>
    <row r="140" spans="1:58" ht="12.75" customHeight="1">
      <c r="A140" s="43">
        <v>46107</v>
      </c>
      <c r="B140" s="44" t="s">
        <v>423</v>
      </c>
      <c r="C140" s="447">
        <f>(M140*E140*O140*Q140)/100000000</f>
        <v>54.832182260869573</v>
      </c>
      <c r="D140" s="44" t="s">
        <v>425</v>
      </c>
      <c r="E140" s="45">
        <v>15</v>
      </c>
      <c r="F140" s="45">
        <v>1</v>
      </c>
      <c r="G140" s="598">
        <f>+L140</f>
        <v>1200</v>
      </c>
      <c r="H140" s="47">
        <f>+N140</f>
        <v>0.21999999999999997</v>
      </c>
      <c r="I140" s="48">
        <v>0.88</v>
      </c>
      <c r="J140" s="85">
        <f>E140*G140*(1-H140)*1440/1000000*2.75</f>
        <v>55.598400000000005</v>
      </c>
      <c r="K140" s="85">
        <f t="shared" ref="K140" si="217">(IF(G140&lt;L140,L140,G140)*(1-IF(H140&lt;N140,H140,N140))*E140*O140*Q140)/100000000</f>
        <v>54.832182260869573</v>
      </c>
      <c r="L140" s="38">
        <v>1200</v>
      </c>
      <c r="M140" s="38">
        <v>936</v>
      </c>
      <c r="N140" s="49">
        <f>1-(M140/L140)</f>
        <v>0.21999999999999997</v>
      </c>
      <c r="O140" s="50">
        <f>+'Trim Rwd'!H79</f>
        <v>271.21014492753625</v>
      </c>
      <c r="P140" s="51">
        <f>O140*(Q140-R140-S140)</f>
        <v>375083.63043478265</v>
      </c>
      <c r="Q140" s="50">
        <v>1440</v>
      </c>
      <c r="R140" s="503">
        <v>0</v>
      </c>
      <c r="S140" s="503">
        <v>57</v>
      </c>
      <c r="T140" s="40">
        <f>E140*M140*O140*Q140/100000000</f>
        <v>54.832182260869573</v>
      </c>
      <c r="U140" s="40">
        <f>E140*M140*O140*(Q140-R140-S140)/100000000</f>
        <v>52.661741713043483</v>
      </c>
      <c r="V140" s="40">
        <f>E140*G140*(1-N140)*O140/100*(R140+S140)/1000000</f>
        <v>2.1704405478260873</v>
      </c>
      <c r="W140" s="40">
        <f>+'26'!K17/1000</f>
        <v>52.279000000000003</v>
      </c>
      <c r="X140" s="504">
        <f>SUM(W140:W143)/SUM(K140:K143)</f>
        <v>0.95343642810489382</v>
      </c>
      <c r="Y140" s="214">
        <v>0</v>
      </c>
      <c r="Z140" s="40">
        <v>0</v>
      </c>
      <c r="AA140" s="52">
        <f>SUM(U140:U143)-SUM(W140:W143)-SUM(Z140:Z143)-SUM(Y140:Y143)</f>
        <v>0.38274171304347959</v>
      </c>
      <c r="AB140" s="52">
        <f>(SUM(K140:K143)-SUM(W140:W143)-SUM(Y140:Y143)-SUM(Z140:Z143)-SUM(AC140:AC143)-SUM(V140:V143))-AA140</f>
        <v>2.2204460492503131E-15</v>
      </c>
      <c r="AC140" s="40">
        <f>K140-T140</f>
        <v>0</v>
      </c>
      <c r="AD140" s="40">
        <f>+AM140+BA140</f>
        <v>0</v>
      </c>
      <c r="AE140" s="233" t="s">
        <v>391</v>
      </c>
      <c r="AF140" s="40">
        <v>0</v>
      </c>
      <c r="AG140" s="40"/>
      <c r="AH140" s="40"/>
      <c r="AI140" s="505"/>
      <c r="AJ140" s="40"/>
      <c r="AK140" s="40"/>
      <c r="AL140" s="40"/>
      <c r="AM140" s="40">
        <f>SUM(AF140:AL140)+AT140</f>
        <v>0</v>
      </c>
      <c r="AN140" s="40"/>
      <c r="AO140" s="40"/>
      <c r="AP140" s="40"/>
      <c r="AQ140" s="40"/>
      <c r="AR140" s="40">
        <f>SUM(AN140:AQ140)</f>
        <v>0</v>
      </c>
      <c r="AS140" s="40"/>
      <c r="AT140" s="40"/>
      <c r="AU140" s="40"/>
      <c r="AV140" s="40"/>
      <c r="AW140" s="40"/>
      <c r="AX140" s="40"/>
      <c r="AY140" s="40"/>
      <c r="AZ140" s="40"/>
      <c r="BA140" s="40">
        <f>+AR140+AS140+AU140+AV140+AX140</f>
        <v>0</v>
      </c>
      <c r="BB140" s="36">
        <v>0</v>
      </c>
      <c r="BC140" s="54"/>
      <c r="BD140" s="54"/>
      <c r="BE140" s="36"/>
      <c r="BF140" s="54"/>
    </row>
    <row r="141" spans="1:58" ht="12.95" customHeight="1">
      <c r="A141" s="43"/>
      <c r="B141" s="44"/>
      <c r="C141" s="447"/>
      <c r="D141" s="44"/>
      <c r="E141" s="45"/>
      <c r="F141" s="45"/>
      <c r="G141" s="502"/>
      <c r="H141" s="47"/>
      <c r="I141" s="48"/>
      <c r="J141" s="85"/>
      <c r="K141" s="85"/>
      <c r="L141" s="38"/>
      <c r="M141" s="38"/>
      <c r="N141" s="49"/>
      <c r="O141" s="50"/>
      <c r="P141" s="51"/>
      <c r="Q141" s="50"/>
      <c r="R141" s="503"/>
      <c r="S141" s="503"/>
      <c r="T141" s="40"/>
      <c r="U141" s="40"/>
      <c r="V141" s="40"/>
      <c r="W141" s="40"/>
      <c r="X141" s="41"/>
      <c r="Y141" s="214"/>
      <c r="Z141" s="40"/>
      <c r="AA141" s="40"/>
      <c r="AB141" s="40"/>
      <c r="AC141" s="40"/>
      <c r="AD141" s="40">
        <f t="shared" ref="AD141:AD143" si="218">+AM141+BA141</f>
        <v>19</v>
      </c>
      <c r="AE141" s="233" t="s">
        <v>426</v>
      </c>
      <c r="AF141" s="40"/>
      <c r="AG141" s="40">
        <v>19</v>
      </c>
      <c r="AH141" s="40"/>
      <c r="AI141" s="505"/>
      <c r="AJ141" s="40"/>
      <c r="AK141" s="40"/>
      <c r="AL141" s="40"/>
      <c r="AM141" s="40">
        <f t="shared" ref="AM141:AM143" si="219">SUM(AF141:AL141)+AT141</f>
        <v>19</v>
      </c>
      <c r="AN141" s="86"/>
      <c r="AO141" s="40"/>
      <c r="AP141" s="40"/>
      <c r="AQ141" s="40"/>
      <c r="AR141" s="40">
        <f t="shared" ref="AR141:AR143" si="220">SUM(AN141:AQ141)</f>
        <v>0</v>
      </c>
      <c r="AS141" s="40"/>
      <c r="AT141" s="40"/>
      <c r="AU141" s="40"/>
      <c r="AV141" s="40"/>
      <c r="AW141" s="40"/>
      <c r="AX141" s="40"/>
      <c r="AY141" s="40"/>
      <c r="AZ141" s="40"/>
      <c r="BA141" s="40">
        <f t="shared" ref="BA141:BA143" si="221">+AR141+AS141+AU141+AV141+AX141</f>
        <v>0</v>
      </c>
      <c r="BB141" s="53"/>
      <c r="BC141" s="54">
        <v>14</v>
      </c>
      <c r="BD141" s="54"/>
      <c r="BE141" s="53"/>
      <c r="BF141" s="54"/>
    </row>
    <row r="142" spans="1:58" ht="12.95" customHeight="1">
      <c r="A142" s="43"/>
      <c r="B142" s="44"/>
      <c r="C142" s="447"/>
      <c r="D142" s="44"/>
      <c r="E142" s="45"/>
      <c r="F142" s="45"/>
      <c r="G142" s="502"/>
      <c r="H142" s="47"/>
      <c r="I142" s="48"/>
      <c r="J142" s="85"/>
      <c r="K142" s="85"/>
      <c r="L142" s="38"/>
      <c r="M142" s="38"/>
      <c r="N142" s="49"/>
      <c r="O142" s="50"/>
      <c r="P142" s="51"/>
      <c r="Q142" s="50"/>
      <c r="R142" s="503"/>
      <c r="S142" s="503"/>
      <c r="T142" s="40"/>
      <c r="U142" s="40"/>
      <c r="V142" s="40"/>
      <c r="W142" s="40"/>
      <c r="X142" s="41"/>
      <c r="Y142" s="214"/>
      <c r="Z142" s="40"/>
      <c r="AA142" s="40"/>
      <c r="AB142" s="40"/>
      <c r="AC142" s="40"/>
      <c r="AD142" s="40">
        <f t="shared" si="218"/>
        <v>28</v>
      </c>
      <c r="AE142" s="233" t="s">
        <v>587</v>
      </c>
      <c r="AF142" s="36"/>
      <c r="AG142" s="36"/>
      <c r="AH142" s="36">
        <v>28</v>
      </c>
      <c r="AJ142" s="40"/>
      <c r="AK142" s="40"/>
      <c r="AL142" s="40"/>
      <c r="AM142" s="40">
        <f t="shared" si="219"/>
        <v>28</v>
      </c>
      <c r="AN142" s="40"/>
      <c r="AO142" s="40"/>
      <c r="AP142" s="40"/>
      <c r="AQ142" s="40"/>
      <c r="AR142" s="40">
        <f t="shared" si="220"/>
        <v>0</v>
      </c>
      <c r="AS142" s="40"/>
      <c r="AT142" s="40"/>
      <c r="AU142" s="40"/>
      <c r="AV142" s="40"/>
      <c r="AW142" s="40"/>
      <c r="AX142" s="40"/>
      <c r="AY142" s="40"/>
      <c r="AZ142" s="40"/>
      <c r="BA142" s="40">
        <f t="shared" si="221"/>
        <v>0</v>
      </c>
      <c r="BB142" s="36"/>
      <c r="BC142" s="506"/>
      <c r="BD142" s="506"/>
      <c r="BE142" s="36"/>
      <c r="BF142" s="506"/>
    </row>
    <row r="143" spans="1:58" ht="12.95" customHeight="1">
      <c r="A143" s="43"/>
      <c r="B143" s="44"/>
      <c r="C143" s="447"/>
      <c r="D143" s="44"/>
      <c r="E143" s="45"/>
      <c r="F143" s="45"/>
      <c r="G143" s="46"/>
      <c r="H143" s="47"/>
      <c r="I143" s="48"/>
      <c r="J143" s="85"/>
      <c r="K143" s="85"/>
      <c r="L143" s="38"/>
      <c r="M143" s="38"/>
      <c r="N143" s="49"/>
      <c r="O143" s="50"/>
      <c r="P143" s="51"/>
      <c r="Q143" s="37"/>
      <c r="R143" s="503"/>
      <c r="S143" s="503"/>
      <c r="T143" s="40"/>
      <c r="U143" s="40"/>
      <c r="V143" s="40"/>
      <c r="W143" s="40"/>
      <c r="X143" s="41"/>
      <c r="Y143" s="214"/>
      <c r="Z143" s="40"/>
      <c r="AA143" s="40"/>
      <c r="AB143" s="40"/>
      <c r="AC143" s="40"/>
      <c r="AD143" s="40">
        <f t="shared" si="218"/>
        <v>10</v>
      </c>
      <c r="AE143" s="236" t="s">
        <v>228</v>
      </c>
      <c r="AF143" s="40"/>
      <c r="AG143" s="40"/>
      <c r="AH143" s="40"/>
      <c r="AI143" s="505">
        <v>10</v>
      </c>
      <c r="AJ143" s="40"/>
      <c r="AK143" s="40"/>
      <c r="AL143" s="40"/>
      <c r="AM143" s="40">
        <f t="shared" si="219"/>
        <v>10</v>
      </c>
      <c r="AN143" s="40"/>
      <c r="AO143" s="40"/>
      <c r="AP143" s="40"/>
      <c r="AQ143" s="40"/>
      <c r="AR143" s="40">
        <f t="shared" si="220"/>
        <v>0</v>
      </c>
      <c r="AS143" s="40"/>
      <c r="AT143" s="40"/>
      <c r="AU143" s="40"/>
      <c r="AV143" s="40"/>
      <c r="AW143" s="40"/>
      <c r="AX143" s="40"/>
      <c r="AY143" s="40"/>
      <c r="AZ143" s="40"/>
      <c r="BA143" s="40">
        <f t="shared" si="221"/>
        <v>0</v>
      </c>
      <c r="BB143" s="53"/>
      <c r="BC143" s="54"/>
      <c r="BD143" s="54"/>
      <c r="BE143" s="53"/>
      <c r="BF143" s="54"/>
    </row>
    <row r="144" spans="1:58" ht="12.95" customHeight="1">
      <c r="A144" s="43"/>
      <c r="B144" s="562"/>
      <c r="C144" s="447"/>
      <c r="D144" s="44"/>
      <c r="E144" s="250"/>
      <c r="F144" s="45"/>
      <c r="G144" s="46"/>
      <c r="H144" s="47"/>
      <c r="I144" s="48"/>
      <c r="J144" s="85"/>
      <c r="K144" s="85"/>
      <c r="L144" s="38"/>
      <c r="M144" s="38"/>
      <c r="N144" s="49"/>
      <c r="O144" s="50"/>
      <c r="P144" s="51"/>
      <c r="Q144" s="376"/>
      <c r="R144" s="53"/>
      <c r="S144" s="53"/>
      <c r="T144" s="40"/>
      <c r="U144" s="40"/>
      <c r="V144" s="40"/>
      <c r="W144" s="36"/>
      <c r="X144" s="41"/>
      <c r="Y144" s="41"/>
      <c r="Z144" s="36"/>
      <c r="AA144" s="52"/>
      <c r="AB144" s="52"/>
      <c r="AC144" s="40"/>
      <c r="AD144" s="40"/>
      <c r="AE144" s="23"/>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36"/>
      <c r="BC144" s="54"/>
      <c r="BD144" s="506"/>
      <c r="BE144" s="36"/>
      <c r="BF144" s="506"/>
    </row>
    <row r="145" spans="1:58" ht="12.75" customHeight="1">
      <c r="A145" s="43">
        <v>46108</v>
      </c>
      <c r="B145" s="44" t="s">
        <v>423</v>
      </c>
      <c r="C145" s="447">
        <f>(M145*E145*O145*Q145)/100000000</f>
        <v>1.3129593749999999</v>
      </c>
      <c r="D145" s="44" t="s">
        <v>425</v>
      </c>
      <c r="E145" s="45">
        <v>15</v>
      </c>
      <c r="F145" s="45">
        <v>1</v>
      </c>
      <c r="G145" s="598">
        <v>1190</v>
      </c>
      <c r="H145" s="47">
        <f>+N145</f>
        <v>0.21999999999999997</v>
      </c>
      <c r="I145" s="48">
        <v>0.88</v>
      </c>
      <c r="J145" s="85">
        <f>E145*G145*(1-H145)*1440/1000000*2.75</f>
        <v>55.135079999999995</v>
      </c>
      <c r="K145" s="85">
        <f t="shared" ref="K145:K146" si="222">(IF(G145&lt;L145,L145,G145)*(1-IF(H145&lt;N145,H145,N145))*E145*O145*Q145)/100000000</f>
        <v>1.3129593749999999</v>
      </c>
      <c r="L145" s="38">
        <v>1250</v>
      </c>
      <c r="M145" s="38">
        <v>975</v>
      </c>
      <c r="N145" s="49">
        <f>1-(M145/L145)</f>
        <v>0.21999999999999997</v>
      </c>
      <c r="O145" s="50">
        <f>+'Trim Rwd'!H82</f>
        <v>256.5</v>
      </c>
      <c r="P145" s="51">
        <f>O145*(Q145-R145-S145)</f>
        <v>6156</v>
      </c>
      <c r="Q145" s="50">
        <v>35</v>
      </c>
      <c r="R145" s="503">
        <v>0</v>
      </c>
      <c r="S145" s="503">
        <v>11</v>
      </c>
      <c r="T145" s="40">
        <f>E145*M145*O145*Q145/100000000</f>
        <v>1.3129593749999999</v>
      </c>
      <c r="U145" s="40">
        <f>E145*M145*O145*(Q145-R145-S145)/100000000</f>
        <v>0.90031499999999998</v>
      </c>
      <c r="V145" s="40">
        <f>E145*G145*(1-N145)*O145/100*(R145+S145)/1000000</f>
        <v>0.39283744500000001</v>
      </c>
      <c r="W145" s="40">
        <f>+'27'!K17/1000</f>
        <v>5.57</v>
      </c>
      <c r="X145" s="504">
        <f>SUM(W145:W148)/SUM(K145:K148)</f>
        <v>1.0110415402807589</v>
      </c>
      <c r="Y145" s="214">
        <v>0</v>
      </c>
      <c r="Z145" s="40">
        <v>0</v>
      </c>
      <c r="AA145" s="52">
        <f>SUM(U145:U148)-SUM(W145:W148)-SUM(Z145:Z148)-SUM(Y145:Y148)</f>
        <v>-2.6605493750000022</v>
      </c>
      <c r="AB145" s="52">
        <f>(SUM(K145:K148)-SUM(W145:W148)-SUM(Y145:Y148)-SUM(Z145:Z148)-SUM(AC145:AC148)-SUM(V145:V148))-AA145</f>
        <v>0.10162503000000545</v>
      </c>
      <c r="AC145" s="40">
        <f>K145-T145</f>
        <v>0</v>
      </c>
      <c r="AD145" s="40">
        <f>+AM145+BA145</f>
        <v>0</v>
      </c>
      <c r="AE145" s="233" t="s">
        <v>391</v>
      </c>
      <c r="AF145" s="40">
        <v>0</v>
      </c>
      <c r="AG145" s="40"/>
      <c r="AH145" s="40"/>
      <c r="AI145" s="505"/>
      <c r="AJ145" s="40"/>
      <c r="AK145" s="40"/>
      <c r="AL145" s="40"/>
      <c r="AM145" s="40">
        <f>SUM(AF145:AL145)+AT145</f>
        <v>0</v>
      </c>
      <c r="AN145" s="40"/>
      <c r="AO145" s="40"/>
      <c r="AP145" s="40"/>
      <c r="AQ145" s="40"/>
      <c r="AR145" s="40">
        <f>SUM(AN145:AQ145)</f>
        <v>0</v>
      </c>
      <c r="AS145" s="40"/>
      <c r="AT145" s="40"/>
      <c r="AU145" s="40"/>
      <c r="AV145" s="40"/>
      <c r="AW145" s="40"/>
      <c r="AX145" s="40"/>
      <c r="AY145" s="40"/>
      <c r="AZ145" s="40"/>
      <c r="BA145" s="40">
        <f>+AR145+AS145+AU145+AV145+AX145</f>
        <v>0</v>
      </c>
      <c r="BB145" s="36">
        <v>0</v>
      </c>
      <c r="BC145" s="54"/>
      <c r="BD145" s="54"/>
      <c r="BE145" s="36"/>
      <c r="BF145" s="54"/>
    </row>
    <row r="146" spans="1:58" ht="12.95" customHeight="1">
      <c r="A146" s="43"/>
      <c r="B146" s="44" t="s">
        <v>423</v>
      </c>
      <c r="C146" s="447">
        <f>(M146*E146*O146*Q146)/100000000</f>
        <v>47.897679375000003</v>
      </c>
      <c r="D146" s="44" t="s">
        <v>425</v>
      </c>
      <c r="E146" s="45">
        <v>13.5</v>
      </c>
      <c r="F146" s="45">
        <v>1</v>
      </c>
      <c r="G146" s="598">
        <v>1190</v>
      </c>
      <c r="H146" s="47">
        <f>+N146</f>
        <v>0.21999999999999997</v>
      </c>
      <c r="I146" s="48">
        <v>0.88</v>
      </c>
      <c r="J146" s="85">
        <f>E146*G146*(1-H146)*1440/1000000*2.75</f>
        <v>49.621572</v>
      </c>
      <c r="K146" s="85">
        <f t="shared" si="222"/>
        <v>47.897679375000003</v>
      </c>
      <c r="L146" s="38">
        <v>1250</v>
      </c>
      <c r="M146" s="38">
        <v>975</v>
      </c>
      <c r="N146" s="49">
        <f>1-(M146/L146)</f>
        <v>0.21999999999999997</v>
      </c>
      <c r="O146" s="50">
        <f>+'Trim Rwd'!H83</f>
        <v>259</v>
      </c>
      <c r="P146" s="51">
        <f>O146*(Q146-R146-S146)</f>
        <v>350945</v>
      </c>
      <c r="Q146" s="50">
        <v>1405</v>
      </c>
      <c r="R146" s="503">
        <v>0</v>
      </c>
      <c r="S146" s="503">
        <v>50</v>
      </c>
      <c r="T146" s="40">
        <f>E146*M146*O146*Q146/100000000</f>
        <v>47.897679375000003</v>
      </c>
      <c r="U146" s="40">
        <f>E146*M146*O146*(Q146-R146-S146)/100000000</f>
        <v>46.193135624999996</v>
      </c>
      <c r="V146" s="40">
        <f>E146*G146*(1-N146)*O146/100*(R146+S146)/1000000</f>
        <v>1.6227256500000002</v>
      </c>
      <c r="W146" s="40">
        <f>+'27'!K9/1000</f>
        <v>44.183999999999997</v>
      </c>
      <c r="X146" s="41"/>
      <c r="Y146" s="214"/>
      <c r="Z146" s="40"/>
      <c r="AA146" s="40"/>
      <c r="AB146" s="40"/>
      <c r="AC146" s="40">
        <f>K146-T146</f>
        <v>0</v>
      </c>
      <c r="AD146" s="40">
        <f t="shared" ref="AD146:AD148" si="223">+AM146+BA146</f>
        <v>17</v>
      </c>
      <c r="AE146" s="233" t="s">
        <v>721</v>
      </c>
      <c r="AF146" s="40"/>
      <c r="AG146" s="40">
        <v>17</v>
      </c>
      <c r="AH146" s="40"/>
      <c r="AI146" s="505"/>
      <c r="AJ146" s="40"/>
      <c r="AK146" s="40"/>
      <c r="AL146" s="40"/>
      <c r="AM146" s="40">
        <f t="shared" ref="AM146:AM148" si="224">SUM(AF146:AL146)+AT146</f>
        <v>17</v>
      </c>
      <c r="AN146" s="86"/>
      <c r="AO146" s="40"/>
      <c r="AP146" s="40"/>
      <c r="AQ146" s="40"/>
      <c r="AR146" s="40">
        <f t="shared" ref="AR146:AR148" si="225">SUM(AN146:AQ146)</f>
        <v>0</v>
      </c>
      <c r="AS146" s="40"/>
      <c r="AT146" s="40"/>
      <c r="AU146" s="40"/>
      <c r="AV146" s="40"/>
      <c r="AW146" s="40"/>
      <c r="AX146" s="40"/>
      <c r="AY146" s="40"/>
      <c r="AZ146" s="40"/>
      <c r="BA146" s="40">
        <f t="shared" ref="BA146:BA148" si="226">+AR146+AS146+AU146+AV146+AX146</f>
        <v>0</v>
      </c>
      <c r="BB146" s="53"/>
      <c r="BC146" s="54">
        <v>12</v>
      </c>
      <c r="BD146" s="54"/>
      <c r="BE146" s="53"/>
      <c r="BF146" s="54"/>
    </row>
    <row r="147" spans="1:58" ht="12.95" customHeight="1">
      <c r="A147" s="43"/>
      <c r="B147" s="44"/>
      <c r="C147" s="447"/>
      <c r="D147" s="44"/>
      <c r="E147" s="45"/>
      <c r="F147" s="45"/>
      <c r="G147" s="502"/>
      <c r="H147" s="47"/>
      <c r="I147" s="48"/>
      <c r="J147" s="85"/>
      <c r="K147" s="85"/>
      <c r="L147" s="38"/>
      <c r="M147" s="38"/>
      <c r="N147" s="49"/>
      <c r="O147" s="50"/>
      <c r="P147" s="51"/>
      <c r="Q147" s="50"/>
      <c r="R147" s="503"/>
      <c r="S147" s="503"/>
      <c r="T147" s="40"/>
      <c r="U147" s="40"/>
      <c r="V147" s="40"/>
      <c r="W147" s="40"/>
      <c r="X147" s="41"/>
      <c r="Y147" s="214"/>
      <c r="Z147" s="40"/>
      <c r="AA147" s="40"/>
      <c r="AB147" s="40"/>
      <c r="AC147" s="40"/>
      <c r="AD147" s="40">
        <f t="shared" si="223"/>
        <v>26</v>
      </c>
      <c r="AE147" s="233" t="s">
        <v>618</v>
      </c>
      <c r="AF147" s="36"/>
      <c r="AG147" s="36"/>
      <c r="AH147" s="36">
        <v>26</v>
      </c>
      <c r="AJ147" s="40"/>
      <c r="AK147" s="40"/>
      <c r="AL147" s="40"/>
      <c r="AM147" s="40">
        <f t="shared" si="224"/>
        <v>26</v>
      </c>
      <c r="AN147" s="40"/>
      <c r="AO147" s="40"/>
      <c r="AP147" s="40"/>
      <c r="AQ147" s="40"/>
      <c r="AR147" s="40">
        <f t="shared" si="225"/>
        <v>0</v>
      </c>
      <c r="AS147" s="40"/>
      <c r="AT147" s="40"/>
      <c r="AU147" s="40"/>
      <c r="AV147" s="40"/>
      <c r="AW147" s="40"/>
      <c r="AX147" s="40"/>
      <c r="AY147" s="40"/>
      <c r="AZ147" s="40"/>
      <c r="BA147" s="40">
        <f t="shared" si="226"/>
        <v>0</v>
      </c>
      <c r="BB147" s="36"/>
      <c r="BC147" s="506"/>
      <c r="BD147" s="506"/>
      <c r="BE147" s="36"/>
      <c r="BF147" s="506"/>
    </row>
    <row r="148" spans="1:58" ht="12.95" customHeight="1">
      <c r="A148" s="43"/>
      <c r="B148" s="44"/>
      <c r="C148" s="447"/>
      <c r="D148" s="44"/>
      <c r="E148" s="45"/>
      <c r="F148" s="45"/>
      <c r="G148" s="46"/>
      <c r="H148" s="47"/>
      <c r="I148" s="48"/>
      <c r="J148" s="85"/>
      <c r="K148" s="85"/>
      <c r="L148" s="603"/>
      <c r="M148" s="603"/>
      <c r="N148" s="49"/>
      <c r="O148" s="50"/>
      <c r="P148" s="51"/>
      <c r="Q148" s="37"/>
      <c r="R148" s="503"/>
      <c r="S148" s="503"/>
      <c r="T148" s="40"/>
      <c r="U148" s="40"/>
      <c r="V148" s="40"/>
      <c r="W148" s="40"/>
      <c r="X148" s="41"/>
      <c r="Y148" s="214"/>
      <c r="Z148" s="40"/>
      <c r="AA148" s="40"/>
      <c r="AB148" s="40"/>
      <c r="AC148" s="40"/>
      <c r="AD148" s="40">
        <f t="shared" si="223"/>
        <v>18</v>
      </c>
      <c r="AE148" s="236" t="s">
        <v>228</v>
      </c>
      <c r="AF148" s="40"/>
      <c r="AG148" s="40"/>
      <c r="AH148" s="40"/>
      <c r="AI148" s="505">
        <v>18</v>
      </c>
      <c r="AJ148" s="40"/>
      <c r="AK148" s="40"/>
      <c r="AL148" s="40"/>
      <c r="AM148" s="40">
        <f t="shared" si="224"/>
        <v>18</v>
      </c>
      <c r="AN148" s="40"/>
      <c r="AO148" s="40"/>
      <c r="AP148" s="40"/>
      <c r="AQ148" s="40"/>
      <c r="AR148" s="40">
        <f t="shared" si="225"/>
        <v>0</v>
      </c>
      <c r="AS148" s="40"/>
      <c r="AT148" s="40"/>
      <c r="AU148" s="40"/>
      <c r="AV148" s="40"/>
      <c r="AW148" s="40"/>
      <c r="AX148" s="40"/>
      <c r="AY148" s="40"/>
      <c r="AZ148" s="40"/>
      <c r="BA148" s="40">
        <f t="shared" si="226"/>
        <v>0</v>
      </c>
      <c r="BB148" s="53"/>
      <c r="BC148" s="54"/>
      <c r="BD148" s="54"/>
      <c r="BE148" s="53"/>
      <c r="BF148" s="54"/>
    </row>
    <row r="149" spans="1:58" ht="12.95" customHeight="1">
      <c r="A149" s="43"/>
      <c r="B149" s="44"/>
      <c r="C149" s="447"/>
      <c r="D149" s="44"/>
      <c r="E149" s="45"/>
      <c r="F149" s="45"/>
      <c r="G149" s="502"/>
      <c r="H149" s="47"/>
      <c r="I149" s="48"/>
      <c r="J149" s="85"/>
      <c r="K149" s="85"/>
      <c r="L149" s="603"/>
      <c r="M149" s="603"/>
      <c r="N149" s="49"/>
      <c r="O149" s="50"/>
      <c r="P149" s="51"/>
      <c r="Q149" s="50"/>
      <c r="R149" s="503"/>
      <c r="S149" s="503"/>
      <c r="T149" s="40"/>
      <c r="U149" s="40"/>
      <c r="V149" s="40"/>
      <c r="W149" s="40"/>
      <c r="X149" s="504"/>
      <c r="Y149" s="214"/>
      <c r="Z149" s="40"/>
      <c r="AA149" s="52"/>
      <c r="AB149" s="52"/>
      <c r="AC149" s="40"/>
      <c r="AD149" s="40"/>
      <c r="AE149" s="233"/>
      <c r="AF149" s="40"/>
      <c r="AG149" s="40"/>
      <c r="AH149" s="40"/>
      <c r="AI149" s="505"/>
      <c r="AJ149" s="40"/>
      <c r="AK149" s="40"/>
      <c r="AL149" s="40"/>
      <c r="AM149" s="40"/>
      <c r="AN149" s="40"/>
      <c r="AO149" s="40"/>
      <c r="AP149" s="40"/>
      <c r="AQ149" s="40"/>
      <c r="AR149" s="40"/>
      <c r="AS149" s="40"/>
      <c r="AT149" s="40"/>
      <c r="AU149" s="40"/>
      <c r="AV149" s="40"/>
      <c r="AW149" s="40"/>
      <c r="AX149" s="40"/>
      <c r="AY149" s="40"/>
      <c r="AZ149" s="40"/>
      <c r="BA149" s="40"/>
      <c r="BB149" s="36"/>
      <c r="BC149" s="54"/>
      <c r="BD149" s="506"/>
      <c r="BE149" s="36"/>
      <c r="BF149" s="506"/>
    </row>
    <row r="150" spans="1:58" ht="12.75" customHeight="1">
      <c r="A150" s="43">
        <v>46109</v>
      </c>
      <c r="B150" s="44" t="s">
        <v>423</v>
      </c>
      <c r="C150" s="447">
        <f>(M150*E150*O150*Q150)/100000000</f>
        <v>29.862421874999999</v>
      </c>
      <c r="D150" s="44" t="s">
        <v>425</v>
      </c>
      <c r="E150" s="45">
        <v>13.5</v>
      </c>
      <c r="F150" s="45">
        <v>1</v>
      </c>
      <c r="G150" s="598">
        <f>+L150</f>
        <v>1250</v>
      </c>
      <c r="H150" s="47">
        <f>+N150</f>
        <v>0.21999999999999997</v>
      </c>
      <c r="I150" s="48">
        <v>0.88</v>
      </c>
      <c r="J150" s="85">
        <f>E150*G150*(1-H150)*1440/1000000*2.75</f>
        <v>52.1235</v>
      </c>
      <c r="K150" s="85">
        <f t="shared" ref="K150:K151" si="227">(IF(G150&lt;L150,L150,G150)*(1-IF(H150&lt;N150,H150,N150))*E150*O150*Q150)/100000000</f>
        <v>29.862421874999999</v>
      </c>
      <c r="L150" s="603">
        <v>1250</v>
      </c>
      <c r="M150" s="603">
        <v>975</v>
      </c>
      <c r="N150" s="49">
        <f>1-(M150/L150)</f>
        <v>0.21999999999999997</v>
      </c>
      <c r="O150" s="50">
        <f>+'Trim Rwd'!H85</f>
        <v>275</v>
      </c>
      <c r="P150" s="51">
        <f>O150*(Q150-R150-S150)</f>
        <v>215600</v>
      </c>
      <c r="Q150" s="50">
        <v>825</v>
      </c>
      <c r="R150" s="503">
        <v>0</v>
      </c>
      <c r="S150" s="503">
        <v>41</v>
      </c>
      <c r="T150" s="40">
        <f>E150*M150*O150*Q150/100000000</f>
        <v>29.862421874999999</v>
      </c>
      <c r="U150" s="40">
        <f>E150*M150*O150*(Q150-R150-S150)/100000000</f>
        <v>28.378350000000001</v>
      </c>
      <c r="V150" s="40">
        <f>E150*G150*(1-N150)*O150/100*(R150+S150)/1000000</f>
        <v>1.4840718749999999</v>
      </c>
      <c r="W150" s="40">
        <f>+'28'!K9/1000</f>
        <v>33.015999999999998</v>
      </c>
      <c r="X150" s="504">
        <f>SUM(W150:W153)/SUM(K150:K153)</f>
        <v>0.98301850349108388</v>
      </c>
      <c r="Y150" s="214">
        <v>0</v>
      </c>
      <c r="Z150" s="40">
        <v>0</v>
      </c>
      <c r="AA150" s="52">
        <f>SUM(U150:U153)-SUM(W150:W153)-SUM(Z150:Z153)-SUM(Y150:Y153)</f>
        <v>-1.3350401624999932</v>
      </c>
      <c r="AB150" s="52">
        <f>(SUM(K150:K153)-SUM(W150:W153)-SUM(Y150:Y153)-SUM(Z150:Z153)-SUM(AC150:AC153)-SUM(V150:V153))-AA150</f>
        <v>0</v>
      </c>
      <c r="AC150" s="40">
        <f>K150-T150</f>
        <v>0</v>
      </c>
      <c r="AD150" s="40">
        <f>+AM150+BA150</f>
        <v>0</v>
      </c>
      <c r="AE150" s="233" t="s">
        <v>391</v>
      </c>
      <c r="AF150" s="40">
        <v>0</v>
      </c>
      <c r="AG150" s="40"/>
      <c r="AH150" s="40"/>
      <c r="AI150" s="505"/>
      <c r="AJ150" s="40"/>
      <c r="AK150" s="40"/>
      <c r="AL150" s="40"/>
      <c r="AM150" s="40">
        <f>SUM(AF150:AL150)+AT150</f>
        <v>0</v>
      </c>
      <c r="AN150" s="40"/>
      <c r="AO150" s="40"/>
      <c r="AP150" s="40"/>
      <c r="AQ150" s="40"/>
      <c r="AR150" s="40">
        <f>SUM(AN150:AQ150)</f>
        <v>0</v>
      </c>
      <c r="AS150" s="40"/>
      <c r="AT150" s="40"/>
      <c r="AU150" s="40"/>
      <c r="AV150" s="40"/>
      <c r="AW150" s="40"/>
      <c r="AX150" s="40"/>
      <c r="AY150" s="40"/>
      <c r="AZ150" s="40"/>
      <c r="BA150" s="40">
        <f>+AR150+AS150+AU150+AV150+AX150</f>
        <v>0</v>
      </c>
      <c r="BB150" s="36">
        <v>0</v>
      </c>
      <c r="BC150" s="54"/>
      <c r="BD150" s="54"/>
      <c r="BE150" s="36"/>
      <c r="BF150" s="54"/>
    </row>
    <row r="151" spans="1:58" ht="12.95" customHeight="1">
      <c r="A151" s="43"/>
      <c r="B151" s="44" t="s">
        <v>423</v>
      </c>
      <c r="C151" s="447">
        <f>(M151*E151*O151*Q151)/100000000</f>
        <v>23.044008487500001</v>
      </c>
      <c r="D151" s="44" t="s">
        <v>425</v>
      </c>
      <c r="E151" s="45">
        <v>15.5</v>
      </c>
      <c r="F151" s="45">
        <v>1</v>
      </c>
      <c r="G151" s="598">
        <v>1150</v>
      </c>
      <c r="H151" s="47">
        <f>+N151</f>
        <v>0.21999999999999997</v>
      </c>
      <c r="I151" s="48">
        <v>0.88</v>
      </c>
      <c r="J151" s="85">
        <f>E151*G151*(1-H151)*1440/1000000*2.75</f>
        <v>55.057859999999998</v>
      </c>
      <c r="K151" s="85">
        <f t="shared" si="227"/>
        <v>23.044008487500001</v>
      </c>
      <c r="L151" s="603">
        <v>1150</v>
      </c>
      <c r="M151" s="603">
        <v>897</v>
      </c>
      <c r="N151" s="49">
        <f>1-(M151/L151)</f>
        <v>0.21999999999999997</v>
      </c>
      <c r="O151" s="50">
        <f>+'Trim Rwd'!H87</f>
        <v>269.5</v>
      </c>
      <c r="P151" s="51">
        <f>O151*(Q151-R151-S151)</f>
        <v>160352.5</v>
      </c>
      <c r="Q151" s="50">
        <v>615</v>
      </c>
      <c r="R151" s="503">
        <v>0</v>
      </c>
      <c r="S151" s="503">
        <v>20</v>
      </c>
      <c r="T151" s="40">
        <f>E151*M151*O151*Q151/100000000</f>
        <v>23.044008487500001</v>
      </c>
      <c r="U151" s="40">
        <f>E151*M151*O151*(Q151-R151-S151)/100000000</f>
        <v>22.294609837500001</v>
      </c>
      <c r="V151" s="40">
        <f>E151*G151*(1-N151)*O151/100*(R151+S151)/1000000</f>
        <v>0.74939865000000006</v>
      </c>
      <c r="W151" s="40">
        <f>+'28'!K8/1000</f>
        <v>18.992000000000001</v>
      </c>
      <c r="X151" s="41"/>
      <c r="Y151" s="214"/>
      <c r="Z151" s="40"/>
      <c r="AA151" s="40"/>
      <c r="AB151" s="40"/>
      <c r="AC151" s="40">
        <f>K151-T151</f>
        <v>0</v>
      </c>
      <c r="AD151" s="40">
        <f t="shared" ref="AD151:AD153" si="228">+AM151+BA151</f>
        <v>19</v>
      </c>
      <c r="AE151" s="233" t="s">
        <v>461</v>
      </c>
      <c r="AF151" s="40"/>
      <c r="AG151" s="40">
        <v>19</v>
      </c>
      <c r="AH151" s="40"/>
      <c r="AI151" s="505"/>
      <c r="AJ151" s="40"/>
      <c r="AK151" s="40"/>
      <c r="AL151" s="40"/>
      <c r="AM151" s="40">
        <f t="shared" ref="AM151:AM153" si="229">SUM(AF151:AL151)+AT151</f>
        <v>19</v>
      </c>
      <c r="AN151" s="86"/>
      <c r="AO151" s="40"/>
      <c r="AP151" s="40"/>
      <c r="AQ151" s="40"/>
      <c r="AR151" s="40">
        <f t="shared" ref="AR151:AR153" si="230">SUM(AN151:AQ151)</f>
        <v>0</v>
      </c>
      <c r="AS151" s="40"/>
      <c r="AT151" s="40"/>
      <c r="AU151" s="40"/>
      <c r="AV151" s="40"/>
      <c r="AW151" s="40"/>
      <c r="AX151" s="40"/>
      <c r="AY151" s="40"/>
      <c r="AZ151" s="40"/>
      <c r="BA151" s="40">
        <f t="shared" ref="BA151:BA153" si="231">+AR151+AS151+AU151+AV151+AX151</f>
        <v>0</v>
      </c>
      <c r="BB151" s="53"/>
      <c r="BC151" s="54">
        <v>13</v>
      </c>
      <c r="BD151" s="54"/>
      <c r="BE151" s="53"/>
      <c r="BF151" s="54"/>
    </row>
    <row r="152" spans="1:58" ht="12.95" customHeight="1">
      <c r="A152" s="43"/>
      <c r="B152" s="44"/>
      <c r="C152" s="447"/>
      <c r="D152" s="44"/>
      <c r="E152" s="45"/>
      <c r="F152" s="45"/>
      <c r="G152" s="502"/>
      <c r="H152" s="47"/>
      <c r="I152" s="48"/>
      <c r="J152" s="85"/>
      <c r="K152" s="85"/>
      <c r="L152" s="603"/>
      <c r="M152" s="603"/>
      <c r="N152" s="49"/>
      <c r="O152" s="50"/>
      <c r="P152" s="51"/>
      <c r="Q152" s="50"/>
      <c r="R152" s="503"/>
      <c r="S152" s="503"/>
      <c r="T152" s="40"/>
      <c r="U152" s="40"/>
      <c r="V152" s="40"/>
      <c r="W152" s="40"/>
      <c r="X152" s="41"/>
      <c r="Y152" s="214"/>
      <c r="Z152" s="40"/>
      <c r="AA152" s="40"/>
      <c r="AB152" s="40"/>
      <c r="AC152" s="40"/>
      <c r="AD152" s="40">
        <f t="shared" si="228"/>
        <v>24</v>
      </c>
      <c r="AE152" s="233" t="s">
        <v>490</v>
      </c>
      <c r="AF152" s="36"/>
      <c r="AG152" s="36"/>
      <c r="AH152" s="36">
        <v>24</v>
      </c>
      <c r="AJ152" s="40"/>
      <c r="AK152" s="40"/>
      <c r="AL152" s="40"/>
      <c r="AM152" s="40">
        <f t="shared" si="229"/>
        <v>24</v>
      </c>
      <c r="AN152" s="40"/>
      <c r="AO152" s="40"/>
      <c r="AP152" s="40"/>
      <c r="AQ152" s="40"/>
      <c r="AR152" s="40">
        <f t="shared" si="230"/>
        <v>0</v>
      </c>
      <c r="AS152" s="40"/>
      <c r="AT152" s="40"/>
      <c r="AU152" s="40"/>
      <c r="AV152" s="40"/>
      <c r="AW152" s="40"/>
      <c r="AX152" s="40"/>
      <c r="AY152" s="40"/>
      <c r="AZ152" s="40"/>
      <c r="BA152" s="40">
        <f t="shared" si="231"/>
        <v>0</v>
      </c>
      <c r="BB152" s="36"/>
      <c r="BC152" s="506"/>
      <c r="BD152" s="506"/>
      <c r="BE152" s="36"/>
      <c r="BF152" s="506"/>
    </row>
    <row r="153" spans="1:58" ht="12.95" customHeight="1">
      <c r="A153" s="43"/>
      <c r="B153" s="44"/>
      <c r="C153" s="447"/>
      <c r="D153" s="44"/>
      <c r="E153" s="45"/>
      <c r="F153" s="45"/>
      <c r="G153" s="46"/>
      <c r="H153" s="47"/>
      <c r="I153" s="48"/>
      <c r="J153" s="85"/>
      <c r="K153" s="85"/>
      <c r="L153" s="603"/>
      <c r="M153" s="603"/>
      <c r="N153" s="49"/>
      <c r="O153" s="50"/>
      <c r="P153" s="51"/>
      <c r="Q153" s="37"/>
      <c r="R153" s="503"/>
      <c r="S153" s="503"/>
      <c r="T153" s="40"/>
      <c r="U153" s="40"/>
      <c r="V153" s="40"/>
      <c r="W153" s="40"/>
      <c r="X153" s="41"/>
      <c r="Y153" s="214"/>
      <c r="Z153" s="40"/>
      <c r="AA153" s="40"/>
      <c r="AB153" s="40"/>
      <c r="AC153" s="40"/>
      <c r="AD153" s="40">
        <f t="shared" si="228"/>
        <v>18</v>
      </c>
      <c r="AE153" s="236" t="s">
        <v>228</v>
      </c>
      <c r="AF153" s="40"/>
      <c r="AG153" s="40"/>
      <c r="AH153" s="40"/>
      <c r="AI153" s="505">
        <v>18</v>
      </c>
      <c r="AJ153" s="40"/>
      <c r="AK153" s="40"/>
      <c r="AL153" s="40"/>
      <c r="AM153" s="40">
        <f t="shared" si="229"/>
        <v>18</v>
      </c>
      <c r="AN153" s="40"/>
      <c r="AO153" s="40"/>
      <c r="AP153" s="40"/>
      <c r="AQ153" s="40"/>
      <c r="AR153" s="40">
        <f t="shared" si="230"/>
        <v>0</v>
      </c>
      <c r="AS153" s="40"/>
      <c r="AT153" s="40"/>
      <c r="AU153" s="40"/>
      <c r="AV153" s="40"/>
      <c r="AW153" s="40"/>
      <c r="AX153" s="40"/>
      <c r="AY153" s="40"/>
      <c r="AZ153" s="40"/>
      <c r="BA153" s="40">
        <f t="shared" si="231"/>
        <v>0</v>
      </c>
      <c r="BB153" s="53"/>
      <c r="BC153" s="54"/>
      <c r="BD153" s="54"/>
      <c r="BE153" s="53"/>
      <c r="BF153" s="54"/>
    </row>
    <row r="154" spans="1:58" ht="12.95" customHeight="1">
      <c r="A154" s="43"/>
      <c r="B154" s="44"/>
      <c r="C154" s="447"/>
      <c r="D154" s="44"/>
      <c r="E154" s="45"/>
      <c r="F154" s="45"/>
      <c r="G154" s="502"/>
      <c r="H154" s="47"/>
      <c r="I154" s="48"/>
      <c r="J154" s="85"/>
      <c r="K154" s="85"/>
      <c r="L154" s="603"/>
      <c r="M154" s="603"/>
      <c r="N154" s="49"/>
      <c r="O154" s="50"/>
      <c r="P154" s="51"/>
      <c r="Q154" s="50"/>
      <c r="R154" s="503"/>
      <c r="S154" s="503"/>
      <c r="T154" s="40"/>
      <c r="U154" s="40"/>
      <c r="V154" s="40"/>
      <c r="W154" s="40"/>
      <c r="X154" s="504"/>
      <c r="Y154" s="214"/>
      <c r="Z154" s="40"/>
      <c r="AA154" s="52"/>
      <c r="AB154" s="52"/>
      <c r="AC154" s="40"/>
      <c r="AD154" s="40"/>
      <c r="AE154" s="233"/>
      <c r="AF154" s="40"/>
      <c r="AG154" s="40"/>
      <c r="AH154" s="40"/>
      <c r="AI154" s="505"/>
      <c r="AJ154" s="40"/>
      <c r="AK154" s="40"/>
      <c r="AL154" s="40"/>
      <c r="AM154" s="40"/>
      <c r="AN154" s="40"/>
      <c r="AO154" s="40"/>
      <c r="AP154" s="40"/>
      <c r="AQ154" s="40"/>
      <c r="AR154" s="40"/>
      <c r="AS154" s="40"/>
      <c r="AT154" s="40"/>
      <c r="AU154" s="40"/>
      <c r="AV154" s="40"/>
      <c r="AW154" s="40"/>
      <c r="AX154" s="40"/>
      <c r="AY154" s="40"/>
      <c r="AZ154" s="40"/>
      <c r="BA154" s="40"/>
      <c r="BB154" s="36"/>
      <c r="BC154" s="54"/>
      <c r="BD154" s="506"/>
      <c r="BE154" s="36"/>
      <c r="BF154" s="506"/>
    </row>
    <row r="155" spans="1:58" ht="12.75" customHeight="1">
      <c r="A155" s="43">
        <v>46110</v>
      </c>
      <c r="B155" s="44" t="s">
        <v>423</v>
      </c>
      <c r="C155" s="447">
        <f>(M155*E155*O155*Q155)/100000000</f>
        <v>53.956702800000002</v>
      </c>
      <c r="D155" s="44" t="s">
        <v>425</v>
      </c>
      <c r="E155" s="45">
        <v>15.5</v>
      </c>
      <c r="F155" s="45">
        <v>1</v>
      </c>
      <c r="G155" s="598">
        <v>1150</v>
      </c>
      <c r="H155" s="47">
        <f>+N155</f>
        <v>0.21999999999999997</v>
      </c>
      <c r="I155" s="48">
        <v>0.88</v>
      </c>
      <c r="J155" s="85">
        <f>E155*G155*(1-H155)*1440/1000000*2.75</f>
        <v>55.057859999999998</v>
      </c>
      <c r="K155" s="85">
        <f t="shared" ref="K155" si="232">(IF(G155&lt;L155,L155,G155)*(1-IF(H155&lt;N155,H155,N155))*E155*O155*Q155)/100000000</f>
        <v>53.956702800000002</v>
      </c>
      <c r="L155" s="603">
        <v>1150</v>
      </c>
      <c r="M155" s="603">
        <v>897</v>
      </c>
      <c r="N155" s="49">
        <f>1-(M155/L155)</f>
        <v>0.21999999999999997</v>
      </c>
      <c r="O155" s="50">
        <f>+'Trim Rwd'!H89</f>
        <v>269.5</v>
      </c>
      <c r="P155" s="51">
        <f>O155*(Q155-R155-S155)</f>
        <v>370562.5</v>
      </c>
      <c r="Q155" s="50">
        <v>1440</v>
      </c>
      <c r="R155" s="503">
        <v>0</v>
      </c>
      <c r="S155" s="503">
        <v>65</v>
      </c>
      <c r="T155" s="40">
        <f>E155*M155*O155*Q155/100000000</f>
        <v>53.956702800000002</v>
      </c>
      <c r="U155" s="40">
        <f>E155*M155*O155*(Q155-R155-S155)/100000000</f>
        <v>51.521157187500002</v>
      </c>
      <c r="V155" s="40">
        <f>E155*G155*(1-N155)*O155/100*(R155+S155)/1000000</f>
        <v>2.4355456125000003</v>
      </c>
      <c r="W155" s="40">
        <f>+'29'!K8/1000</f>
        <v>50.317</v>
      </c>
      <c r="X155" s="504">
        <f>SUM(W155:W158)/SUM(K155:K158)</f>
        <v>0.93254401008358123</v>
      </c>
      <c r="Y155" s="214">
        <v>0</v>
      </c>
      <c r="Z155" s="40">
        <v>0</v>
      </c>
      <c r="AA155" s="52">
        <f>SUM(U155:U158)-SUM(W155:W158)-SUM(Z155:Z158)-SUM(Y155:Y158)</f>
        <v>1.2041571875000017</v>
      </c>
      <c r="AB155" s="52">
        <f>(SUM(K155:K158)-SUM(W155:W158)-SUM(Y155:Y158)-SUM(Z155:Z158)-SUM(AC155:AC158)-SUM(V155:V158))-AA155</f>
        <v>0</v>
      </c>
      <c r="AC155" s="40">
        <f>K155-T155</f>
        <v>0</v>
      </c>
      <c r="AD155" s="40">
        <f>+AM155+BA155</f>
        <v>0</v>
      </c>
      <c r="AE155" s="233" t="s">
        <v>391</v>
      </c>
      <c r="AF155" s="40">
        <v>0</v>
      </c>
      <c r="AG155" s="40"/>
      <c r="AH155" s="40"/>
      <c r="AI155" s="505"/>
      <c r="AJ155" s="40"/>
      <c r="AK155" s="40"/>
      <c r="AL155" s="40"/>
      <c r="AM155" s="40">
        <f>SUM(AF155:AL155)+AT155</f>
        <v>0</v>
      </c>
      <c r="AN155" s="40"/>
      <c r="AO155" s="40"/>
      <c r="AP155" s="40"/>
      <c r="AQ155" s="40"/>
      <c r="AR155" s="40">
        <f>SUM(AN155:AQ155)</f>
        <v>0</v>
      </c>
      <c r="AS155" s="40"/>
      <c r="AT155" s="40"/>
      <c r="AU155" s="40"/>
      <c r="AV155" s="40"/>
      <c r="AW155" s="40"/>
      <c r="AX155" s="40"/>
      <c r="AY155" s="40"/>
      <c r="AZ155" s="40"/>
      <c r="BA155" s="40">
        <f>+AR155+AS155+AU155+AV155+AX155</f>
        <v>0</v>
      </c>
      <c r="BB155" s="36">
        <v>0</v>
      </c>
      <c r="BC155" s="54"/>
      <c r="BD155" s="54"/>
      <c r="BE155" s="36"/>
      <c r="BF155" s="54"/>
    </row>
    <row r="156" spans="1:58" ht="12.95" customHeight="1">
      <c r="A156" s="43"/>
      <c r="B156" s="44"/>
      <c r="C156" s="447"/>
      <c r="D156" s="44"/>
      <c r="E156" s="45"/>
      <c r="F156" s="45"/>
      <c r="G156" s="48"/>
      <c r="H156" s="47"/>
      <c r="I156" s="48"/>
      <c r="J156" s="85"/>
      <c r="K156" s="85"/>
      <c r="L156" s="603"/>
      <c r="M156" s="603"/>
      <c r="N156" s="49"/>
      <c r="O156" s="50"/>
      <c r="P156" s="51"/>
      <c r="Q156" s="50"/>
      <c r="R156" s="503"/>
      <c r="S156" s="503"/>
      <c r="T156" s="40"/>
      <c r="U156" s="40"/>
      <c r="V156" s="40"/>
      <c r="W156" s="40"/>
      <c r="X156" s="41"/>
      <c r="Y156" s="214"/>
      <c r="Z156" s="40"/>
      <c r="AA156" s="40"/>
      <c r="AB156" s="40"/>
      <c r="AC156" s="40"/>
      <c r="AD156" s="40">
        <f t="shared" ref="AD156:AD158" si="233">+AM156+BA156</f>
        <v>19</v>
      </c>
      <c r="AE156" s="233" t="s">
        <v>461</v>
      </c>
      <c r="AF156" s="40"/>
      <c r="AG156" s="40">
        <v>19</v>
      </c>
      <c r="AH156" s="40"/>
      <c r="AI156" s="505"/>
      <c r="AJ156" s="40"/>
      <c r="AK156" s="40"/>
      <c r="AL156" s="40"/>
      <c r="AM156" s="40">
        <f t="shared" ref="AM156:AM158" si="234">SUM(AF156:AL156)+AT156</f>
        <v>19</v>
      </c>
      <c r="AN156" s="86"/>
      <c r="AO156" s="40"/>
      <c r="AP156" s="40"/>
      <c r="AQ156" s="40"/>
      <c r="AR156" s="40">
        <f t="shared" ref="AR156:AR158" si="235">SUM(AN156:AQ156)</f>
        <v>0</v>
      </c>
      <c r="AS156" s="40"/>
      <c r="AT156" s="40"/>
      <c r="AU156" s="40"/>
      <c r="AV156" s="40"/>
      <c r="AW156" s="40"/>
      <c r="AX156" s="40"/>
      <c r="AY156" s="40"/>
      <c r="AZ156" s="40"/>
      <c r="BA156" s="40">
        <f t="shared" ref="BA156:BA158" si="236">+AR156+AS156+AU156+AV156+AX156</f>
        <v>0</v>
      </c>
      <c r="BB156" s="53"/>
      <c r="BC156" s="54">
        <v>13</v>
      </c>
      <c r="BD156" s="54"/>
      <c r="BE156" s="53"/>
      <c r="BF156" s="54"/>
    </row>
    <row r="157" spans="1:58" ht="12.95" customHeight="1">
      <c r="A157" s="43"/>
      <c r="B157" s="44"/>
      <c r="C157" s="447"/>
      <c r="D157" s="44"/>
      <c r="E157" s="45"/>
      <c r="F157" s="45"/>
      <c r="G157" s="502"/>
      <c r="H157" s="47"/>
      <c r="I157" s="48"/>
      <c r="J157" s="85"/>
      <c r="K157" s="85"/>
      <c r="L157" s="603"/>
      <c r="M157" s="603"/>
      <c r="N157" s="49"/>
      <c r="O157" s="50"/>
      <c r="P157" s="51"/>
      <c r="Q157" s="50"/>
      <c r="R157" s="503"/>
      <c r="S157" s="503"/>
      <c r="T157" s="40"/>
      <c r="U157" s="40"/>
      <c r="V157" s="40"/>
      <c r="W157" s="40"/>
      <c r="X157" s="41"/>
      <c r="Y157" s="214"/>
      <c r="Z157" s="40"/>
      <c r="AA157" s="40"/>
      <c r="AB157" s="40"/>
      <c r="AC157" s="40"/>
      <c r="AD157" s="40">
        <f t="shared" si="233"/>
        <v>28</v>
      </c>
      <c r="AE157" s="233" t="s">
        <v>587</v>
      </c>
      <c r="AF157" s="36"/>
      <c r="AG157" s="36"/>
      <c r="AH157" s="36">
        <v>28</v>
      </c>
      <c r="AJ157" s="40"/>
      <c r="AK157" s="40"/>
      <c r="AL157" s="40"/>
      <c r="AM157" s="40">
        <f t="shared" si="234"/>
        <v>28</v>
      </c>
      <c r="AN157" s="40"/>
      <c r="AO157" s="40"/>
      <c r="AP157" s="40"/>
      <c r="AQ157" s="40"/>
      <c r="AR157" s="40">
        <f t="shared" si="235"/>
        <v>0</v>
      </c>
      <c r="AS157" s="40"/>
      <c r="AT157" s="40"/>
      <c r="AU157" s="40"/>
      <c r="AV157" s="40"/>
      <c r="AW157" s="40"/>
      <c r="AX157" s="40"/>
      <c r="AY157" s="40"/>
      <c r="AZ157" s="40"/>
      <c r="BA157" s="40">
        <f t="shared" si="236"/>
        <v>0</v>
      </c>
      <c r="BB157" s="36"/>
      <c r="BC157" s="506"/>
      <c r="BD157" s="506"/>
      <c r="BE157" s="36"/>
      <c r="BF157" s="506"/>
    </row>
    <row r="158" spans="1:58" ht="12.95" customHeight="1">
      <c r="A158" s="43"/>
      <c r="B158" s="44"/>
      <c r="C158" s="447"/>
      <c r="D158" s="44"/>
      <c r="E158" s="45"/>
      <c r="F158" s="45"/>
      <c r="G158" s="46"/>
      <c r="H158" s="47"/>
      <c r="I158" s="48"/>
      <c r="J158" s="85"/>
      <c r="K158" s="85"/>
      <c r="L158" s="603"/>
      <c r="M158" s="603"/>
      <c r="N158" s="49"/>
      <c r="O158" s="50"/>
      <c r="P158" s="51"/>
      <c r="Q158" s="37"/>
      <c r="R158" s="503"/>
      <c r="S158" s="503"/>
      <c r="T158" s="40"/>
      <c r="U158" s="40"/>
      <c r="V158" s="40"/>
      <c r="W158" s="40"/>
      <c r="X158" s="41"/>
      <c r="Y158" s="214"/>
      <c r="Z158" s="40"/>
      <c r="AA158" s="40"/>
      <c r="AB158" s="40"/>
      <c r="AC158" s="40"/>
      <c r="AD158" s="40">
        <f t="shared" si="233"/>
        <v>18</v>
      </c>
      <c r="AE158" s="236" t="s">
        <v>228</v>
      </c>
      <c r="AF158" s="40"/>
      <c r="AG158" s="40"/>
      <c r="AH158" s="40"/>
      <c r="AI158" s="505">
        <v>18</v>
      </c>
      <c r="AJ158" s="40"/>
      <c r="AK158" s="40"/>
      <c r="AL158" s="40"/>
      <c r="AM158" s="40">
        <f t="shared" si="234"/>
        <v>18</v>
      </c>
      <c r="AN158" s="40"/>
      <c r="AO158" s="40"/>
      <c r="AP158" s="40"/>
      <c r="AQ158" s="40"/>
      <c r="AR158" s="40">
        <f t="shared" si="235"/>
        <v>0</v>
      </c>
      <c r="AS158" s="40"/>
      <c r="AT158" s="40"/>
      <c r="AU158" s="40"/>
      <c r="AV158" s="40"/>
      <c r="AW158" s="40"/>
      <c r="AX158" s="40"/>
      <c r="AY158" s="40"/>
      <c r="AZ158" s="40"/>
      <c r="BA158" s="40">
        <f t="shared" si="236"/>
        <v>0</v>
      </c>
      <c r="BB158" s="53"/>
      <c r="BC158" s="54"/>
      <c r="BD158" s="54"/>
      <c r="BE158" s="53"/>
      <c r="BF158" s="54"/>
    </row>
    <row r="159" spans="1:58" ht="12.95" customHeight="1">
      <c r="A159" s="43"/>
      <c r="B159" s="562"/>
      <c r="C159" s="447"/>
      <c r="D159" s="44"/>
      <c r="E159" s="45"/>
      <c r="F159" s="45"/>
      <c r="G159" s="46"/>
      <c r="H159" s="47"/>
      <c r="I159" s="48"/>
      <c r="J159" s="85"/>
      <c r="K159" s="85"/>
      <c r="L159" s="603"/>
      <c r="M159" s="603"/>
      <c r="N159" s="49"/>
      <c r="O159" s="50"/>
      <c r="P159" s="51"/>
      <c r="Q159" s="37"/>
      <c r="R159" s="503"/>
      <c r="S159" s="503"/>
      <c r="T159" s="40"/>
      <c r="U159" s="40"/>
      <c r="V159" s="40"/>
      <c r="W159" s="40"/>
      <c r="X159" s="41"/>
      <c r="Y159" s="41"/>
      <c r="Z159" s="40"/>
      <c r="AA159" s="52"/>
      <c r="AB159" s="52"/>
      <c r="AC159" s="40"/>
      <c r="AD159" s="40"/>
      <c r="AE159" s="236"/>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36"/>
      <c r="BC159" s="54"/>
      <c r="BD159" s="506"/>
      <c r="BE159" s="36"/>
      <c r="BF159" s="506"/>
    </row>
    <row r="160" spans="1:58" ht="12.75" customHeight="1">
      <c r="A160" s="43">
        <v>46111</v>
      </c>
      <c r="B160" s="44" t="s">
        <v>423</v>
      </c>
      <c r="C160" s="447">
        <f>(M160*E160*O160*Q160)/100000000</f>
        <v>50.054019265249998</v>
      </c>
      <c r="D160" s="44" t="s">
        <v>425</v>
      </c>
      <c r="E160" s="45">
        <v>15.5</v>
      </c>
      <c r="F160" s="45">
        <v>1</v>
      </c>
      <c r="G160" s="598">
        <v>1150</v>
      </c>
      <c r="H160" s="47">
        <f>+N160</f>
        <v>0.2187328278119357</v>
      </c>
      <c r="I160" s="48">
        <v>0.88</v>
      </c>
      <c r="J160" s="85">
        <f>E160*G160*(1-H160)*1440/1000000*2.75</f>
        <v>55.147305883238886</v>
      </c>
      <c r="K160" s="85">
        <f t="shared" ref="K160" si="237">(IF(G160&lt;L160,L160,G160)*(1-IF(H160&lt;N160,H160,N160))*E160*O160*Q160)/100000000</f>
        <v>54.044359765574121</v>
      </c>
      <c r="L160" s="603">
        <v>1065.0902777777778</v>
      </c>
      <c r="M160" s="603">
        <v>832.12006944444443</v>
      </c>
      <c r="N160" s="49">
        <f>1-(M160/L160)</f>
        <v>0.2187328278119357</v>
      </c>
      <c r="O160" s="50">
        <f>+'Trim Rwd'!H91</f>
        <v>269.5</v>
      </c>
      <c r="P160" s="51">
        <f>O160*(Q160-R160-S160)</f>
        <v>355470.5</v>
      </c>
      <c r="Q160" s="50">
        <v>1440</v>
      </c>
      <c r="R160" s="503">
        <v>0</v>
      </c>
      <c r="S160" s="503">
        <f>56+18+47</f>
        <v>121</v>
      </c>
      <c r="T160" s="40">
        <f>E160*M160*O160*Q160/100000000</f>
        <v>50.054019265249998</v>
      </c>
      <c r="U160" s="40">
        <f>E160*M160*O160*(Q160-R160-S160)/100000000</f>
        <v>45.848091257544965</v>
      </c>
      <c r="V160" s="40">
        <f>E160*G160*(1-N160)*O160/100*(R160+S160)/1000000</f>
        <v>4.5412274525239367</v>
      </c>
      <c r="W160" s="40">
        <f>+'30'!K8/1000</f>
        <v>45.555</v>
      </c>
      <c r="X160" s="504">
        <f>SUM(W160:W163)/SUM(K160:K163)</f>
        <v>0.84291867269039633</v>
      </c>
      <c r="Y160" s="214">
        <v>0</v>
      </c>
      <c r="Z160" s="40">
        <v>0</v>
      </c>
      <c r="AA160" s="52">
        <f>SUM(U160:U163)-SUM(W160:W163)-SUM(Z160:Z163)-SUM(Y160:Y163)</f>
        <v>0.29309125754496534</v>
      </c>
      <c r="AB160" s="52">
        <f>(SUM(K160:K163)-SUM(W160:W163)-SUM(Y160:Y163)-SUM(Z160:Z163)-SUM(AC160:AC163)-SUM(V160:V163))-AA160</f>
        <v>-0.3352994448189035</v>
      </c>
      <c r="AC160" s="40">
        <f>K160-T160</f>
        <v>3.9903405003241232</v>
      </c>
      <c r="AD160" s="40">
        <f>+AM160+BA160</f>
        <v>0</v>
      </c>
      <c r="AE160" s="233" t="s">
        <v>391</v>
      </c>
      <c r="AF160" s="40">
        <v>0</v>
      </c>
      <c r="AG160" s="40"/>
      <c r="AH160" s="40"/>
      <c r="AI160" s="505"/>
      <c r="AJ160" s="40"/>
      <c r="AK160" s="40"/>
      <c r="AL160" s="40"/>
      <c r="AM160" s="40">
        <f>SUM(AF160:AL160)+AT160</f>
        <v>0</v>
      </c>
      <c r="AN160" s="40"/>
      <c r="AO160" s="40"/>
      <c r="AP160" s="40"/>
      <c r="AQ160" s="40"/>
      <c r="AR160" s="40">
        <f>SUM(AN160:AQ160)</f>
        <v>0</v>
      </c>
      <c r="AS160" s="40"/>
      <c r="AT160" s="40"/>
      <c r="AU160" s="40"/>
      <c r="AV160" s="40"/>
      <c r="AW160" s="40"/>
      <c r="AX160" s="40"/>
      <c r="AY160" s="40"/>
      <c r="AZ160" s="40"/>
      <c r="BA160" s="40">
        <f>+AR160+AS160+AU160+AV160+AX160</f>
        <v>0</v>
      </c>
      <c r="BB160" s="36">
        <v>0</v>
      </c>
      <c r="BC160" s="54"/>
      <c r="BD160" s="54"/>
      <c r="BE160" s="36"/>
      <c r="BF160" s="54"/>
    </row>
    <row r="161" spans="1:97" ht="12.95" customHeight="1">
      <c r="A161" s="43"/>
      <c r="B161" s="44"/>
      <c r="C161" s="447"/>
      <c r="D161" s="44"/>
      <c r="E161" s="45"/>
      <c r="F161" s="45"/>
      <c r="G161" s="48"/>
      <c r="H161" s="47"/>
      <c r="I161" s="48"/>
      <c r="J161" s="85"/>
      <c r="K161" s="85"/>
      <c r="L161" s="603"/>
      <c r="M161" s="603"/>
      <c r="N161" s="49"/>
      <c r="O161" s="50"/>
      <c r="P161" s="51"/>
      <c r="Q161" s="50"/>
      <c r="R161" s="503"/>
      <c r="S161" s="503"/>
      <c r="T161" s="40"/>
      <c r="U161" s="40"/>
      <c r="V161" s="40"/>
      <c r="W161" s="40"/>
      <c r="X161" s="41"/>
      <c r="Y161" s="214"/>
      <c r="Z161" s="40"/>
      <c r="AA161" s="40"/>
      <c r="AB161" s="40"/>
      <c r="AC161" s="40"/>
      <c r="AD161" s="40">
        <f t="shared" ref="AD161:AD164" si="238">+AM161+BA161</f>
        <v>23</v>
      </c>
      <c r="AE161" s="233" t="s">
        <v>760</v>
      </c>
      <c r="AF161" s="40"/>
      <c r="AG161" s="40">
        <v>23</v>
      </c>
      <c r="AH161" s="40"/>
      <c r="AI161" s="505"/>
      <c r="AJ161" s="40"/>
      <c r="AK161" s="40"/>
      <c r="AL161" s="40"/>
      <c r="AM161" s="40">
        <f t="shared" ref="AM161:AM164" si="239">SUM(AF161:AL161)+AT161</f>
        <v>23</v>
      </c>
      <c r="AN161" s="86"/>
      <c r="AO161" s="40"/>
      <c r="AP161" s="40"/>
      <c r="AQ161" s="40"/>
      <c r="AR161" s="40">
        <f t="shared" ref="AR161:AR164" si="240">SUM(AN161:AQ161)</f>
        <v>0</v>
      </c>
      <c r="AS161" s="40"/>
      <c r="AT161" s="40"/>
      <c r="AU161" s="40"/>
      <c r="AV161" s="40"/>
      <c r="AW161" s="40"/>
      <c r="AX161" s="40"/>
      <c r="AY161" s="40"/>
      <c r="AZ161" s="40"/>
      <c r="BA161" s="40">
        <f t="shared" ref="BA161:BA163" si="241">+AR161+AS161+AU161+AV161+AX161</f>
        <v>0</v>
      </c>
      <c r="BB161" s="53"/>
      <c r="BC161" s="54">
        <v>17</v>
      </c>
      <c r="BD161" s="54"/>
      <c r="BE161" s="53"/>
      <c r="BF161" s="54"/>
    </row>
    <row r="162" spans="1:97" ht="12.95" customHeight="1">
      <c r="A162" s="43"/>
      <c r="B162" s="44"/>
      <c r="C162" s="447"/>
      <c r="D162" s="44"/>
      <c r="E162" s="45"/>
      <c r="F162" s="45"/>
      <c r="G162" s="502"/>
      <c r="H162" s="47"/>
      <c r="I162" s="48"/>
      <c r="J162" s="85"/>
      <c r="K162" s="85"/>
      <c r="L162" s="603"/>
      <c r="M162" s="603"/>
      <c r="N162" s="49"/>
      <c r="O162" s="50"/>
      <c r="P162" s="51"/>
      <c r="Q162" s="50"/>
      <c r="R162" s="503"/>
      <c r="S162" s="503"/>
      <c r="T162" s="40"/>
      <c r="U162" s="40"/>
      <c r="V162" s="40"/>
      <c r="W162" s="40"/>
      <c r="X162" s="41"/>
      <c r="Y162" s="214"/>
      <c r="Z162" s="40"/>
      <c r="AA162" s="40"/>
      <c r="AB162" s="40"/>
      <c r="AC162" s="40"/>
      <c r="AD162" s="40">
        <f t="shared" si="238"/>
        <v>33</v>
      </c>
      <c r="AE162" s="233" t="s">
        <v>761</v>
      </c>
      <c r="AF162" s="36"/>
      <c r="AG162" s="36"/>
      <c r="AH162" s="36">
        <v>33</v>
      </c>
      <c r="AJ162" s="40"/>
      <c r="AK162" s="40"/>
      <c r="AL162" s="40"/>
      <c r="AM162" s="40">
        <f t="shared" si="239"/>
        <v>33</v>
      </c>
      <c r="AN162" s="40"/>
      <c r="AO162" s="40"/>
      <c r="AP162" s="40"/>
      <c r="AQ162" s="40"/>
      <c r="AR162" s="40">
        <f t="shared" si="240"/>
        <v>0</v>
      </c>
      <c r="AS162" s="40"/>
      <c r="AT162" s="40"/>
      <c r="AU162" s="40"/>
      <c r="AV162" s="40"/>
      <c r="AW162" s="40"/>
      <c r="AX162" s="40"/>
      <c r="AY162" s="40"/>
      <c r="AZ162" s="40"/>
      <c r="BA162" s="40">
        <f t="shared" si="241"/>
        <v>0</v>
      </c>
      <c r="BB162" s="36"/>
      <c r="BC162" s="506"/>
      <c r="BD162" s="506"/>
      <c r="BE162" s="36"/>
      <c r="BF162" s="506"/>
    </row>
    <row r="163" spans="1:97" ht="12.95" customHeight="1">
      <c r="A163" s="43"/>
      <c r="B163" s="44"/>
      <c r="C163" s="447"/>
      <c r="D163" s="44"/>
      <c r="E163" s="45"/>
      <c r="F163" s="45"/>
      <c r="G163" s="46"/>
      <c r="H163" s="47"/>
      <c r="I163" s="48"/>
      <c r="J163" s="85"/>
      <c r="K163" s="85"/>
      <c r="L163" s="603"/>
      <c r="M163" s="603"/>
      <c r="N163" s="49"/>
      <c r="O163" s="50"/>
      <c r="P163" s="51"/>
      <c r="Q163" s="37"/>
      <c r="R163" s="503"/>
      <c r="S163" s="503"/>
      <c r="T163" s="40"/>
      <c r="U163" s="40"/>
      <c r="V163" s="40"/>
      <c r="W163" s="40"/>
      <c r="X163" s="41"/>
      <c r="Y163" s="214"/>
      <c r="Z163" s="40"/>
      <c r="AA163" s="40"/>
      <c r="AB163" s="40"/>
      <c r="AC163" s="40"/>
      <c r="AD163" s="40">
        <f t="shared" si="238"/>
        <v>18</v>
      </c>
      <c r="AE163" s="236" t="s">
        <v>228</v>
      </c>
      <c r="AF163" s="40"/>
      <c r="AG163" s="40"/>
      <c r="AH163" s="40"/>
      <c r="AI163" s="505">
        <v>18</v>
      </c>
      <c r="AJ163" s="40"/>
      <c r="AK163" s="40"/>
      <c r="AL163" s="40"/>
      <c r="AM163" s="40">
        <f t="shared" si="239"/>
        <v>18</v>
      </c>
      <c r="AN163" s="40"/>
      <c r="AO163" s="40"/>
      <c r="AP163" s="40"/>
      <c r="AQ163" s="40"/>
      <c r="AR163" s="40">
        <f t="shared" si="240"/>
        <v>0</v>
      </c>
      <c r="AS163" s="40"/>
      <c r="AT163" s="40"/>
      <c r="AU163" s="40"/>
      <c r="AV163" s="40"/>
      <c r="AW163" s="40"/>
      <c r="AX163" s="40"/>
      <c r="AY163" s="40"/>
      <c r="AZ163" s="40"/>
      <c r="BA163" s="40">
        <f t="shared" si="241"/>
        <v>0</v>
      </c>
      <c r="BB163" s="53"/>
      <c r="BC163" s="54"/>
      <c r="BD163" s="54"/>
      <c r="BE163" s="53"/>
      <c r="BF163" s="54"/>
    </row>
    <row r="164" spans="1:97" ht="12.95" customHeight="1">
      <c r="A164" s="43"/>
      <c r="B164" s="562"/>
      <c r="C164" s="447"/>
      <c r="D164" s="44"/>
      <c r="E164" s="45"/>
      <c r="F164" s="45"/>
      <c r="G164" s="46"/>
      <c r="H164" s="47"/>
      <c r="I164" s="48"/>
      <c r="J164" s="85"/>
      <c r="K164" s="85"/>
      <c r="L164" s="38"/>
      <c r="M164" s="38"/>
      <c r="N164" s="49"/>
      <c r="O164" s="50"/>
      <c r="P164" s="51"/>
      <c r="Q164" s="37"/>
      <c r="R164" s="503"/>
      <c r="S164" s="503"/>
      <c r="T164" s="40"/>
      <c r="U164" s="40"/>
      <c r="V164" s="40"/>
      <c r="W164" s="40"/>
      <c r="X164" s="41"/>
      <c r="Y164" s="41"/>
      <c r="Z164" s="40"/>
      <c r="AA164" s="52"/>
      <c r="AB164" s="52"/>
      <c r="AC164" s="40"/>
      <c r="AD164" s="40">
        <f t="shared" si="238"/>
        <v>47</v>
      </c>
      <c r="AE164" s="236" t="s">
        <v>759</v>
      </c>
      <c r="AF164" s="40"/>
      <c r="AG164" s="40"/>
      <c r="AH164" s="40"/>
      <c r="AI164" s="40"/>
      <c r="AJ164" s="40"/>
      <c r="AK164" s="40">
        <v>47</v>
      </c>
      <c r="AL164" s="40"/>
      <c r="AM164" s="40">
        <f t="shared" si="239"/>
        <v>47</v>
      </c>
      <c r="AN164" s="40"/>
      <c r="AO164" s="40"/>
      <c r="AP164" s="40"/>
      <c r="AQ164" s="40"/>
      <c r="AR164" s="40">
        <f t="shared" si="240"/>
        <v>0</v>
      </c>
      <c r="AS164" s="40"/>
      <c r="AT164" s="40"/>
      <c r="AU164" s="40"/>
      <c r="AV164" s="40"/>
      <c r="AW164" s="40"/>
      <c r="AX164" s="40"/>
      <c r="AY164" s="40"/>
      <c r="AZ164" s="40"/>
      <c r="BA164" s="40"/>
      <c r="BB164" s="36"/>
      <c r="BC164" s="54"/>
      <c r="BD164" s="506"/>
      <c r="BE164" s="36"/>
      <c r="BF164" s="506"/>
    </row>
    <row r="165" spans="1:97" ht="12.95" customHeight="1">
      <c r="A165" s="43"/>
      <c r="B165" s="562"/>
      <c r="C165" s="447"/>
      <c r="D165" s="44"/>
      <c r="E165" s="45"/>
      <c r="F165" s="45"/>
      <c r="G165" s="46"/>
      <c r="H165" s="47"/>
      <c r="I165" s="48"/>
      <c r="J165" s="85"/>
      <c r="K165" s="85"/>
      <c r="L165" s="38"/>
      <c r="M165" s="38"/>
      <c r="N165" s="49"/>
      <c r="O165" s="50"/>
      <c r="P165" s="51"/>
      <c r="Q165" s="37"/>
      <c r="R165" s="503"/>
      <c r="S165" s="503"/>
      <c r="T165" s="40"/>
      <c r="U165" s="40"/>
      <c r="V165" s="40"/>
      <c r="W165" s="40"/>
      <c r="X165" s="41"/>
      <c r="Y165" s="41"/>
      <c r="Z165" s="40"/>
      <c r="AA165" s="52"/>
      <c r="AB165" s="52"/>
      <c r="AC165" s="40"/>
      <c r="AD165" s="40"/>
      <c r="AE165" s="233"/>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36"/>
      <c r="BC165" s="54"/>
      <c r="BD165" s="506"/>
      <c r="BE165" s="36"/>
      <c r="BF165" s="506"/>
    </row>
    <row r="166" spans="1:97" ht="12.75" customHeight="1">
      <c r="A166" s="43">
        <v>46112</v>
      </c>
      <c r="B166" s="44" t="s">
        <v>423</v>
      </c>
      <c r="C166" s="447">
        <f>(M166*E166*O166*Q166)/100000000</f>
        <v>22.242803583000001</v>
      </c>
      <c r="D166" s="44" t="s">
        <v>425</v>
      </c>
      <c r="E166" s="45">
        <v>15.5</v>
      </c>
      <c r="F166" s="45">
        <v>1</v>
      </c>
      <c r="G166" s="598">
        <v>1150</v>
      </c>
      <c r="H166" s="47">
        <f>+N166</f>
        <v>0.21999999999999997</v>
      </c>
      <c r="I166" s="48">
        <v>0.88</v>
      </c>
      <c r="J166" s="85">
        <f>E166*G166*(1-H166)*1440/1000000*2.75</f>
        <v>55.057859999999998</v>
      </c>
      <c r="K166" s="85">
        <f t="shared" ref="K166:K167" si="242">(IF(G166&lt;L166,L166,G166)*(1-IF(H166&lt;N166,H166,N166))*E166*O166*Q166)/100000000</f>
        <v>23.044008487500001</v>
      </c>
      <c r="L166" s="603">
        <v>1110.0162601626016</v>
      </c>
      <c r="M166" s="603">
        <v>865.81268292682932</v>
      </c>
      <c r="N166" s="49">
        <f>1-(M166/L166)</f>
        <v>0.21999999999999997</v>
      </c>
      <c r="O166" s="50">
        <f>+'Trim Rwd'!H93</f>
        <v>269.5</v>
      </c>
      <c r="P166" s="51">
        <f>O166*(Q166-R166-S166)</f>
        <v>151998</v>
      </c>
      <c r="Q166" s="50">
        <v>615</v>
      </c>
      <c r="R166" s="503">
        <v>0</v>
      </c>
      <c r="S166" s="503">
        <v>51</v>
      </c>
      <c r="T166" s="40">
        <f>E166*M166*O166*Q166/100000000</f>
        <v>22.242803583000001</v>
      </c>
      <c r="U166" s="40">
        <f>E166*M166*O166*(Q166-R166-S166)/100000000</f>
        <v>20.398278407824389</v>
      </c>
      <c r="V166" s="40">
        <f>E166*G166*(1-N166)*O166/100*(R166+S166)/1000000</f>
        <v>1.9109665575000001</v>
      </c>
      <c r="W166" s="40">
        <f>+'31'!K8/1000</f>
        <v>24.526</v>
      </c>
      <c r="X166" s="504">
        <f>SUM(W166:W169)/SUM(K166:K169)</f>
        <v>0.59600481596337884</v>
      </c>
      <c r="Y166" s="214">
        <f>+SUM(RBP!AG3:AG4)</f>
        <v>4.96</v>
      </c>
      <c r="Z166" s="40">
        <v>0</v>
      </c>
      <c r="AA166" s="52">
        <f>SUM(U166:U169)-SUM(W166:W169)-SUM(Z166:Z169)-SUM(Y166:Y169)</f>
        <v>-2.7447950972880824</v>
      </c>
      <c r="AB166" s="52">
        <f>(SUM(K166:K169)-SUM(W166:W169)-SUM(Y166:Y169)-SUM(Z166:Z169)-SUM(AC166:AC169)-SUM(V166:V169))-AA166</f>
        <v>0.94408898516538553</v>
      </c>
      <c r="AC166" s="40">
        <f>K166-T166</f>
        <v>0.80120490450000048</v>
      </c>
      <c r="AD166" s="40">
        <f>+AM166+BA166</f>
        <v>0</v>
      </c>
      <c r="AE166" s="233" t="s">
        <v>391</v>
      </c>
      <c r="AF166" s="40">
        <v>0</v>
      </c>
      <c r="AG166" s="40"/>
      <c r="AH166" s="40"/>
      <c r="AI166" s="505"/>
      <c r="AJ166" s="40"/>
      <c r="AK166" s="40"/>
      <c r="AL166" s="40"/>
      <c r="AM166" s="40">
        <f>SUM(AF166:AL166)+AT166</f>
        <v>0</v>
      </c>
      <c r="AN166" s="40"/>
      <c r="AO166" s="40"/>
      <c r="AP166" s="40"/>
      <c r="AQ166" s="40"/>
      <c r="AR166" s="40">
        <f>SUM(AN166:AQ166)</f>
        <v>0</v>
      </c>
      <c r="AS166" s="40"/>
      <c r="AT166" s="40"/>
      <c r="AU166" s="40"/>
      <c r="AV166" s="40"/>
      <c r="AW166" s="40"/>
      <c r="AX166" s="40"/>
      <c r="AY166" s="40"/>
      <c r="AZ166" s="40"/>
      <c r="BA166" s="40">
        <f>+AR166+AS166+AU166+AV166+AX166</f>
        <v>0</v>
      </c>
      <c r="BB166" s="36">
        <v>0</v>
      </c>
      <c r="BC166" s="54"/>
      <c r="BD166" s="54"/>
      <c r="BE166" s="36"/>
      <c r="BF166" s="54"/>
    </row>
    <row r="167" spans="1:97" ht="12.95" customHeight="1">
      <c r="A167" s="43"/>
      <c r="B167" s="44" t="s">
        <v>423</v>
      </c>
      <c r="C167" s="447">
        <f>(M167*E167*O167*Q167)/100000000</f>
        <v>33.45553496932515</v>
      </c>
      <c r="D167" s="44" t="s">
        <v>425</v>
      </c>
      <c r="E167" s="45">
        <v>16</v>
      </c>
      <c r="F167" s="45">
        <v>1</v>
      </c>
      <c r="G167" s="598">
        <v>1025</v>
      </c>
      <c r="H167" s="47">
        <f>+N167</f>
        <v>0.151417812088119</v>
      </c>
      <c r="I167" s="48">
        <v>0.88</v>
      </c>
      <c r="J167" s="85">
        <f>E167*G167*(1-H167)*1440/1000000*2.75</f>
        <v>55.1103216117492</v>
      </c>
      <c r="K167" s="85">
        <f t="shared" si="242"/>
        <v>33.45553496932515</v>
      </c>
      <c r="L167" s="603">
        <v>1086.0940695296524</v>
      </c>
      <c r="M167" s="603">
        <v>921.64008179959103</v>
      </c>
      <c r="N167" s="49">
        <f>1-(M167/L167)</f>
        <v>0.151417812088119</v>
      </c>
      <c r="O167" s="50">
        <f>+'Trim Rwd'!H94</f>
        <v>275</v>
      </c>
      <c r="P167" s="51">
        <f>O167*(Q167-R167-S167)</f>
        <v>105050</v>
      </c>
      <c r="Q167" s="50">
        <f>489+336</f>
        <v>825</v>
      </c>
      <c r="R167" s="503">
        <v>336</v>
      </c>
      <c r="S167" s="503">
        <v>107</v>
      </c>
      <c r="T167" s="40">
        <f>E167*M167*O167*Q167/100000000</f>
        <v>33.45553496932515</v>
      </c>
      <c r="U167" s="40">
        <f>E167*M167*O167*(Q167-R167-S167)/100000000</f>
        <v>15.490926494887526</v>
      </c>
      <c r="V167" s="40">
        <f>E167*G167*(1-N167)*O167/100*(R167+S167)/1000000</f>
        <v>16.954078106947847</v>
      </c>
      <c r="W167" s="40">
        <f>+'31'!K12/1000</f>
        <v>9.1479999999999997</v>
      </c>
      <c r="X167" s="41"/>
      <c r="Y167" s="214"/>
      <c r="Z167" s="40"/>
      <c r="AA167" s="40"/>
      <c r="AB167" s="40"/>
      <c r="AC167" s="40">
        <f>K167-T167</f>
        <v>0</v>
      </c>
      <c r="AD167" s="40">
        <f t="shared" ref="AD167:AD171" si="243">+AM167+BA167</f>
        <v>17</v>
      </c>
      <c r="AE167" s="233" t="s">
        <v>510</v>
      </c>
      <c r="AF167" s="40"/>
      <c r="AG167" s="40">
        <v>17</v>
      </c>
      <c r="AH167" s="40"/>
      <c r="AI167" s="505"/>
      <c r="AJ167" s="40"/>
      <c r="AK167" s="40"/>
      <c r="AL167" s="40"/>
      <c r="AM167" s="40">
        <f t="shared" ref="AM167:AM169" si="244">SUM(AF167:AL167)+AT167</f>
        <v>17</v>
      </c>
      <c r="AN167" s="86"/>
      <c r="AO167" s="40"/>
      <c r="AP167" s="40"/>
      <c r="AQ167" s="40"/>
      <c r="AR167" s="40">
        <f t="shared" ref="AR167:AR171" si="245">SUM(AN167:AQ167)</f>
        <v>0</v>
      </c>
      <c r="AS167" s="40"/>
      <c r="AT167" s="40"/>
      <c r="AU167" s="40"/>
      <c r="AV167" s="40"/>
      <c r="AW167" s="40"/>
      <c r="AX167" s="40"/>
      <c r="AY167" s="40"/>
      <c r="AZ167" s="40"/>
      <c r="BA167" s="40">
        <f t="shared" ref="BA167:BA171" si="246">+AR167+AS167+AU167+AV167+AX167</f>
        <v>0</v>
      </c>
      <c r="BB167" s="53"/>
      <c r="BC167" s="54">
        <v>9</v>
      </c>
      <c r="BD167" s="54"/>
      <c r="BE167" s="53"/>
      <c r="BF167" s="54"/>
    </row>
    <row r="168" spans="1:97" ht="12.95" customHeight="1">
      <c r="A168" s="43"/>
      <c r="B168" s="44"/>
      <c r="C168" s="447"/>
      <c r="D168" s="44"/>
      <c r="E168" s="45"/>
      <c r="F168" s="45"/>
      <c r="G168" s="502"/>
      <c r="H168" s="47"/>
      <c r="I168" s="48"/>
      <c r="J168" s="85"/>
      <c r="K168" s="85"/>
      <c r="L168" s="603"/>
      <c r="M168" s="603"/>
      <c r="N168" s="49"/>
      <c r="O168" s="50"/>
      <c r="P168" s="51"/>
      <c r="Q168" s="50"/>
      <c r="R168" s="503"/>
      <c r="S168" s="503"/>
      <c r="T168" s="40"/>
      <c r="U168" s="40"/>
      <c r="V168" s="40"/>
      <c r="W168" s="40"/>
      <c r="X168" s="41"/>
      <c r="Y168" s="214"/>
      <c r="Z168" s="40"/>
      <c r="AA168" s="40"/>
      <c r="AB168" s="40"/>
      <c r="AC168" s="40"/>
      <c r="AD168" s="40">
        <f t="shared" si="243"/>
        <v>26</v>
      </c>
      <c r="AE168" s="233" t="s">
        <v>774</v>
      </c>
      <c r="AF168" s="36"/>
      <c r="AG168" s="36"/>
      <c r="AH168" s="36">
        <v>26</v>
      </c>
      <c r="AJ168" s="40"/>
      <c r="AK168" s="40"/>
      <c r="AL168" s="40"/>
      <c r="AM168" s="40">
        <f t="shared" si="244"/>
        <v>26</v>
      </c>
      <c r="AN168" s="40"/>
      <c r="AO168" s="40"/>
      <c r="AP168" s="40"/>
      <c r="AQ168" s="40"/>
      <c r="AR168" s="40">
        <f t="shared" si="245"/>
        <v>0</v>
      </c>
      <c r="AS168" s="40"/>
      <c r="AT168" s="40"/>
      <c r="AU168" s="40"/>
      <c r="AV168" s="40"/>
      <c r="AW168" s="40"/>
      <c r="AX168" s="40"/>
      <c r="AY168" s="40"/>
      <c r="AZ168" s="40"/>
      <c r="BA168" s="40">
        <f t="shared" si="246"/>
        <v>0</v>
      </c>
      <c r="BB168" s="36"/>
      <c r="BC168" s="506"/>
      <c r="BD168" s="506"/>
      <c r="BE168" s="36"/>
      <c r="BF168" s="506"/>
    </row>
    <row r="169" spans="1:97" ht="12.95" customHeight="1">
      <c r="A169" s="43"/>
      <c r="B169" s="44"/>
      <c r="C169" s="447"/>
      <c r="D169" s="44"/>
      <c r="E169" s="45"/>
      <c r="F169" s="45"/>
      <c r="G169" s="46"/>
      <c r="H169" s="47"/>
      <c r="I169" s="48"/>
      <c r="J169" s="85"/>
      <c r="K169" s="85"/>
      <c r="L169" s="603"/>
      <c r="M169" s="603"/>
      <c r="N169" s="49"/>
      <c r="O169" s="50"/>
      <c r="P169" s="51"/>
      <c r="Q169" s="37"/>
      <c r="R169" s="503"/>
      <c r="S169" s="503"/>
      <c r="T169" s="40"/>
      <c r="U169" s="40"/>
      <c r="V169" s="40"/>
      <c r="W169" s="40"/>
      <c r="X169" s="41"/>
      <c r="Y169" s="214"/>
      <c r="Z169" s="40"/>
      <c r="AA169" s="40"/>
      <c r="AB169" s="40"/>
      <c r="AC169" s="40"/>
      <c r="AD169" s="40">
        <f t="shared" si="243"/>
        <v>8</v>
      </c>
      <c r="AE169" s="236" t="s">
        <v>228</v>
      </c>
      <c r="AF169" s="40"/>
      <c r="AG169" s="40"/>
      <c r="AH169" s="40"/>
      <c r="AI169" s="505">
        <v>8</v>
      </c>
      <c r="AJ169" s="40"/>
      <c r="AK169" s="40"/>
      <c r="AL169" s="40"/>
      <c r="AM169" s="40">
        <f t="shared" si="244"/>
        <v>8</v>
      </c>
      <c r="AN169" s="40"/>
      <c r="AO169" s="40"/>
      <c r="AP169" s="40"/>
      <c r="AQ169" s="40"/>
      <c r="AR169" s="40">
        <f t="shared" si="245"/>
        <v>0</v>
      </c>
      <c r="AS169" s="40"/>
      <c r="AT169" s="40"/>
      <c r="AU169" s="40"/>
      <c r="AV169" s="40"/>
      <c r="AW169" s="40"/>
      <c r="AX169" s="40"/>
      <c r="AY169" s="40"/>
      <c r="AZ169" s="40"/>
      <c r="BA169" s="40">
        <f t="shared" si="246"/>
        <v>0</v>
      </c>
      <c r="BB169" s="53"/>
      <c r="BC169" s="54"/>
      <c r="BD169" s="54"/>
      <c r="BE169" s="53"/>
      <c r="BF169" s="54"/>
    </row>
    <row r="170" spans="1:97" ht="12.95" customHeight="1">
      <c r="A170" s="43"/>
      <c r="B170" s="44"/>
      <c r="C170" s="447"/>
      <c r="D170" s="44"/>
      <c r="E170" s="45"/>
      <c r="F170" s="45"/>
      <c r="G170" s="46"/>
      <c r="H170" s="47"/>
      <c r="I170" s="48"/>
      <c r="J170" s="85"/>
      <c r="K170" s="85"/>
      <c r="L170" s="603"/>
      <c r="M170" s="603"/>
      <c r="N170" s="49"/>
      <c r="O170" s="50"/>
      <c r="P170" s="51"/>
      <c r="Q170" s="37"/>
      <c r="R170" s="503"/>
      <c r="S170" s="503"/>
      <c r="T170" s="40"/>
      <c r="U170" s="40"/>
      <c r="V170" s="40"/>
      <c r="W170" s="40"/>
      <c r="X170" s="41"/>
      <c r="Y170" s="214"/>
      <c r="Z170" s="40"/>
      <c r="AA170" s="40"/>
      <c r="AB170" s="40"/>
      <c r="AC170" s="40"/>
      <c r="AD170" s="40">
        <f t="shared" si="243"/>
        <v>107</v>
      </c>
      <c r="AE170" s="236" t="s">
        <v>785</v>
      </c>
      <c r="AF170" s="40"/>
      <c r="AG170" s="40"/>
      <c r="AH170" s="40"/>
      <c r="AI170" s="505"/>
      <c r="AJ170" s="40"/>
      <c r="AK170" s="40">
        <f>51+56</f>
        <v>107</v>
      </c>
      <c r="AL170" s="40"/>
      <c r="AM170" s="40">
        <f t="shared" ref="AM170:AM171" si="247">SUM(AF170:AL170)+AT170</f>
        <v>107</v>
      </c>
      <c r="AN170" s="40"/>
      <c r="AO170" s="40"/>
      <c r="AP170" s="40"/>
      <c r="AQ170" s="40"/>
      <c r="AR170" s="40">
        <f t="shared" si="245"/>
        <v>0</v>
      </c>
      <c r="AS170" s="40"/>
      <c r="AT170" s="40"/>
      <c r="AU170" s="40"/>
      <c r="AV170" s="40"/>
      <c r="AW170" s="40"/>
      <c r="AX170" s="40"/>
      <c r="AY170" s="40"/>
      <c r="AZ170" s="40"/>
      <c r="BA170" s="40">
        <f t="shared" si="246"/>
        <v>0</v>
      </c>
      <c r="BB170" s="53"/>
      <c r="BC170" s="54"/>
      <c r="BD170" s="54"/>
      <c r="BE170" s="53"/>
      <c r="BF170" s="54"/>
    </row>
    <row r="171" spans="1:97" ht="12.95" customHeight="1">
      <c r="A171" s="43"/>
      <c r="B171" s="44"/>
      <c r="C171" s="447"/>
      <c r="D171" s="44"/>
      <c r="E171" s="45"/>
      <c r="F171" s="45"/>
      <c r="G171" s="46"/>
      <c r="H171" s="47"/>
      <c r="I171" s="48"/>
      <c r="J171" s="85"/>
      <c r="K171" s="85"/>
      <c r="L171" s="603"/>
      <c r="M171" s="603"/>
      <c r="N171" s="49"/>
      <c r="O171" s="50"/>
      <c r="P171" s="51"/>
      <c r="Q171" s="37"/>
      <c r="R171" s="503"/>
      <c r="S171" s="503"/>
      <c r="T171" s="40"/>
      <c r="U171" s="40"/>
      <c r="V171" s="40"/>
      <c r="W171" s="40"/>
      <c r="X171" s="41"/>
      <c r="Y171" s="214"/>
      <c r="Z171" s="40"/>
      <c r="AA171" s="40"/>
      <c r="AB171" s="40"/>
      <c r="AC171" s="40"/>
      <c r="AD171" s="40">
        <f t="shared" si="243"/>
        <v>336</v>
      </c>
      <c r="AE171" s="236" t="s">
        <v>775</v>
      </c>
      <c r="AF171" s="40"/>
      <c r="AG171" s="40"/>
      <c r="AH171" s="40"/>
      <c r="AI171" s="505"/>
      <c r="AJ171" s="40"/>
      <c r="AK171" s="40"/>
      <c r="AL171" s="40"/>
      <c r="AM171" s="40">
        <f t="shared" si="247"/>
        <v>0</v>
      </c>
      <c r="AN171" s="40"/>
      <c r="AO171" s="40"/>
      <c r="AP171" s="40">
        <v>336</v>
      </c>
      <c r="AQ171" s="40"/>
      <c r="AR171" s="40">
        <f t="shared" si="245"/>
        <v>336</v>
      </c>
      <c r="AS171" s="40"/>
      <c r="AT171" s="40"/>
      <c r="AU171" s="40"/>
      <c r="AV171" s="40"/>
      <c r="AW171" s="40"/>
      <c r="AX171" s="40"/>
      <c r="AY171" s="40"/>
      <c r="AZ171" s="40"/>
      <c r="BA171" s="40">
        <f t="shared" si="246"/>
        <v>336</v>
      </c>
      <c r="BB171" s="53"/>
      <c r="BC171" s="54"/>
      <c r="BD171" s="54"/>
      <c r="BE171" s="53"/>
      <c r="BF171" s="54"/>
    </row>
    <row r="172" spans="1:97" ht="12.75" customHeight="1">
      <c r="R172" s="507"/>
      <c r="S172" s="507"/>
      <c r="AA172" s="251">
        <f>U172-W172-Z172</f>
        <v>0</v>
      </c>
      <c r="AB172" s="251"/>
      <c r="AC172" s="252">
        <f>K172-T172</f>
        <v>0</v>
      </c>
      <c r="AD172" s="40"/>
      <c r="AF172" s="55"/>
      <c r="AG172" s="55"/>
      <c r="AH172" s="55"/>
      <c r="AI172" s="55"/>
      <c r="AJ172" s="55"/>
      <c r="AK172" s="55"/>
      <c r="AL172" s="55"/>
      <c r="AM172" s="40">
        <f t="shared" ref="AM172" si="248">SUM(AF172:AL172)</f>
        <v>0</v>
      </c>
      <c r="AN172" s="55"/>
      <c r="AO172" s="55"/>
      <c r="AP172" s="55"/>
      <c r="AQ172" s="55"/>
      <c r="AR172" s="40">
        <f t="shared" ref="AR172" si="249">SUM(AN172:AQ172)</f>
        <v>0</v>
      </c>
      <c r="AS172" s="55"/>
      <c r="AT172" s="55"/>
      <c r="AU172" s="55"/>
      <c r="AV172" s="55"/>
      <c r="AW172" s="55"/>
      <c r="AX172" s="55"/>
      <c r="AY172" s="55"/>
      <c r="AZ172" s="55"/>
      <c r="BA172" s="40"/>
      <c r="BB172" s="66"/>
      <c r="BC172" s="66"/>
      <c r="BD172" s="506"/>
      <c r="BE172" s="36"/>
      <c r="BF172" s="506"/>
    </row>
    <row r="173" spans="1:97" ht="12.75" customHeight="1">
      <c r="A173" s="59"/>
      <c r="B173" s="60"/>
      <c r="C173" s="449">
        <f>SUM(C6:C171)</f>
        <v>1530.3581729064761</v>
      </c>
      <c r="D173" s="60"/>
      <c r="E173" s="61"/>
      <c r="F173" s="61"/>
      <c r="G173" s="62"/>
      <c r="H173" s="62"/>
      <c r="I173" s="63">
        <v>0.85</v>
      </c>
      <c r="J173" s="85"/>
      <c r="K173" s="87">
        <f>SUM(K6:K171)</f>
        <v>1606.790562182623</v>
      </c>
      <c r="L173" s="65"/>
      <c r="M173" s="65"/>
      <c r="N173" s="66"/>
      <c r="O173" s="67">
        <f>P173/(Q173-R173-S173)</f>
        <v>265.27951190318788</v>
      </c>
      <c r="P173" s="64">
        <f>SUM(P6:P171)</f>
        <v>10827383.278328612</v>
      </c>
      <c r="Q173" s="378">
        <f>SUM(Q6:Q172)</f>
        <v>43939</v>
      </c>
      <c r="R173" s="64">
        <f t="shared" ref="R173:W173" si="250">SUM(R6:R171)</f>
        <v>1338</v>
      </c>
      <c r="S173" s="64">
        <f t="shared" si="250"/>
        <v>1786</v>
      </c>
      <c r="T173" s="64">
        <f t="shared" si="250"/>
        <v>1530.3581729064761</v>
      </c>
      <c r="U173" s="64">
        <f t="shared" si="250"/>
        <v>1422.6705165164947</v>
      </c>
      <c r="V173" s="402">
        <f t="shared" si="250"/>
        <v>114.97219703897542</v>
      </c>
      <c r="W173" s="452">
        <f t="shared" si="250"/>
        <v>1421.2870000000003</v>
      </c>
      <c r="X173" s="508">
        <f>W173/K173</f>
        <v>0.88455025406009391</v>
      </c>
      <c r="Y173" s="403">
        <f>SUM(Y6:Y171)</f>
        <v>4.96</v>
      </c>
      <c r="Z173" s="452">
        <f>SUM(Z6:Z171)</f>
        <v>2.8839999999999995</v>
      </c>
      <c r="AA173" s="64">
        <f>SUM(AA6:AA171)</f>
        <v>-6.4604834835050386</v>
      </c>
      <c r="AB173" s="64">
        <f>SUM(AB6:AB171)</f>
        <v>-7.2845406489947839</v>
      </c>
      <c r="AC173" s="64">
        <f>SUM(AC6:AC171)</f>
        <v>76.432389276147347</v>
      </c>
      <c r="AD173" s="40">
        <f>SUM(AD6:AD172)</f>
        <v>3124</v>
      </c>
      <c r="AE173" s="68"/>
      <c r="AF173" s="64">
        <f t="shared" ref="AF173:BF173" si="251">SUM(AF6:AF172)</f>
        <v>67</v>
      </c>
      <c r="AG173" s="64">
        <f t="shared" si="251"/>
        <v>431</v>
      </c>
      <c r="AH173" s="64">
        <f t="shared" si="251"/>
        <v>743</v>
      </c>
      <c r="AI173" s="64">
        <f t="shared" si="251"/>
        <v>311</v>
      </c>
      <c r="AJ173" s="64">
        <f t="shared" si="251"/>
        <v>15</v>
      </c>
      <c r="AK173" s="64">
        <f t="shared" si="251"/>
        <v>219</v>
      </c>
      <c r="AL173" s="64">
        <f t="shared" si="251"/>
        <v>0</v>
      </c>
      <c r="AM173" s="64">
        <f t="shared" si="251"/>
        <v>1786</v>
      </c>
      <c r="AN173" s="55">
        <f t="shared" si="251"/>
        <v>659</v>
      </c>
      <c r="AO173" s="55">
        <f t="shared" si="251"/>
        <v>120</v>
      </c>
      <c r="AP173" s="55">
        <f t="shared" si="251"/>
        <v>336</v>
      </c>
      <c r="AQ173" s="55">
        <f t="shared" si="251"/>
        <v>0</v>
      </c>
      <c r="AR173" s="64">
        <f t="shared" si="251"/>
        <v>1115</v>
      </c>
      <c r="AS173" s="64">
        <f t="shared" si="251"/>
        <v>0</v>
      </c>
      <c r="AT173" s="64">
        <f t="shared" si="251"/>
        <v>0</v>
      </c>
      <c r="AU173" s="64">
        <f t="shared" si="251"/>
        <v>0</v>
      </c>
      <c r="AV173" s="64">
        <f t="shared" si="251"/>
        <v>0</v>
      </c>
      <c r="AW173" s="64">
        <f t="shared" si="251"/>
        <v>223</v>
      </c>
      <c r="AX173" s="64">
        <f t="shared" si="251"/>
        <v>0</v>
      </c>
      <c r="AY173" s="64">
        <f t="shared" si="251"/>
        <v>0</v>
      </c>
      <c r="AZ173" s="64">
        <f t="shared" si="251"/>
        <v>0</v>
      </c>
      <c r="BA173" s="64">
        <f t="shared" si="251"/>
        <v>1338</v>
      </c>
      <c r="BB173" s="55">
        <f t="shared" si="251"/>
        <v>26</v>
      </c>
      <c r="BC173" s="55">
        <f t="shared" si="251"/>
        <v>300</v>
      </c>
      <c r="BD173" s="55">
        <f t="shared" si="251"/>
        <v>2</v>
      </c>
      <c r="BE173" s="55">
        <f t="shared" si="251"/>
        <v>0</v>
      </c>
      <c r="BF173" s="55">
        <f t="shared" si="251"/>
        <v>9</v>
      </c>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row>
    <row r="174" spans="1:97" ht="12.75" customHeight="1">
      <c r="A174" s="59"/>
      <c r="B174" s="60"/>
      <c r="C174" s="60"/>
      <c r="D174" s="60"/>
      <c r="E174" s="61"/>
      <c r="F174" s="61"/>
      <c r="G174" s="62"/>
      <c r="H174" s="62"/>
      <c r="I174" s="62"/>
      <c r="J174" s="88"/>
      <c r="K174" s="88"/>
      <c r="L174" s="65"/>
      <c r="M174" s="65"/>
      <c r="N174" s="66"/>
      <c r="O174" s="701"/>
      <c r="P174" s="702"/>
      <c r="Q174" s="62">
        <f>31*1440-Q173</f>
        <v>701</v>
      </c>
      <c r="R174" s="69">
        <f>R173/Q173</f>
        <v>3.0451307494480984E-2</v>
      </c>
      <c r="S174" s="69">
        <f>S173/Q173</f>
        <v>4.0647260975443231E-2</v>
      </c>
      <c r="T174" s="389"/>
      <c r="U174" s="389"/>
      <c r="V174" s="391">
        <f>V173/K173</f>
        <v>7.1553940970875599E-2</v>
      </c>
      <c r="W174" s="407" t="s">
        <v>181</v>
      </c>
      <c r="X174" s="509">
        <v>0.85</v>
      </c>
      <c r="Y174" s="404">
        <f>Y173/K173</f>
        <v>3.0868988882175553E-3</v>
      </c>
      <c r="Z174" s="70">
        <f>Z173/K173</f>
        <v>1.7948823374232719E-3</v>
      </c>
      <c r="AA174" s="70">
        <f>AA173/K173</f>
        <v>-4.0207377585845935E-3</v>
      </c>
      <c r="AB174" s="70">
        <f>AB173/K173</f>
        <v>-4.5335968609995139E-3</v>
      </c>
      <c r="AC174" s="510">
        <f>AC173/K173</f>
        <v>4.756835836297392E-2</v>
      </c>
      <c r="AD174" s="392"/>
      <c r="AE174" s="42"/>
      <c r="AF174" s="70">
        <f>AF173/$AD$173*$V$174</f>
        <v>1.5346075688376008E-3</v>
      </c>
      <c r="AG174" s="70">
        <f>AG173/$AD$173*$V$174</f>
        <v>9.8718785398359092E-3</v>
      </c>
      <c r="AH174" s="70">
        <f>AH173/$AD$173*$V$174</f>
        <v>1.7018110800691603E-2</v>
      </c>
      <c r="AI174" s="70">
        <f>AI173/$AD$173*$V$174</f>
        <v>7.1233276702760279E-3</v>
      </c>
      <c r="AJ174" s="70">
        <f t="shared" ref="AJ174:BA174" si="252">AJ173/$AD$173*$V$174</f>
        <v>3.4356885869498522E-4</v>
      </c>
      <c r="AK174" s="70">
        <f t="shared" si="252"/>
        <v>5.0161053369467846E-3</v>
      </c>
      <c r="AL174" s="70">
        <f t="shared" si="252"/>
        <v>0</v>
      </c>
      <c r="AM174" s="70">
        <f t="shared" si="252"/>
        <v>4.0907598775282918E-2</v>
      </c>
      <c r="AN174" s="70">
        <f t="shared" si="252"/>
        <v>1.5094125191999685E-2</v>
      </c>
      <c r="AO174" s="70">
        <f t="shared" si="252"/>
        <v>2.7485508695598818E-3</v>
      </c>
      <c r="AP174" s="70">
        <f t="shared" si="252"/>
        <v>7.6959424347676697E-3</v>
      </c>
      <c r="AQ174" s="70">
        <f t="shared" si="252"/>
        <v>0</v>
      </c>
      <c r="AR174" s="70">
        <f t="shared" si="252"/>
        <v>2.5538618496327239E-2</v>
      </c>
      <c r="AS174" s="70">
        <f t="shared" si="252"/>
        <v>0</v>
      </c>
      <c r="AT174" s="70">
        <f t="shared" si="252"/>
        <v>0</v>
      </c>
      <c r="AU174" s="70">
        <f t="shared" si="252"/>
        <v>0</v>
      </c>
      <c r="AV174" s="70">
        <f>AV173/$AD$173*$V$174</f>
        <v>0</v>
      </c>
      <c r="AW174" s="70">
        <f t="shared" ref="AW174:AZ174" si="253">AW173/$AD$173*$V$174</f>
        <v>5.1077236992654474E-3</v>
      </c>
      <c r="AX174" s="70">
        <f t="shared" si="253"/>
        <v>0</v>
      </c>
      <c r="AY174" s="70">
        <f t="shared" si="253"/>
        <v>0</v>
      </c>
      <c r="AZ174" s="70">
        <f t="shared" si="253"/>
        <v>0</v>
      </c>
      <c r="BA174" s="70">
        <f t="shared" si="252"/>
        <v>3.0646342195592688E-2</v>
      </c>
      <c r="BB174" s="37" t="s">
        <v>180</v>
      </c>
      <c r="BC174" s="37" t="s">
        <v>180</v>
      </c>
      <c r="BD174" s="37" t="s">
        <v>375</v>
      </c>
      <c r="BE174" s="37" t="s">
        <v>375</v>
      </c>
      <c r="BF174" s="37" t="s">
        <v>375</v>
      </c>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row>
    <row r="175" spans="1:97" ht="12.75" customHeight="1">
      <c r="A175" s="59"/>
      <c r="B175" s="60"/>
      <c r="C175" s="60"/>
      <c r="D175" s="60"/>
      <c r="E175" s="61"/>
      <c r="F175" s="61"/>
      <c r="G175" s="37"/>
      <c r="H175" s="37"/>
      <c r="I175" s="37"/>
      <c r="J175" s="85"/>
      <c r="K175" s="85"/>
      <c r="L175" s="38"/>
      <c r="M175" s="38"/>
      <c r="N175" s="36"/>
      <c r="O175" s="39"/>
      <c r="P175" s="31"/>
      <c r="Q175" s="37"/>
      <c r="R175" s="40">
        <f>R173-(BA173)</f>
        <v>0</v>
      </c>
      <c r="S175" s="40">
        <f>+S173-AM173</f>
        <v>0</v>
      </c>
      <c r="T175" s="36"/>
      <c r="U175" s="36"/>
      <c r="V175" s="36"/>
      <c r="W175" s="405"/>
      <c r="X175" s="406"/>
      <c r="Y175" s="71">
        <f>+Y173-(SUM(RBP!AG3:AG4))</f>
        <v>0</v>
      </c>
      <c r="Z175" s="40">
        <f>+Z173-'31'!J56/1000</f>
        <v>0</v>
      </c>
      <c r="AA175" s="36"/>
      <c r="AB175" s="36"/>
      <c r="AC175" s="36"/>
      <c r="AD175" s="36"/>
      <c r="AE175" s="42"/>
      <c r="AF175" s="379"/>
      <c r="AG175" s="379"/>
      <c r="AH175" s="379"/>
      <c r="AI175" s="379"/>
      <c r="AJ175" s="80"/>
      <c r="AK175" s="80"/>
      <c r="AL175" s="80"/>
      <c r="AM175" s="80"/>
      <c r="AN175" s="80"/>
      <c r="AO175" s="80"/>
      <c r="AP175" s="80"/>
      <c r="AQ175" s="80"/>
      <c r="AR175" s="80"/>
      <c r="AS175" s="80"/>
      <c r="AT175" s="557">
        <v>0</v>
      </c>
      <c r="AU175" s="557">
        <v>0</v>
      </c>
      <c r="AV175" s="557">
        <v>0</v>
      </c>
      <c r="AW175" s="557">
        <v>924</v>
      </c>
      <c r="AX175" s="557">
        <v>0</v>
      </c>
      <c r="AY175" s="557">
        <v>0</v>
      </c>
      <c r="AZ175" s="557">
        <v>0</v>
      </c>
      <c r="BA175" s="80"/>
      <c r="BB175" s="511">
        <f>BB173/($Q$173/1440)/2</f>
        <v>0.42604519902592231</v>
      </c>
      <c r="BC175" s="511">
        <f>BC173/($Q$173/1440)/2</f>
        <v>4.9159061426067954</v>
      </c>
      <c r="BD175" s="511">
        <f>BD173/($Q$173/1440)</f>
        <v>6.5545415234757279E-2</v>
      </c>
      <c r="BE175" s="511">
        <f t="shared" ref="BE175:BF175" si="254">BE173/($Q$173/1440)</f>
        <v>0</v>
      </c>
      <c r="BF175" s="511">
        <f t="shared" si="254"/>
        <v>0.29495436855640778</v>
      </c>
    </row>
    <row r="176" spans="1:97" ht="12.75" customHeight="1">
      <c r="A176" s="72"/>
      <c r="B176" s="73"/>
      <c r="C176" s="73"/>
      <c r="D176" s="73"/>
      <c r="E176" s="74"/>
      <c r="F176" s="74"/>
      <c r="G176" s="75"/>
      <c r="H176" s="75"/>
      <c r="I176" s="75"/>
      <c r="J176" s="89"/>
      <c r="K176" s="89"/>
      <c r="O176" s="76"/>
      <c r="P176" s="77"/>
      <c r="Q176" s="75"/>
      <c r="R176" s="56"/>
      <c r="S176" s="56"/>
      <c r="U176" s="78"/>
      <c r="V176" s="78"/>
      <c r="W176" s="79" t="s">
        <v>133</v>
      </c>
      <c r="X176" s="512">
        <f>W173/U173</f>
        <v>0.99902752148130403</v>
      </c>
      <c r="Y176" s="512"/>
      <c r="Z176" s="56"/>
      <c r="AD176" s="86"/>
      <c r="AE176" s="81"/>
      <c r="AF176" s="82"/>
      <c r="AG176" s="82"/>
      <c r="AH176" s="82"/>
      <c r="AI176" s="82"/>
      <c r="AJ176" s="82"/>
      <c r="AK176" s="82"/>
      <c r="AL176" s="82"/>
      <c r="AM176" s="82"/>
      <c r="AN176" s="80"/>
      <c r="AO176" s="80"/>
      <c r="AP176" s="80"/>
      <c r="AQ176" s="80"/>
      <c r="AR176" s="80"/>
      <c r="AS176" s="82"/>
      <c r="AT176" s="82"/>
      <c r="AU176" s="82"/>
      <c r="AV176" s="82"/>
      <c r="AW176" s="82"/>
      <c r="AX176" s="82"/>
      <c r="AY176" s="82"/>
      <c r="AZ176" s="82"/>
      <c r="BA176" s="80"/>
      <c r="BB176" s="30"/>
      <c r="BC176" s="80"/>
      <c r="BD176" s="80"/>
      <c r="BE176" s="30"/>
      <c r="BF176" s="80"/>
    </row>
    <row r="177" spans="1:58" ht="12.75" customHeight="1">
      <c r="A177" s="72"/>
      <c r="B177" s="73"/>
      <c r="C177" s="73"/>
      <c r="D177" s="73"/>
      <c r="E177" s="74"/>
      <c r="F177" s="74"/>
      <c r="G177" s="75"/>
      <c r="H177" s="75"/>
      <c r="I177" s="75"/>
      <c r="J177" s="89"/>
      <c r="K177" s="89"/>
      <c r="O177" s="76"/>
      <c r="P177" s="77"/>
      <c r="Q177" s="75"/>
      <c r="R177" s="56"/>
      <c r="S177" s="56"/>
      <c r="U177" s="78"/>
      <c r="V177" s="78"/>
      <c r="W177" s="79"/>
      <c r="X177" s="80"/>
      <c r="Y177" s="80"/>
      <c r="Z177" s="56"/>
      <c r="AA177" s="92"/>
      <c r="AB177" s="92"/>
      <c r="AD177" s="86"/>
      <c r="AE177" s="81"/>
      <c r="AF177" s="82"/>
      <c r="AG177" s="82"/>
      <c r="AH177" s="82"/>
      <c r="AI177" s="82"/>
      <c r="AJ177" s="82"/>
      <c r="AK177" s="82"/>
      <c r="AL177" s="82"/>
      <c r="AM177" s="82"/>
      <c r="AN177" s="82"/>
      <c r="AO177" s="80"/>
      <c r="AP177" s="80"/>
      <c r="AQ177" s="80"/>
      <c r="AR177" s="82"/>
      <c r="AS177" s="80"/>
      <c r="AT177" s="80"/>
      <c r="AU177" s="80"/>
      <c r="AV177" s="80"/>
      <c r="AW177" s="557">
        <f>+Efficiency1!AV173+Efficiency1!AW173+Efficiency1!AX173+Efficiency1!AY173</f>
        <v>924</v>
      </c>
      <c r="AX177" s="557">
        <f>+AV173+AW173+AX173+AY173</f>
        <v>223</v>
      </c>
      <c r="AY177" s="80"/>
      <c r="AZ177" s="80"/>
      <c r="BA177" s="80"/>
      <c r="BB177" s="30"/>
      <c r="BC177" s="80"/>
      <c r="BD177" s="80"/>
      <c r="BE177" s="30"/>
      <c r="BF177" s="80"/>
    </row>
    <row r="178" spans="1:58" ht="12.75" customHeight="1">
      <c r="A178" s="72"/>
      <c r="B178" s="73"/>
      <c r="C178" s="73"/>
      <c r="D178" s="73"/>
      <c r="E178" s="74"/>
      <c r="F178" s="74"/>
      <c r="G178" s="75"/>
      <c r="H178" s="75"/>
      <c r="I178" s="75"/>
      <c r="J178" s="89"/>
      <c r="K178" s="89"/>
      <c r="O178" s="76"/>
      <c r="P178" s="77"/>
      <c r="Q178" s="75"/>
      <c r="R178" s="390"/>
      <c r="S178" s="56"/>
      <c r="U178" s="78"/>
      <c r="V178" s="78"/>
      <c r="W178" s="79" t="s">
        <v>156</v>
      </c>
      <c r="X178" s="379">
        <f>+W173+Y173</f>
        <v>1426.2470000000003</v>
      </c>
      <c r="Y178" s="80"/>
      <c r="Z178" s="56"/>
      <c r="AD178" s="86"/>
      <c r="AE178" s="81"/>
      <c r="AF178" s="86"/>
      <c r="AG178" s="86"/>
      <c r="AH178" s="86"/>
      <c r="AI178" s="86"/>
      <c r="AJ178" s="80"/>
      <c r="AK178" s="80"/>
      <c r="AL178" s="80"/>
      <c r="AM178" s="82"/>
      <c r="AN178" s="80"/>
      <c r="AO178" s="80"/>
      <c r="AP178" s="80"/>
      <c r="AQ178" s="80"/>
      <c r="AR178" s="82"/>
      <c r="AS178" s="80"/>
      <c r="AT178" s="80"/>
      <c r="AU178" s="80"/>
      <c r="AV178" s="80"/>
      <c r="AW178" s="557">
        <f>+AX177</f>
        <v>223</v>
      </c>
      <c r="AX178" s="80"/>
      <c r="AY178" s="80"/>
      <c r="AZ178" s="80"/>
      <c r="BA178" s="80"/>
      <c r="BB178" s="30"/>
      <c r="BC178" s="80"/>
      <c r="BD178" s="80"/>
      <c r="BE178" s="30"/>
      <c r="BF178" s="80"/>
    </row>
    <row r="179" spans="1:58" ht="12.75" customHeight="1">
      <c r="A179" s="72"/>
      <c r="C179" s="73" t="s">
        <v>295</v>
      </c>
      <c r="D179" s="73"/>
      <c r="E179" s="74"/>
      <c r="F179" s="74"/>
      <c r="G179" s="75"/>
      <c r="H179" s="75"/>
      <c r="I179" s="75"/>
      <c r="J179" s="89"/>
      <c r="K179" s="89"/>
      <c r="O179" s="76"/>
      <c r="P179" s="77"/>
      <c r="Q179" s="75"/>
      <c r="R179" s="390"/>
      <c r="S179" s="56"/>
      <c r="U179" s="78"/>
      <c r="V179" s="400"/>
      <c r="W179" s="401"/>
      <c r="X179" s="395"/>
      <c r="Y179" s="401"/>
      <c r="Z179" s="395"/>
      <c r="AD179" s="388"/>
      <c r="AE179" s="81"/>
      <c r="AF179" s="388"/>
      <c r="AG179" s="388"/>
      <c r="AH179" s="388"/>
      <c r="AI179" s="388"/>
      <c r="AJ179" s="80"/>
      <c r="AK179" s="80"/>
      <c r="AL179" s="80"/>
      <c r="AM179" s="80"/>
      <c r="AN179" s="80"/>
      <c r="AO179" s="80"/>
      <c r="AP179" s="80"/>
      <c r="AQ179" s="80"/>
      <c r="AR179" s="80"/>
      <c r="AS179" s="80"/>
      <c r="AT179" s="80"/>
      <c r="AU179" s="80"/>
      <c r="AV179" s="80"/>
      <c r="AW179" s="557">
        <f>+AW177-AW178</f>
        <v>701</v>
      </c>
      <c r="AX179" s="80"/>
      <c r="AY179" s="80"/>
      <c r="AZ179" s="80"/>
      <c r="BA179" s="80"/>
      <c r="BB179" s="30"/>
      <c r="BC179" s="80"/>
      <c r="BD179" s="80"/>
      <c r="BE179" s="30"/>
      <c r="BF179" s="80"/>
    </row>
    <row r="180" spans="1:58" ht="12.75" customHeight="1">
      <c r="A180" s="72"/>
      <c r="B180" s="73"/>
      <c r="C180" s="73" t="s">
        <v>296</v>
      </c>
      <c r="D180" s="73"/>
      <c r="E180" s="74"/>
      <c r="F180" s="74"/>
      <c r="G180" s="75"/>
      <c r="H180" s="75"/>
      <c r="I180" s="75"/>
      <c r="J180" s="89"/>
      <c r="K180" s="89"/>
      <c r="O180" s="76"/>
      <c r="P180" s="77"/>
      <c r="Q180" s="75">
        <f>+Q174-AW179</f>
        <v>0</v>
      </c>
      <c r="R180" s="390"/>
      <c r="S180" s="56"/>
      <c r="V180" s="393"/>
      <c r="W180" s="394" t="s">
        <v>386</v>
      </c>
      <c r="X180" s="393"/>
      <c r="Y180" s="393"/>
      <c r="Z180" s="395"/>
      <c r="AE180" s="81"/>
      <c r="AF180" s="56"/>
      <c r="AG180" s="56"/>
      <c r="AH180" s="56"/>
      <c r="AI180" s="56"/>
      <c r="AJ180" s="56"/>
      <c r="AK180" s="56"/>
      <c r="AL180" s="56"/>
      <c r="AM180" s="56"/>
      <c r="AN180" s="56"/>
      <c r="AO180" s="56"/>
      <c r="AP180" s="56"/>
      <c r="AQ180" s="56"/>
      <c r="AS180" s="56"/>
      <c r="AT180" s="56"/>
      <c r="AU180" s="56"/>
      <c r="AV180" s="56"/>
      <c r="AW180" s="56"/>
      <c r="AX180" s="56"/>
      <c r="AY180" s="56"/>
      <c r="AZ180" s="56"/>
      <c r="BA180" s="56"/>
      <c r="BB180" s="30"/>
      <c r="BE180" s="30"/>
    </row>
    <row r="181" spans="1:58" ht="12.75" customHeight="1">
      <c r="A181" s="72"/>
      <c r="B181" s="73"/>
      <c r="C181" s="73"/>
      <c r="D181" s="73"/>
      <c r="E181" s="74"/>
      <c r="F181" s="74"/>
      <c r="G181" s="75"/>
      <c r="H181" s="75"/>
      <c r="I181" s="75"/>
      <c r="J181" s="89"/>
      <c r="K181" s="89"/>
      <c r="O181" s="76"/>
      <c r="P181" s="77"/>
      <c r="Q181" s="75"/>
      <c r="R181" s="390"/>
      <c r="S181" s="56"/>
      <c r="V181" s="393"/>
      <c r="W181" s="396" t="s">
        <v>291</v>
      </c>
      <c r="X181" s="513">
        <f>Y174</f>
        <v>3.0868988882175553E-3</v>
      </c>
      <c r="Y181" s="397"/>
      <c r="Z181" s="395"/>
      <c r="AE181" s="81"/>
      <c r="AF181" s="56"/>
      <c r="AG181" s="56"/>
      <c r="AH181" s="56"/>
      <c r="AI181" s="56"/>
      <c r="AJ181" s="56"/>
      <c r="AK181" s="56"/>
      <c r="AL181" s="56"/>
      <c r="AM181" s="56"/>
      <c r="AN181" s="56"/>
      <c r="AO181" s="56"/>
      <c r="AP181" s="56"/>
      <c r="AQ181" s="56"/>
      <c r="AS181" s="56"/>
      <c r="AT181" s="56"/>
      <c r="AU181" s="56"/>
      <c r="AV181" s="56"/>
      <c r="AW181" s="56"/>
      <c r="AX181" s="56"/>
      <c r="AY181" s="56"/>
      <c r="AZ181" s="56"/>
      <c r="BA181" s="56"/>
      <c r="BB181" s="30"/>
      <c r="BE181" s="30"/>
    </row>
    <row r="182" spans="1:58" ht="12.75" customHeight="1">
      <c r="R182" s="92"/>
      <c r="V182" s="393"/>
      <c r="W182" s="396" t="s">
        <v>160</v>
      </c>
      <c r="X182" s="399">
        <f>Z174</f>
        <v>1.7948823374232719E-3</v>
      </c>
      <c r="Y182" s="398"/>
      <c r="Z182" s="393"/>
    </row>
    <row r="183" spans="1:58" ht="12.75" customHeight="1">
      <c r="R183" s="92"/>
      <c r="V183" s="393"/>
      <c r="W183" s="396" t="s">
        <v>161</v>
      </c>
      <c r="X183" s="399">
        <f>AC174</f>
        <v>4.756835836297392E-2</v>
      </c>
      <c r="Y183" s="399"/>
      <c r="Z183" s="393"/>
    </row>
    <row r="184" spans="1:58" ht="12.75" customHeight="1">
      <c r="R184" s="92"/>
      <c r="V184" s="393"/>
      <c r="W184" s="396" t="s">
        <v>162</v>
      </c>
      <c r="X184" s="399">
        <f>AA174</f>
        <v>-4.0207377585845935E-3</v>
      </c>
      <c r="Y184" s="398"/>
      <c r="Z184" s="393"/>
    </row>
    <row r="185" spans="1:58" ht="12.75" customHeight="1">
      <c r="V185" s="393"/>
      <c r="W185" s="396" t="s">
        <v>178</v>
      </c>
      <c r="X185" s="399">
        <f>AB174</f>
        <v>-4.5335968609995139E-3</v>
      </c>
      <c r="Y185" s="398" t="s">
        <v>176</v>
      </c>
      <c r="Z185" s="393"/>
    </row>
    <row r="186" spans="1:58" ht="12.75" customHeight="1">
      <c r="V186" s="393"/>
      <c r="W186" s="396" t="s">
        <v>203</v>
      </c>
      <c r="X186" s="399">
        <f>AF174</f>
        <v>1.5346075688376008E-3</v>
      </c>
      <c r="Y186" s="398"/>
      <c r="Z186" s="393"/>
    </row>
    <row r="187" spans="1:58" ht="12.75" customHeight="1">
      <c r="V187" s="393"/>
      <c r="W187" s="396" t="s">
        <v>204</v>
      </c>
      <c r="X187" s="399">
        <f>+AG174</f>
        <v>9.8718785398359092E-3</v>
      </c>
      <c r="Y187" s="398"/>
      <c r="Z187" s="393"/>
    </row>
    <row r="188" spans="1:58" ht="12.75" customHeight="1">
      <c r="V188" s="393"/>
      <c r="W188" s="396" t="s">
        <v>297</v>
      </c>
      <c r="X188" s="399">
        <f>+AH174</f>
        <v>1.7018110800691603E-2</v>
      </c>
      <c r="Y188" s="398"/>
      <c r="Z188" s="393"/>
    </row>
    <row r="189" spans="1:58" ht="12.75" customHeight="1">
      <c r="V189" s="393"/>
      <c r="W189" s="396" t="s">
        <v>229</v>
      </c>
      <c r="X189" s="399">
        <f>+AI174</f>
        <v>7.1233276702760279E-3</v>
      </c>
      <c r="Y189" s="398"/>
      <c r="Z189" s="393"/>
    </row>
    <row r="190" spans="1:58" ht="12.75" customHeight="1">
      <c r="V190" s="393"/>
      <c r="W190" s="396" t="s">
        <v>169</v>
      </c>
      <c r="X190" s="399">
        <f>+AJ174</f>
        <v>3.4356885869498522E-4</v>
      </c>
      <c r="Y190" s="398"/>
      <c r="Z190" s="393"/>
    </row>
    <row r="191" spans="1:58" ht="12.75" customHeight="1">
      <c r="V191" s="393"/>
      <c r="W191" s="396" t="s">
        <v>171</v>
      </c>
      <c r="X191" s="399">
        <f>+AK174</f>
        <v>5.0161053369467846E-3</v>
      </c>
      <c r="Y191" s="398"/>
      <c r="Z191" s="393"/>
    </row>
    <row r="192" spans="1:58" ht="12.75" customHeight="1">
      <c r="V192" s="393"/>
      <c r="W192" s="396" t="s">
        <v>170</v>
      </c>
      <c r="X192" s="399">
        <f>+AL174</f>
        <v>0</v>
      </c>
      <c r="Y192" s="398"/>
      <c r="Z192" s="393"/>
    </row>
    <row r="193" spans="22:26" ht="12.75" customHeight="1">
      <c r="V193" s="393"/>
      <c r="W193" s="396" t="s">
        <v>163</v>
      </c>
      <c r="X193" s="399">
        <f>+AN174</f>
        <v>1.5094125191999685E-2</v>
      </c>
      <c r="Y193" s="398"/>
      <c r="Z193" s="393"/>
    </row>
    <row r="194" spans="22:26" ht="12.75" customHeight="1">
      <c r="V194" s="393"/>
      <c r="W194" s="396" t="s">
        <v>173</v>
      </c>
      <c r="X194" s="399">
        <f>+AO174</f>
        <v>2.7485508695598818E-3</v>
      </c>
      <c r="Y194" s="398"/>
      <c r="Z194" s="393"/>
    </row>
    <row r="195" spans="22:26" ht="12.75" customHeight="1">
      <c r="V195" s="393"/>
      <c r="W195" s="396" t="s">
        <v>164</v>
      </c>
      <c r="X195" s="399">
        <f>+AP174</f>
        <v>7.6959424347676697E-3</v>
      </c>
      <c r="Y195" s="398"/>
      <c r="Z195" s="393"/>
    </row>
    <row r="196" spans="22:26" ht="12.75" customHeight="1">
      <c r="V196" s="393"/>
      <c r="W196" s="396" t="s">
        <v>172</v>
      </c>
      <c r="X196" s="399">
        <f>+AQ174</f>
        <v>0</v>
      </c>
      <c r="Y196" s="398"/>
      <c r="Z196" s="393"/>
    </row>
    <row r="197" spans="22:26" ht="12.75" customHeight="1">
      <c r="V197" s="393"/>
      <c r="W197" s="396" t="s">
        <v>175</v>
      </c>
      <c r="X197" s="399">
        <f>+AS174</f>
        <v>0</v>
      </c>
      <c r="Y197" s="398"/>
      <c r="Z197" s="393"/>
    </row>
    <row r="198" spans="22:26" ht="12.75" customHeight="1">
      <c r="V198" s="393"/>
      <c r="W198" s="396" t="s">
        <v>298</v>
      </c>
      <c r="X198" s="399">
        <f>+AT174</f>
        <v>0</v>
      </c>
      <c r="Y198" s="398"/>
      <c r="Z198" s="393"/>
    </row>
    <row r="199" spans="22:26" ht="12.75" customHeight="1">
      <c r="V199" s="393"/>
      <c r="W199" s="396" t="s">
        <v>241</v>
      </c>
      <c r="X199" s="399">
        <f>+AU174</f>
        <v>0</v>
      </c>
      <c r="Y199" s="398"/>
      <c r="Z199" s="393"/>
    </row>
    <row r="200" spans="22:26" ht="12.75" customHeight="1">
      <c r="V200" s="393"/>
      <c r="W200" s="396" t="s">
        <v>301</v>
      </c>
      <c r="X200" s="399">
        <f>+AW174</f>
        <v>5.1077236992654474E-3</v>
      </c>
      <c r="Y200" s="398"/>
      <c r="Z200" s="393"/>
    </row>
    <row r="201" spans="22:26" ht="12.75" customHeight="1">
      <c r="V201" s="393"/>
      <c r="W201" s="396" t="s">
        <v>302</v>
      </c>
      <c r="X201" s="399">
        <f>+AV174</f>
        <v>0</v>
      </c>
      <c r="Y201" s="398"/>
      <c r="Z201" s="393"/>
    </row>
    <row r="202" spans="22:26" ht="12.75" customHeight="1">
      <c r="V202" s="393"/>
      <c r="W202" s="393" t="s">
        <v>174</v>
      </c>
      <c r="X202" s="399">
        <f>+AX174+AY174</f>
        <v>0</v>
      </c>
      <c r="Y202" s="399"/>
      <c r="Z202" s="393"/>
    </row>
    <row r="203" spans="22:26" ht="12.75" customHeight="1">
      <c r="V203" s="393"/>
      <c r="W203" s="393" t="s">
        <v>300</v>
      </c>
      <c r="X203" s="399">
        <f>+AZ175</f>
        <v>0</v>
      </c>
      <c r="Y203" s="393"/>
      <c r="Z203" s="393"/>
    </row>
    <row r="204" spans="22:26" ht="12.75" customHeight="1">
      <c r="V204" s="393"/>
      <c r="W204" s="393"/>
      <c r="X204" s="521">
        <f>SUM(X181:X203)</f>
        <v>0.11544974593990621</v>
      </c>
      <c r="Y204" s="393"/>
      <c r="Z204" s="393"/>
    </row>
    <row r="205" spans="22:26" ht="12.75" customHeight="1"/>
    <row r="206" spans="22:26" ht="12.75" customHeight="1">
      <c r="X206" s="92">
        <f>+X204+X173</f>
        <v>1.0000000000000002</v>
      </c>
    </row>
    <row r="207" spans="22:26" ht="12.75" customHeight="1"/>
    <row r="208" spans="22:26"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sheetData>
  <mergeCells count="50">
    <mergeCell ref="BE3:BE5"/>
    <mergeCell ref="BF3:BF5"/>
    <mergeCell ref="AX3:AY3"/>
    <mergeCell ref="AZ3:AZ5"/>
    <mergeCell ref="BA3:BA5"/>
    <mergeCell ref="BB3:BB5"/>
    <mergeCell ref="BC3:BC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O174:P174"/>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G3:K4"/>
    <mergeCell ref="L3:N4"/>
    <mergeCell ref="O3:O5"/>
    <mergeCell ref="P3:P5"/>
    <mergeCell ref="Q3:Q5"/>
    <mergeCell ref="F3:F5"/>
    <mergeCell ref="A3:A5"/>
    <mergeCell ref="B3:B5"/>
    <mergeCell ref="C3:C5"/>
    <mergeCell ref="D3:D5"/>
    <mergeCell ref="E3:E5"/>
  </mergeCells>
  <conditionalFormatting sqref="C174 B172:B174 C172">
    <cfRule type="cellIs" dxfId="1053" priority="10483" stopIfTrue="1" operator="equal">
      <formula>"Towel"</formula>
    </cfRule>
    <cfRule type="cellIs" dxfId="1052" priority="10484" stopIfTrue="1" operator="equal">
      <formula>"Napkin Hs"</formula>
    </cfRule>
  </conditionalFormatting>
  <conditionalFormatting sqref="B129:C129 B139:C139 B144:C144">
    <cfRule type="cellIs" dxfId="1051" priority="1057" stopIfTrue="1" operator="equal">
      <formula>"Towel"</formula>
    </cfRule>
    <cfRule type="cellIs" dxfId="1050" priority="1058" stopIfTrue="1" operator="equal">
      <formula>"Napkin Hs"</formula>
    </cfRule>
  </conditionalFormatting>
  <conditionalFormatting sqref="C11">
    <cfRule type="cellIs" dxfId="1049" priority="1023" stopIfTrue="1" operator="equal">
      <formula>"Towel"</formula>
    </cfRule>
    <cfRule type="cellIs" dxfId="1048" priority="1024" stopIfTrue="1" operator="equal">
      <formula>"Napkin Hs"</formula>
    </cfRule>
  </conditionalFormatting>
  <conditionalFormatting sqref="B49:C49">
    <cfRule type="cellIs" dxfId="1047" priority="1053" stopIfTrue="1" operator="equal">
      <formula>"Towel"</formula>
    </cfRule>
    <cfRule type="cellIs" dxfId="1046" priority="1054" stopIfTrue="1" operator="equal">
      <formula>"Napkin Hs"</formula>
    </cfRule>
  </conditionalFormatting>
  <conditionalFormatting sqref="B54:C54">
    <cfRule type="cellIs" dxfId="1045" priority="1047" stopIfTrue="1" operator="equal">
      <formula>"Towel"</formula>
    </cfRule>
    <cfRule type="cellIs" dxfId="1044" priority="1048" stopIfTrue="1" operator="equal">
      <formula>"Napkin Hs"</formula>
    </cfRule>
  </conditionalFormatting>
  <conditionalFormatting sqref="B69:C69">
    <cfRule type="cellIs" dxfId="1043" priority="1041" stopIfTrue="1" operator="equal">
      <formula>"Towel"</formula>
    </cfRule>
    <cfRule type="cellIs" dxfId="1042" priority="1042" stopIfTrue="1" operator="equal">
      <formula>"Napkin Hs"</formula>
    </cfRule>
  </conditionalFormatting>
  <conditionalFormatting sqref="C11">
    <cfRule type="cellIs" dxfId="1041" priority="1027" stopIfTrue="1" operator="equal">
      <formula>"Towel"</formula>
    </cfRule>
    <cfRule type="cellIs" dxfId="1040" priority="1028" stopIfTrue="1" operator="equal">
      <formula>"Napkin Hs"</formula>
    </cfRule>
  </conditionalFormatting>
  <conditionalFormatting sqref="B124:C124">
    <cfRule type="cellIs" dxfId="1039" priority="1033" stopIfTrue="1" operator="equal">
      <formula>"Towel"</formula>
    </cfRule>
    <cfRule type="cellIs" dxfId="1038" priority="1034" stopIfTrue="1" operator="equal">
      <formula>"Napkin Hs"</formula>
    </cfRule>
  </conditionalFormatting>
  <conditionalFormatting sqref="B11">
    <cfRule type="cellIs" dxfId="1037" priority="1001" stopIfTrue="1" operator="equal">
      <formula>"Towel"</formula>
    </cfRule>
    <cfRule type="cellIs" dxfId="1036" priority="1002" stopIfTrue="1" operator="equal">
      <formula>"Napkin Hs"</formula>
    </cfRule>
  </conditionalFormatting>
  <conditionalFormatting sqref="C129 C139 C144">
    <cfRule type="cellIs" dxfId="1035" priority="1056" stopIfTrue="1" operator="equal">
      <formula>"Napkin Hs"</formula>
    </cfRule>
  </conditionalFormatting>
  <conditionalFormatting sqref="C11">
    <cfRule type="cellIs" dxfId="1034" priority="1025" stopIfTrue="1" operator="equal">
      <formula>"Towel"</formula>
    </cfRule>
    <cfRule type="cellIs" dxfId="1033" priority="1026" stopIfTrue="1" operator="equal">
      <formula>"Napkin Hs"</formula>
    </cfRule>
  </conditionalFormatting>
  <conditionalFormatting sqref="C129 C139 C144">
    <cfRule type="cellIs" dxfId="1032" priority="1055" stopIfTrue="1" operator="equal">
      <formula>"Towel"</formula>
    </cfRule>
  </conditionalFormatting>
  <conditionalFormatting sqref="C49">
    <cfRule type="cellIs" dxfId="1031" priority="1049" stopIfTrue="1" operator="equal">
      <formula>"Towel"</formula>
    </cfRule>
    <cfRule type="cellIs" dxfId="1030" priority="1050" stopIfTrue="1" operator="equal">
      <formula>"Napkin Hs"</formula>
    </cfRule>
  </conditionalFormatting>
  <conditionalFormatting sqref="C49">
    <cfRule type="cellIs" dxfId="1029" priority="1051" stopIfTrue="1" operator="equal">
      <formula>"Towel"</formula>
    </cfRule>
    <cfRule type="cellIs" dxfId="1028" priority="1052" stopIfTrue="1" operator="equal">
      <formula>"Napkin Hs"</formula>
    </cfRule>
  </conditionalFormatting>
  <conditionalFormatting sqref="C54">
    <cfRule type="cellIs" dxfId="1027" priority="1045" stopIfTrue="1" operator="equal">
      <formula>"Towel"</formula>
    </cfRule>
    <cfRule type="cellIs" dxfId="1026" priority="1046" stopIfTrue="1" operator="equal">
      <formula>"Napkin Hs"</formula>
    </cfRule>
  </conditionalFormatting>
  <conditionalFormatting sqref="C54">
    <cfRule type="cellIs" dxfId="1025" priority="1043" stopIfTrue="1" operator="equal">
      <formula>"Towel"</formula>
    </cfRule>
    <cfRule type="cellIs" dxfId="1024" priority="1044" stopIfTrue="1" operator="equal">
      <formula>"Napkin Hs"</formula>
    </cfRule>
  </conditionalFormatting>
  <conditionalFormatting sqref="C69">
    <cfRule type="cellIs" dxfId="1023" priority="1037" stopIfTrue="1" operator="equal">
      <formula>"Towel"</formula>
    </cfRule>
    <cfRule type="cellIs" dxfId="1022" priority="1038" stopIfTrue="1" operator="equal">
      <formula>"Napkin Hs"</formula>
    </cfRule>
  </conditionalFormatting>
  <conditionalFormatting sqref="C69">
    <cfRule type="cellIs" dxfId="1021" priority="1039" stopIfTrue="1" operator="equal">
      <formula>"Towel"</formula>
    </cfRule>
    <cfRule type="cellIs" dxfId="1020" priority="1040" stopIfTrue="1" operator="equal">
      <formula>"Napkin Hs"</formula>
    </cfRule>
  </conditionalFormatting>
  <conditionalFormatting sqref="C124">
    <cfRule type="cellIs" dxfId="1019" priority="1029" stopIfTrue="1" operator="equal">
      <formula>"Towel"</formula>
    </cfRule>
    <cfRule type="cellIs" dxfId="1018" priority="1030" stopIfTrue="1" operator="equal">
      <formula>"Napkin Hs"</formula>
    </cfRule>
  </conditionalFormatting>
  <conditionalFormatting sqref="C124">
    <cfRule type="cellIs" dxfId="1017" priority="1031" stopIfTrue="1" operator="equal">
      <formula>"Towel"</formula>
    </cfRule>
    <cfRule type="cellIs" dxfId="1016" priority="1032" stopIfTrue="1" operator="equal">
      <formula>"Napkin Hs"</formula>
    </cfRule>
  </conditionalFormatting>
  <conditionalFormatting sqref="C129 C139 C144">
    <cfRule type="cellIs" dxfId="1015" priority="1035" stopIfTrue="1" operator="equal">
      <formula>"Towel"</formula>
    </cfRule>
    <cfRule type="cellIs" dxfId="1014" priority="1036" stopIfTrue="1" operator="equal">
      <formula>"Napkin Hs"</formula>
    </cfRule>
  </conditionalFormatting>
  <conditionalFormatting sqref="C10">
    <cfRule type="cellIs" dxfId="1013" priority="1013" stopIfTrue="1" operator="equal">
      <formula>"Towel"</formula>
    </cfRule>
    <cfRule type="cellIs" dxfId="1012" priority="1014" stopIfTrue="1" operator="equal">
      <formula>"Napkin Hs"</formula>
    </cfRule>
  </conditionalFormatting>
  <conditionalFormatting sqref="C10">
    <cfRule type="cellIs" dxfId="1011" priority="1015" stopIfTrue="1" operator="equal">
      <formula>"Towel"</formula>
    </cfRule>
    <cfRule type="cellIs" dxfId="1010" priority="1016" stopIfTrue="1" operator="equal">
      <formula>"Napkin Hs"</formula>
    </cfRule>
  </conditionalFormatting>
  <conditionalFormatting sqref="C11">
    <cfRule type="cellIs" dxfId="1009" priority="1017" stopIfTrue="1" operator="equal">
      <formula>"Towel"</formula>
    </cfRule>
    <cfRule type="cellIs" dxfId="1008" priority="1018" stopIfTrue="1" operator="equal">
      <formula>"Napkin Hs"</formula>
    </cfRule>
  </conditionalFormatting>
  <conditionalFormatting sqref="C11">
    <cfRule type="cellIs" dxfId="1007" priority="1019" stopIfTrue="1" operator="equal">
      <formula>"Towel"</formula>
    </cfRule>
    <cfRule type="cellIs" dxfId="1006" priority="1020" stopIfTrue="1" operator="equal">
      <formula>"Napkin Hs"</formula>
    </cfRule>
  </conditionalFormatting>
  <conditionalFormatting sqref="C11">
    <cfRule type="cellIs" dxfId="1005" priority="1021" stopIfTrue="1" operator="equal">
      <formula>"Towel"</formula>
    </cfRule>
    <cfRule type="cellIs" dxfId="1004" priority="1022" stopIfTrue="1" operator="equal">
      <formula>"Napkin Hs"</formula>
    </cfRule>
  </conditionalFormatting>
  <conditionalFormatting sqref="B10:C10">
    <cfRule type="cellIs" dxfId="1003" priority="1011" stopIfTrue="1" operator="equal">
      <formula>"Towel"</formula>
    </cfRule>
    <cfRule type="cellIs" dxfId="1002" priority="1012" stopIfTrue="1" operator="equal">
      <formula>"Napkin Hs"</formula>
    </cfRule>
  </conditionalFormatting>
  <conditionalFormatting sqref="B10:C10">
    <cfRule type="cellIs" dxfId="1001" priority="1005" stopIfTrue="1" operator="equal">
      <formula>"Towel"</formula>
    </cfRule>
    <cfRule type="cellIs" dxfId="1000" priority="1006" stopIfTrue="1" operator="equal">
      <formula>"Napkin Hs"</formula>
    </cfRule>
  </conditionalFormatting>
  <conditionalFormatting sqref="C10">
    <cfRule type="cellIs" dxfId="999" priority="1007" stopIfTrue="1" operator="equal">
      <formula>"Towel"</formula>
    </cfRule>
    <cfRule type="cellIs" dxfId="998" priority="1008" stopIfTrue="1" operator="equal">
      <formula>"Napkin Hs"</formula>
    </cfRule>
  </conditionalFormatting>
  <conditionalFormatting sqref="C10">
    <cfRule type="cellIs" dxfId="997" priority="1009" stopIfTrue="1" operator="equal">
      <formula>"Towel"</formula>
    </cfRule>
    <cfRule type="cellIs" dxfId="996" priority="1010" stopIfTrue="1" operator="equal">
      <formula>"Napkin Hs"</formula>
    </cfRule>
  </conditionalFormatting>
  <conditionalFormatting sqref="B11">
    <cfRule type="cellIs" dxfId="995" priority="1003" stopIfTrue="1" operator="equal">
      <formula>"Towel"</formula>
    </cfRule>
    <cfRule type="cellIs" dxfId="994" priority="1004" stopIfTrue="1" operator="equal">
      <formula>"Napkin Hs"</formula>
    </cfRule>
  </conditionalFormatting>
  <conditionalFormatting sqref="C43">
    <cfRule type="cellIs" dxfId="993" priority="993" stopIfTrue="1" operator="equal">
      <formula>"Towel"</formula>
    </cfRule>
    <cfRule type="cellIs" dxfId="992" priority="994" stopIfTrue="1" operator="equal">
      <formula>"Napkin Hs"</formula>
    </cfRule>
  </conditionalFormatting>
  <conditionalFormatting sqref="B43:C43">
    <cfRule type="cellIs" dxfId="991" priority="995" stopIfTrue="1" operator="equal">
      <formula>"Towel"</formula>
    </cfRule>
    <cfRule type="cellIs" dxfId="990" priority="996" stopIfTrue="1" operator="equal">
      <formula>"Napkin Hs"</formula>
    </cfRule>
  </conditionalFormatting>
  <conditionalFormatting sqref="C43">
    <cfRule type="cellIs" dxfId="989" priority="991" stopIfTrue="1" operator="equal">
      <formula>"Towel"</formula>
    </cfRule>
    <cfRule type="cellIs" dxfId="988" priority="992" stopIfTrue="1" operator="equal">
      <formula>"Napkin Hs"</formula>
    </cfRule>
  </conditionalFormatting>
  <conditionalFormatting sqref="B43:C43">
    <cfRule type="cellIs" dxfId="987" priority="989" stopIfTrue="1" operator="equal">
      <formula>"Towel"</formula>
    </cfRule>
    <cfRule type="cellIs" dxfId="986" priority="990" stopIfTrue="1" operator="equal">
      <formula>"Napkin Hs"</formula>
    </cfRule>
  </conditionalFormatting>
  <conditionalFormatting sqref="C43">
    <cfRule type="cellIs" dxfId="985" priority="997" stopIfTrue="1" operator="equal">
      <formula>"Towel"</formula>
    </cfRule>
    <cfRule type="cellIs" dxfId="984" priority="998" stopIfTrue="1" operator="equal">
      <formula>"Napkin Hs"</formula>
    </cfRule>
  </conditionalFormatting>
  <conditionalFormatting sqref="C43">
    <cfRule type="cellIs" dxfId="983" priority="999" stopIfTrue="1" operator="equal">
      <formula>"Towel"</formula>
    </cfRule>
    <cfRule type="cellIs" dxfId="982" priority="1000" stopIfTrue="1" operator="equal">
      <formula>"Napkin Hs"</formula>
    </cfRule>
  </conditionalFormatting>
  <conditionalFormatting sqref="C59">
    <cfRule type="cellIs" dxfId="981" priority="981" stopIfTrue="1" operator="equal">
      <formula>"Towel"</formula>
    </cfRule>
    <cfRule type="cellIs" dxfId="980" priority="982" stopIfTrue="1" operator="equal">
      <formula>"Napkin Hs"</formula>
    </cfRule>
  </conditionalFormatting>
  <conditionalFormatting sqref="B59:C59">
    <cfRule type="cellIs" dxfId="979" priority="983" stopIfTrue="1" operator="equal">
      <formula>"Towel"</formula>
    </cfRule>
    <cfRule type="cellIs" dxfId="978" priority="984" stopIfTrue="1" operator="equal">
      <formula>"Napkin Hs"</formula>
    </cfRule>
  </conditionalFormatting>
  <conditionalFormatting sqref="C59">
    <cfRule type="cellIs" dxfId="977" priority="979" stopIfTrue="1" operator="equal">
      <formula>"Towel"</formula>
    </cfRule>
    <cfRule type="cellIs" dxfId="976" priority="980" stopIfTrue="1" operator="equal">
      <formula>"Napkin Hs"</formula>
    </cfRule>
  </conditionalFormatting>
  <conditionalFormatting sqref="B59:C59">
    <cfRule type="cellIs" dxfId="975" priority="977" stopIfTrue="1" operator="equal">
      <formula>"Towel"</formula>
    </cfRule>
    <cfRule type="cellIs" dxfId="974" priority="978" stopIfTrue="1" operator="equal">
      <formula>"Napkin Hs"</formula>
    </cfRule>
  </conditionalFormatting>
  <conditionalFormatting sqref="C59">
    <cfRule type="cellIs" dxfId="973" priority="985" stopIfTrue="1" operator="equal">
      <formula>"Towel"</formula>
    </cfRule>
    <cfRule type="cellIs" dxfId="972" priority="986" stopIfTrue="1" operator="equal">
      <formula>"Napkin Hs"</formula>
    </cfRule>
  </conditionalFormatting>
  <conditionalFormatting sqref="C59">
    <cfRule type="cellIs" dxfId="971" priority="987" stopIfTrue="1" operator="equal">
      <formula>"Towel"</formula>
    </cfRule>
    <cfRule type="cellIs" dxfId="970" priority="988" stopIfTrue="1" operator="equal">
      <formula>"Napkin Hs"</formula>
    </cfRule>
  </conditionalFormatting>
  <conditionalFormatting sqref="C64">
    <cfRule type="cellIs" dxfId="969" priority="969" stopIfTrue="1" operator="equal">
      <formula>"Towel"</formula>
    </cfRule>
    <cfRule type="cellIs" dxfId="968" priority="970" stopIfTrue="1" operator="equal">
      <formula>"Napkin Hs"</formula>
    </cfRule>
  </conditionalFormatting>
  <conditionalFormatting sqref="B64:C64">
    <cfRule type="cellIs" dxfId="967" priority="971" stopIfTrue="1" operator="equal">
      <formula>"Towel"</formula>
    </cfRule>
    <cfRule type="cellIs" dxfId="966" priority="972" stopIfTrue="1" operator="equal">
      <formula>"Napkin Hs"</formula>
    </cfRule>
  </conditionalFormatting>
  <conditionalFormatting sqref="C64">
    <cfRule type="cellIs" dxfId="965" priority="967" stopIfTrue="1" operator="equal">
      <formula>"Towel"</formula>
    </cfRule>
    <cfRule type="cellIs" dxfId="964" priority="968" stopIfTrue="1" operator="equal">
      <formula>"Napkin Hs"</formula>
    </cfRule>
  </conditionalFormatting>
  <conditionalFormatting sqref="B64:C64">
    <cfRule type="cellIs" dxfId="963" priority="965" stopIfTrue="1" operator="equal">
      <formula>"Towel"</formula>
    </cfRule>
    <cfRule type="cellIs" dxfId="962" priority="966" stopIfTrue="1" operator="equal">
      <formula>"Napkin Hs"</formula>
    </cfRule>
  </conditionalFormatting>
  <conditionalFormatting sqref="C64">
    <cfRule type="cellIs" dxfId="961" priority="973" stopIfTrue="1" operator="equal">
      <formula>"Towel"</formula>
    </cfRule>
    <cfRule type="cellIs" dxfId="960" priority="974" stopIfTrue="1" operator="equal">
      <formula>"Napkin Hs"</formula>
    </cfRule>
  </conditionalFormatting>
  <conditionalFormatting sqref="C64">
    <cfRule type="cellIs" dxfId="959" priority="975" stopIfTrue="1" operator="equal">
      <formula>"Towel"</formula>
    </cfRule>
    <cfRule type="cellIs" dxfId="958" priority="976" stopIfTrue="1" operator="equal">
      <formula>"Napkin Hs"</formula>
    </cfRule>
  </conditionalFormatting>
  <conditionalFormatting sqref="C79">
    <cfRule type="cellIs" dxfId="957" priority="957" stopIfTrue="1" operator="equal">
      <formula>"Towel"</formula>
    </cfRule>
    <cfRule type="cellIs" dxfId="956" priority="958" stopIfTrue="1" operator="equal">
      <formula>"Napkin Hs"</formula>
    </cfRule>
  </conditionalFormatting>
  <conditionalFormatting sqref="B79:C79">
    <cfRule type="cellIs" dxfId="955" priority="959" stopIfTrue="1" operator="equal">
      <formula>"Towel"</formula>
    </cfRule>
    <cfRule type="cellIs" dxfId="954" priority="960" stopIfTrue="1" operator="equal">
      <formula>"Napkin Hs"</formula>
    </cfRule>
  </conditionalFormatting>
  <conditionalFormatting sqref="C79">
    <cfRule type="cellIs" dxfId="953" priority="955" stopIfTrue="1" operator="equal">
      <formula>"Towel"</formula>
    </cfRule>
    <cfRule type="cellIs" dxfId="952" priority="956" stopIfTrue="1" operator="equal">
      <formula>"Napkin Hs"</formula>
    </cfRule>
  </conditionalFormatting>
  <conditionalFormatting sqref="B79:C79">
    <cfRule type="cellIs" dxfId="951" priority="953" stopIfTrue="1" operator="equal">
      <formula>"Towel"</formula>
    </cfRule>
    <cfRule type="cellIs" dxfId="950" priority="954" stopIfTrue="1" operator="equal">
      <formula>"Napkin Hs"</formula>
    </cfRule>
  </conditionalFormatting>
  <conditionalFormatting sqref="C79">
    <cfRule type="cellIs" dxfId="949" priority="961" stopIfTrue="1" operator="equal">
      <formula>"Towel"</formula>
    </cfRule>
    <cfRule type="cellIs" dxfId="948" priority="962" stopIfTrue="1" operator="equal">
      <formula>"Napkin Hs"</formula>
    </cfRule>
  </conditionalFormatting>
  <conditionalFormatting sqref="C79">
    <cfRule type="cellIs" dxfId="947" priority="963" stopIfTrue="1" operator="equal">
      <formula>"Towel"</formula>
    </cfRule>
    <cfRule type="cellIs" dxfId="946" priority="964" stopIfTrue="1" operator="equal">
      <formula>"Napkin Hs"</formula>
    </cfRule>
  </conditionalFormatting>
  <conditionalFormatting sqref="C84">
    <cfRule type="cellIs" dxfId="945" priority="949" stopIfTrue="1" operator="equal">
      <formula>"Towel"</formula>
    </cfRule>
    <cfRule type="cellIs" dxfId="944" priority="950" stopIfTrue="1" operator="equal">
      <formula>"Napkin Hs"</formula>
    </cfRule>
  </conditionalFormatting>
  <conditionalFormatting sqref="C84">
    <cfRule type="cellIs" dxfId="943" priority="951" stopIfTrue="1" operator="equal">
      <formula>"Towel"</formula>
    </cfRule>
    <cfRule type="cellIs" dxfId="942" priority="952" stopIfTrue="1" operator="equal">
      <formula>"Napkin Hs"</formula>
    </cfRule>
  </conditionalFormatting>
  <conditionalFormatting sqref="C84">
    <cfRule type="cellIs" dxfId="941" priority="947" stopIfTrue="1" operator="equal">
      <formula>"Towel"</formula>
    </cfRule>
    <cfRule type="cellIs" dxfId="940" priority="948" stopIfTrue="1" operator="equal">
      <formula>"Napkin Hs"</formula>
    </cfRule>
  </conditionalFormatting>
  <conditionalFormatting sqref="C84">
    <cfRule type="cellIs" dxfId="939" priority="941" stopIfTrue="1" operator="equal">
      <formula>"Towel"</formula>
    </cfRule>
    <cfRule type="cellIs" dxfId="938" priority="942" stopIfTrue="1" operator="equal">
      <formula>"Napkin Hs"</formula>
    </cfRule>
  </conditionalFormatting>
  <conditionalFormatting sqref="C84">
    <cfRule type="cellIs" dxfId="937" priority="943" stopIfTrue="1" operator="equal">
      <formula>"Towel"</formula>
    </cfRule>
    <cfRule type="cellIs" dxfId="936" priority="944" stopIfTrue="1" operator="equal">
      <formula>"Napkin Hs"</formula>
    </cfRule>
  </conditionalFormatting>
  <conditionalFormatting sqref="C84">
    <cfRule type="cellIs" dxfId="935" priority="945" stopIfTrue="1" operator="equal">
      <formula>"Towel"</formula>
    </cfRule>
    <cfRule type="cellIs" dxfId="934" priority="946" stopIfTrue="1" operator="equal">
      <formula>"Napkin Hs"</formula>
    </cfRule>
  </conditionalFormatting>
  <conditionalFormatting sqref="B84">
    <cfRule type="cellIs" dxfId="933" priority="939" stopIfTrue="1" operator="equal">
      <formula>"Towel"</formula>
    </cfRule>
    <cfRule type="cellIs" dxfId="932" priority="940" stopIfTrue="1" operator="equal">
      <formula>"Napkin Hs"</formula>
    </cfRule>
  </conditionalFormatting>
  <conditionalFormatting sqref="B84">
    <cfRule type="cellIs" dxfId="931" priority="937" stopIfTrue="1" operator="equal">
      <formula>"Towel"</formula>
    </cfRule>
    <cfRule type="cellIs" dxfId="930" priority="938" stopIfTrue="1" operator="equal">
      <formula>"Napkin Hs"</formula>
    </cfRule>
  </conditionalFormatting>
  <conditionalFormatting sqref="B89:C89">
    <cfRule type="cellIs" dxfId="929" priority="935" stopIfTrue="1" operator="equal">
      <formula>"Towel"</formula>
    </cfRule>
    <cfRule type="cellIs" dxfId="928" priority="936" stopIfTrue="1" operator="equal">
      <formula>"Napkin Hs"</formula>
    </cfRule>
  </conditionalFormatting>
  <conditionalFormatting sqref="C89">
    <cfRule type="cellIs" dxfId="927" priority="933" stopIfTrue="1" operator="equal">
      <formula>"Towel"</formula>
    </cfRule>
    <cfRule type="cellIs" dxfId="926" priority="934" stopIfTrue="1" operator="equal">
      <formula>"Napkin Hs"</formula>
    </cfRule>
  </conditionalFormatting>
  <conditionalFormatting sqref="C89">
    <cfRule type="cellIs" dxfId="925" priority="931" stopIfTrue="1" operator="equal">
      <formula>"Towel"</formula>
    </cfRule>
    <cfRule type="cellIs" dxfId="924" priority="932" stopIfTrue="1" operator="equal">
      <formula>"Napkin Hs"</formula>
    </cfRule>
  </conditionalFormatting>
  <conditionalFormatting sqref="C89">
    <cfRule type="cellIs" dxfId="923" priority="923" stopIfTrue="1" operator="equal">
      <formula>"Towel"</formula>
    </cfRule>
    <cfRule type="cellIs" dxfId="922" priority="924" stopIfTrue="1" operator="equal">
      <formula>"Napkin Hs"</formula>
    </cfRule>
  </conditionalFormatting>
  <conditionalFormatting sqref="B89:C89">
    <cfRule type="cellIs" dxfId="921" priority="925" stopIfTrue="1" operator="equal">
      <formula>"Towel"</formula>
    </cfRule>
    <cfRule type="cellIs" dxfId="920" priority="926" stopIfTrue="1" operator="equal">
      <formula>"Napkin Hs"</formula>
    </cfRule>
  </conditionalFormatting>
  <conditionalFormatting sqref="C89">
    <cfRule type="cellIs" dxfId="919" priority="921" stopIfTrue="1" operator="equal">
      <formula>"Towel"</formula>
    </cfRule>
    <cfRule type="cellIs" dxfId="918" priority="922" stopIfTrue="1" operator="equal">
      <formula>"Napkin Hs"</formula>
    </cfRule>
  </conditionalFormatting>
  <conditionalFormatting sqref="B89:C89">
    <cfRule type="cellIs" dxfId="917" priority="919" stopIfTrue="1" operator="equal">
      <formula>"Towel"</formula>
    </cfRule>
    <cfRule type="cellIs" dxfId="916" priority="920" stopIfTrue="1" operator="equal">
      <formula>"Napkin Hs"</formula>
    </cfRule>
  </conditionalFormatting>
  <conditionalFormatting sqref="C89">
    <cfRule type="cellIs" dxfId="915" priority="927" stopIfTrue="1" operator="equal">
      <formula>"Towel"</formula>
    </cfRule>
    <cfRule type="cellIs" dxfId="914" priority="928" stopIfTrue="1" operator="equal">
      <formula>"Napkin Hs"</formula>
    </cfRule>
  </conditionalFormatting>
  <conditionalFormatting sqref="C89">
    <cfRule type="cellIs" dxfId="913" priority="929" stopIfTrue="1" operator="equal">
      <formula>"Towel"</formula>
    </cfRule>
    <cfRule type="cellIs" dxfId="912" priority="930" stopIfTrue="1" operator="equal">
      <formula>"Napkin Hs"</formula>
    </cfRule>
  </conditionalFormatting>
  <conditionalFormatting sqref="C94">
    <cfRule type="cellIs" dxfId="911" priority="911" stopIfTrue="1" operator="equal">
      <formula>"Towel"</formula>
    </cfRule>
    <cfRule type="cellIs" dxfId="910" priority="912" stopIfTrue="1" operator="equal">
      <formula>"Napkin Hs"</formula>
    </cfRule>
  </conditionalFormatting>
  <conditionalFormatting sqref="C94">
    <cfRule type="cellIs" dxfId="909" priority="909" stopIfTrue="1" operator="equal">
      <formula>"Towel"</formula>
    </cfRule>
    <cfRule type="cellIs" dxfId="908" priority="910" stopIfTrue="1" operator="equal">
      <formula>"Napkin Hs"</formula>
    </cfRule>
  </conditionalFormatting>
  <conditionalFormatting sqref="B94:C94">
    <cfRule type="cellIs" dxfId="907" priority="907" stopIfTrue="1" operator="equal">
      <formula>"Towel"</formula>
    </cfRule>
    <cfRule type="cellIs" dxfId="906" priority="908" stopIfTrue="1" operator="equal">
      <formula>"Napkin Hs"</formula>
    </cfRule>
  </conditionalFormatting>
  <conditionalFormatting sqref="B94:C94">
    <cfRule type="cellIs" dxfId="905" priority="917" stopIfTrue="1" operator="equal">
      <formula>"Towel"</formula>
    </cfRule>
    <cfRule type="cellIs" dxfId="904" priority="918" stopIfTrue="1" operator="equal">
      <formula>"Napkin Hs"</formula>
    </cfRule>
  </conditionalFormatting>
  <conditionalFormatting sqref="C94">
    <cfRule type="cellIs" dxfId="903" priority="915" stopIfTrue="1" operator="equal">
      <formula>"Towel"</formula>
    </cfRule>
    <cfRule type="cellIs" dxfId="902" priority="916" stopIfTrue="1" operator="equal">
      <formula>"Napkin Hs"</formula>
    </cfRule>
  </conditionalFormatting>
  <conditionalFormatting sqref="C94">
    <cfRule type="cellIs" dxfId="901" priority="913" stopIfTrue="1" operator="equal">
      <formula>"Towel"</formula>
    </cfRule>
    <cfRule type="cellIs" dxfId="900" priority="914" stopIfTrue="1" operator="equal">
      <formula>"Napkin Hs"</formula>
    </cfRule>
  </conditionalFormatting>
  <conditionalFormatting sqref="C94">
    <cfRule type="cellIs" dxfId="899" priority="905" stopIfTrue="1" operator="equal">
      <formula>"Towel"</formula>
    </cfRule>
    <cfRule type="cellIs" dxfId="898" priority="906" stopIfTrue="1" operator="equal">
      <formula>"Napkin Hs"</formula>
    </cfRule>
  </conditionalFormatting>
  <conditionalFormatting sqref="C94">
    <cfRule type="cellIs" dxfId="897" priority="903" stopIfTrue="1" operator="equal">
      <formula>"Towel"</formula>
    </cfRule>
    <cfRule type="cellIs" dxfId="896" priority="904" stopIfTrue="1" operator="equal">
      <formula>"Napkin Hs"</formula>
    </cfRule>
  </conditionalFormatting>
  <conditionalFormatting sqref="B94:C94">
    <cfRule type="cellIs" dxfId="895" priority="901" stopIfTrue="1" operator="equal">
      <formula>"Towel"</formula>
    </cfRule>
    <cfRule type="cellIs" dxfId="894" priority="902" stopIfTrue="1" operator="equal">
      <formula>"Napkin Hs"</formula>
    </cfRule>
  </conditionalFormatting>
  <conditionalFormatting sqref="B99:C99">
    <cfRule type="cellIs" dxfId="893" priority="899" stopIfTrue="1" operator="equal">
      <formula>"Towel"</formula>
    </cfRule>
    <cfRule type="cellIs" dxfId="892" priority="900" stopIfTrue="1" operator="equal">
      <formula>"Napkin Hs"</formula>
    </cfRule>
  </conditionalFormatting>
  <conditionalFormatting sqref="C99">
    <cfRule type="cellIs" dxfId="891" priority="897" stopIfTrue="1" operator="equal">
      <formula>"Towel"</formula>
    </cfRule>
    <cfRule type="cellIs" dxfId="890" priority="898" stopIfTrue="1" operator="equal">
      <formula>"Napkin Hs"</formula>
    </cfRule>
  </conditionalFormatting>
  <conditionalFormatting sqref="C99">
    <cfRule type="cellIs" dxfId="889" priority="895" stopIfTrue="1" operator="equal">
      <formula>"Towel"</formula>
    </cfRule>
    <cfRule type="cellIs" dxfId="888" priority="896" stopIfTrue="1" operator="equal">
      <formula>"Napkin Hs"</formula>
    </cfRule>
  </conditionalFormatting>
  <conditionalFormatting sqref="C99">
    <cfRule type="cellIs" dxfId="887" priority="887" stopIfTrue="1" operator="equal">
      <formula>"Towel"</formula>
    </cfRule>
    <cfRule type="cellIs" dxfId="886" priority="888" stopIfTrue="1" operator="equal">
      <formula>"Napkin Hs"</formula>
    </cfRule>
  </conditionalFormatting>
  <conditionalFormatting sqref="B99:C99">
    <cfRule type="cellIs" dxfId="885" priority="889" stopIfTrue="1" operator="equal">
      <formula>"Towel"</formula>
    </cfRule>
    <cfRule type="cellIs" dxfId="884" priority="890" stopIfTrue="1" operator="equal">
      <formula>"Napkin Hs"</formula>
    </cfRule>
  </conditionalFormatting>
  <conditionalFormatting sqref="C99">
    <cfRule type="cellIs" dxfId="883" priority="885" stopIfTrue="1" operator="equal">
      <formula>"Towel"</formula>
    </cfRule>
    <cfRule type="cellIs" dxfId="882" priority="886" stopIfTrue="1" operator="equal">
      <formula>"Napkin Hs"</formula>
    </cfRule>
  </conditionalFormatting>
  <conditionalFormatting sqref="B99:C99">
    <cfRule type="cellIs" dxfId="881" priority="883" stopIfTrue="1" operator="equal">
      <formula>"Towel"</formula>
    </cfRule>
    <cfRule type="cellIs" dxfId="880" priority="884" stopIfTrue="1" operator="equal">
      <formula>"Napkin Hs"</formula>
    </cfRule>
  </conditionalFormatting>
  <conditionalFormatting sqref="C99">
    <cfRule type="cellIs" dxfId="879" priority="891" stopIfTrue="1" operator="equal">
      <formula>"Towel"</formula>
    </cfRule>
    <cfRule type="cellIs" dxfId="878" priority="892" stopIfTrue="1" operator="equal">
      <formula>"Napkin Hs"</formula>
    </cfRule>
  </conditionalFormatting>
  <conditionalFormatting sqref="C99">
    <cfRule type="cellIs" dxfId="877" priority="893" stopIfTrue="1" operator="equal">
      <formula>"Towel"</formula>
    </cfRule>
    <cfRule type="cellIs" dxfId="876" priority="894" stopIfTrue="1" operator="equal">
      <formula>"Napkin Hs"</formula>
    </cfRule>
  </conditionalFormatting>
  <conditionalFormatting sqref="B104:C104">
    <cfRule type="cellIs" dxfId="875" priority="881" stopIfTrue="1" operator="equal">
      <formula>"Towel"</formula>
    </cfRule>
    <cfRule type="cellIs" dxfId="874" priority="882" stopIfTrue="1" operator="equal">
      <formula>"Napkin Hs"</formula>
    </cfRule>
  </conditionalFormatting>
  <conditionalFormatting sqref="C104">
    <cfRule type="cellIs" dxfId="873" priority="879" stopIfTrue="1" operator="equal">
      <formula>"Towel"</formula>
    </cfRule>
    <cfRule type="cellIs" dxfId="872" priority="880" stopIfTrue="1" operator="equal">
      <formula>"Napkin Hs"</formula>
    </cfRule>
  </conditionalFormatting>
  <conditionalFormatting sqref="C104">
    <cfRule type="cellIs" dxfId="871" priority="877" stopIfTrue="1" operator="equal">
      <formula>"Towel"</formula>
    </cfRule>
    <cfRule type="cellIs" dxfId="870" priority="878" stopIfTrue="1" operator="equal">
      <formula>"Napkin Hs"</formula>
    </cfRule>
  </conditionalFormatting>
  <conditionalFormatting sqref="C104">
    <cfRule type="cellIs" dxfId="869" priority="869" stopIfTrue="1" operator="equal">
      <formula>"Towel"</formula>
    </cfRule>
    <cfRule type="cellIs" dxfId="868" priority="870" stopIfTrue="1" operator="equal">
      <formula>"Napkin Hs"</formula>
    </cfRule>
  </conditionalFormatting>
  <conditionalFormatting sqref="B104:C104">
    <cfRule type="cellIs" dxfId="867" priority="871" stopIfTrue="1" operator="equal">
      <formula>"Towel"</formula>
    </cfRule>
    <cfRule type="cellIs" dxfId="866" priority="872" stopIfTrue="1" operator="equal">
      <formula>"Napkin Hs"</formula>
    </cfRule>
  </conditionalFormatting>
  <conditionalFormatting sqref="C104">
    <cfRule type="cellIs" dxfId="865" priority="867" stopIfTrue="1" operator="equal">
      <formula>"Towel"</formula>
    </cfRule>
    <cfRule type="cellIs" dxfId="864" priority="868" stopIfTrue="1" operator="equal">
      <formula>"Napkin Hs"</formula>
    </cfRule>
  </conditionalFormatting>
  <conditionalFormatting sqref="B104:C104">
    <cfRule type="cellIs" dxfId="863" priority="865" stopIfTrue="1" operator="equal">
      <formula>"Towel"</formula>
    </cfRule>
    <cfRule type="cellIs" dxfId="862" priority="866" stopIfTrue="1" operator="equal">
      <formula>"Napkin Hs"</formula>
    </cfRule>
  </conditionalFormatting>
  <conditionalFormatting sqref="C104">
    <cfRule type="cellIs" dxfId="861" priority="873" stopIfTrue="1" operator="equal">
      <formula>"Towel"</formula>
    </cfRule>
    <cfRule type="cellIs" dxfId="860" priority="874" stopIfTrue="1" operator="equal">
      <formula>"Napkin Hs"</formula>
    </cfRule>
  </conditionalFormatting>
  <conditionalFormatting sqref="C104">
    <cfRule type="cellIs" dxfId="859" priority="875" stopIfTrue="1" operator="equal">
      <formula>"Towel"</formula>
    </cfRule>
    <cfRule type="cellIs" dxfId="858" priority="876" stopIfTrue="1" operator="equal">
      <formula>"Napkin Hs"</formula>
    </cfRule>
  </conditionalFormatting>
  <conditionalFormatting sqref="C104">
    <cfRule type="cellIs" dxfId="857" priority="857" stopIfTrue="1" operator="equal">
      <formula>"Towel"</formula>
    </cfRule>
    <cfRule type="cellIs" dxfId="856" priority="858" stopIfTrue="1" operator="equal">
      <formula>"Napkin Hs"</formula>
    </cfRule>
  </conditionalFormatting>
  <conditionalFormatting sqref="C104">
    <cfRule type="cellIs" dxfId="855" priority="855" stopIfTrue="1" operator="equal">
      <formula>"Towel"</formula>
    </cfRule>
    <cfRule type="cellIs" dxfId="854" priority="856" stopIfTrue="1" operator="equal">
      <formula>"Napkin Hs"</formula>
    </cfRule>
  </conditionalFormatting>
  <conditionalFormatting sqref="B104:C104">
    <cfRule type="cellIs" dxfId="853" priority="853" stopIfTrue="1" operator="equal">
      <formula>"Towel"</formula>
    </cfRule>
    <cfRule type="cellIs" dxfId="852" priority="854" stopIfTrue="1" operator="equal">
      <formula>"Napkin Hs"</formula>
    </cfRule>
  </conditionalFormatting>
  <conditionalFormatting sqref="B104:C104">
    <cfRule type="cellIs" dxfId="851" priority="863" stopIfTrue="1" operator="equal">
      <formula>"Towel"</formula>
    </cfRule>
    <cfRule type="cellIs" dxfId="850" priority="864" stopIfTrue="1" operator="equal">
      <formula>"Napkin Hs"</formula>
    </cfRule>
  </conditionalFormatting>
  <conditionalFormatting sqref="C104">
    <cfRule type="cellIs" dxfId="849" priority="861" stopIfTrue="1" operator="equal">
      <formula>"Towel"</formula>
    </cfRule>
    <cfRule type="cellIs" dxfId="848" priority="862" stopIfTrue="1" operator="equal">
      <formula>"Napkin Hs"</formula>
    </cfRule>
  </conditionalFormatting>
  <conditionalFormatting sqref="C104">
    <cfRule type="cellIs" dxfId="847" priority="859" stopIfTrue="1" operator="equal">
      <formula>"Towel"</formula>
    </cfRule>
    <cfRule type="cellIs" dxfId="846" priority="860" stopIfTrue="1" operator="equal">
      <formula>"Napkin Hs"</formula>
    </cfRule>
  </conditionalFormatting>
  <conditionalFormatting sqref="C104">
    <cfRule type="cellIs" dxfId="845" priority="851" stopIfTrue="1" operator="equal">
      <formula>"Towel"</formula>
    </cfRule>
    <cfRule type="cellIs" dxfId="844" priority="852" stopIfTrue="1" operator="equal">
      <formula>"Napkin Hs"</formula>
    </cfRule>
  </conditionalFormatting>
  <conditionalFormatting sqref="C104">
    <cfRule type="cellIs" dxfId="843" priority="849" stopIfTrue="1" operator="equal">
      <formula>"Towel"</formula>
    </cfRule>
    <cfRule type="cellIs" dxfId="842" priority="850" stopIfTrue="1" operator="equal">
      <formula>"Napkin Hs"</formula>
    </cfRule>
  </conditionalFormatting>
  <conditionalFormatting sqref="B104:C104">
    <cfRule type="cellIs" dxfId="841" priority="847" stopIfTrue="1" operator="equal">
      <formula>"Towel"</formula>
    </cfRule>
    <cfRule type="cellIs" dxfId="840" priority="848" stopIfTrue="1" operator="equal">
      <formula>"Napkin Hs"</formula>
    </cfRule>
  </conditionalFormatting>
  <conditionalFormatting sqref="C109">
    <cfRule type="cellIs" dxfId="839" priority="839" stopIfTrue="1" operator="equal">
      <formula>"Towel"</formula>
    </cfRule>
    <cfRule type="cellIs" dxfId="838" priority="840" stopIfTrue="1" operator="equal">
      <formula>"Napkin Hs"</formula>
    </cfRule>
  </conditionalFormatting>
  <conditionalFormatting sqref="C109">
    <cfRule type="cellIs" dxfId="837" priority="837" stopIfTrue="1" operator="equal">
      <formula>"Towel"</formula>
    </cfRule>
    <cfRule type="cellIs" dxfId="836" priority="838" stopIfTrue="1" operator="equal">
      <formula>"Napkin Hs"</formula>
    </cfRule>
  </conditionalFormatting>
  <conditionalFormatting sqref="B109:C109">
    <cfRule type="cellIs" dxfId="835" priority="835" stopIfTrue="1" operator="equal">
      <formula>"Towel"</formula>
    </cfRule>
    <cfRule type="cellIs" dxfId="834" priority="836" stopIfTrue="1" operator="equal">
      <formula>"Napkin Hs"</formula>
    </cfRule>
  </conditionalFormatting>
  <conditionalFormatting sqref="B109:C109">
    <cfRule type="cellIs" dxfId="833" priority="829" stopIfTrue="1" operator="equal">
      <formula>"Towel"</formula>
    </cfRule>
    <cfRule type="cellIs" dxfId="832" priority="830" stopIfTrue="1" operator="equal">
      <formula>"Napkin Hs"</formula>
    </cfRule>
  </conditionalFormatting>
  <conditionalFormatting sqref="C109">
    <cfRule type="cellIs" dxfId="831" priority="831" stopIfTrue="1" operator="equal">
      <formula>"Towel"</formula>
    </cfRule>
    <cfRule type="cellIs" dxfId="830" priority="832" stopIfTrue="1" operator="equal">
      <formula>"Napkin Hs"</formula>
    </cfRule>
  </conditionalFormatting>
  <conditionalFormatting sqref="C109">
    <cfRule type="cellIs" dxfId="829" priority="833" stopIfTrue="1" operator="equal">
      <formula>"Towel"</formula>
    </cfRule>
    <cfRule type="cellIs" dxfId="828" priority="834" stopIfTrue="1" operator="equal">
      <formula>"Napkin Hs"</formula>
    </cfRule>
  </conditionalFormatting>
  <conditionalFormatting sqref="B109:C109">
    <cfRule type="cellIs" dxfId="827" priority="845" stopIfTrue="1" operator="equal">
      <formula>"Towel"</formula>
    </cfRule>
    <cfRule type="cellIs" dxfId="826" priority="846" stopIfTrue="1" operator="equal">
      <formula>"Napkin Hs"</formula>
    </cfRule>
  </conditionalFormatting>
  <conditionalFormatting sqref="C109">
    <cfRule type="cellIs" dxfId="825" priority="843" stopIfTrue="1" operator="equal">
      <formula>"Towel"</formula>
    </cfRule>
    <cfRule type="cellIs" dxfId="824" priority="844" stopIfTrue="1" operator="equal">
      <formula>"Napkin Hs"</formula>
    </cfRule>
  </conditionalFormatting>
  <conditionalFormatting sqref="C109">
    <cfRule type="cellIs" dxfId="823" priority="841" stopIfTrue="1" operator="equal">
      <formula>"Towel"</formula>
    </cfRule>
    <cfRule type="cellIs" dxfId="822" priority="842" stopIfTrue="1" operator="equal">
      <formula>"Napkin Hs"</formula>
    </cfRule>
  </conditionalFormatting>
  <conditionalFormatting sqref="C109">
    <cfRule type="cellIs" dxfId="821" priority="815" stopIfTrue="1" operator="equal">
      <formula>"Towel"</formula>
    </cfRule>
    <cfRule type="cellIs" dxfId="820" priority="816" stopIfTrue="1" operator="equal">
      <formula>"Napkin Hs"</formula>
    </cfRule>
  </conditionalFormatting>
  <conditionalFormatting sqref="C109">
    <cfRule type="cellIs" dxfId="819" priority="813" stopIfTrue="1" operator="equal">
      <formula>"Towel"</formula>
    </cfRule>
    <cfRule type="cellIs" dxfId="818" priority="814" stopIfTrue="1" operator="equal">
      <formula>"Napkin Hs"</formula>
    </cfRule>
  </conditionalFormatting>
  <conditionalFormatting sqref="B109:C109">
    <cfRule type="cellIs" dxfId="817" priority="811" stopIfTrue="1" operator="equal">
      <formula>"Towel"</formula>
    </cfRule>
    <cfRule type="cellIs" dxfId="816" priority="812" stopIfTrue="1" operator="equal">
      <formula>"Napkin Hs"</formula>
    </cfRule>
  </conditionalFormatting>
  <conditionalFormatting sqref="C109">
    <cfRule type="cellIs" dxfId="815" priority="821" stopIfTrue="1" operator="equal">
      <formula>"Towel"</formula>
    </cfRule>
    <cfRule type="cellIs" dxfId="814" priority="822" stopIfTrue="1" operator="equal">
      <formula>"Napkin Hs"</formula>
    </cfRule>
  </conditionalFormatting>
  <conditionalFormatting sqref="C109">
    <cfRule type="cellIs" dxfId="813" priority="819" stopIfTrue="1" operator="equal">
      <formula>"Towel"</formula>
    </cfRule>
    <cfRule type="cellIs" dxfId="812" priority="820" stopIfTrue="1" operator="equal">
      <formula>"Napkin Hs"</formula>
    </cfRule>
  </conditionalFormatting>
  <conditionalFormatting sqref="B109:C109">
    <cfRule type="cellIs" dxfId="811" priority="817" stopIfTrue="1" operator="equal">
      <formula>"Towel"</formula>
    </cfRule>
    <cfRule type="cellIs" dxfId="810" priority="818" stopIfTrue="1" operator="equal">
      <formula>"Napkin Hs"</formula>
    </cfRule>
  </conditionalFormatting>
  <conditionalFormatting sqref="B109:C109">
    <cfRule type="cellIs" dxfId="809" priority="827" stopIfTrue="1" operator="equal">
      <formula>"Towel"</formula>
    </cfRule>
    <cfRule type="cellIs" dxfId="808" priority="828" stopIfTrue="1" operator="equal">
      <formula>"Napkin Hs"</formula>
    </cfRule>
  </conditionalFormatting>
  <conditionalFormatting sqref="C109">
    <cfRule type="cellIs" dxfId="807" priority="825" stopIfTrue="1" operator="equal">
      <formula>"Towel"</formula>
    </cfRule>
    <cfRule type="cellIs" dxfId="806" priority="826" stopIfTrue="1" operator="equal">
      <formula>"Napkin Hs"</formula>
    </cfRule>
  </conditionalFormatting>
  <conditionalFormatting sqref="C109">
    <cfRule type="cellIs" dxfId="805" priority="823" stopIfTrue="1" operator="equal">
      <formula>"Towel"</formula>
    </cfRule>
    <cfRule type="cellIs" dxfId="804" priority="824" stopIfTrue="1" operator="equal">
      <formula>"Napkin Hs"</formula>
    </cfRule>
  </conditionalFormatting>
  <conditionalFormatting sqref="C114">
    <cfRule type="cellIs" dxfId="803" priority="803" stopIfTrue="1" operator="equal">
      <formula>"Towel"</formula>
    </cfRule>
    <cfRule type="cellIs" dxfId="802" priority="804" stopIfTrue="1" operator="equal">
      <formula>"Napkin Hs"</formula>
    </cfRule>
  </conditionalFormatting>
  <conditionalFormatting sqref="C114">
    <cfRule type="cellIs" dxfId="801" priority="801" stopIfTrue="1" operator="equal">
      <formula>"Towel"</formula>
    </cfRule>
    <cfRule type="cellIs" dxfId="800" priority="802" stopIfTrue="1" operator="equal">
      <formula>"Napkin Hs"</formula>
    </cfRule>
  </conditionalFormatting>
  <conditionalFormatting sqref="B114:C114">
    <cfRule type="cellIs" dxfId="799" priority="799" stopIfTrue="1" operator="equal">
      <formula>"Towel"</formula>
    </cfRule>
    <cfRule type="cellIs" dxfId="798" priority="800" stopIfTrue="1" operator="equal">
      <formula>"Napkin Hs"</formula>
    </cfRule>
  </conditionalFormatting>
  <conditionalFormatting sqref="B114:C114">
    <cfRule type="cellIs" dxfId="797" priority="793" stopIfTrue="1" operator="equal">
      <formula>"Towel"</formula>
    </cfRule>
    <cfRule type="cellIs" dxfId="796" priority="794" stopIfTrue="1" operator="equal">
      <formula>"Napkin Hs"</formula>
    </cfRule>
  </conditionalFormatting>
  <conditionalFormatting sqref="C114">
    <cfRule type="cellIs" dxfId="795" priority="795" stopIfTrue="1" operator="equal">
      <formula>"Towel"</formula>
    </cfRule>
    <cfRule type="cellIs" dxfId="794" priority="796" stopIfTrue="1" operator="equal">
      <formula>"Napkin Hs"</formula>
    </cfRule>
  </conditionalFormatting>
  <conditionalFormatting sqref="C114">
    <cfRule type="cellIs" dxfId="793" priority="797" stopIfTrue="1" operator="equal">
      <formula>"Towel"</formula>
    </cfRule>
    <cfRule type="cellIs" dxfId="792" priority="798" stopIfTrue="1" operator="equal">
      <formula>"Napkin Hs"</formula>
    </cfRule>
  </conditionalFormatting>
  <conditionalFormatting sqref="B114:C114">
    <cfRule type="cellIs" dxfId="791" priority="809" stopIfTrue="1" operator="equal">
      <formula>"Towel"</formula>
    </cfRule>
    <cfRule type="cellIs" dxfId="790" priority="810" stopIfTrue="1" operator="equal">
      <formula>"Napkin Hs"</formula>
    </cfRule>
  </conditionalFormatting>
  <conditionalFormatting sqref="C114">
    <cfRule type="cellIs" dxfId="789" priority="807" stopIfTrue="1" operator="equal">
      <formula>"Towel"</formula>
    </cfRule>
    <cfRule type="cellIs" dxfId="788" priority="808" stopIfTrue="1" operator="equal">
      <formula>"Napkin Hs"</formula>
    </cfRule>
  </conditionalFormatting>
  <conditionalFormatting sqref="C114">
    <cfRule type="cellIs" dxfId="787" priority="805" stopIfTrue="1" operator="equal">
      <formula>"Towel"</formula>
    </cfRule>
    <cfRule type="cellIs" dxfId="786" priority="806" stopIfTrue="1" operator="equal">
      <formula>"Napkin Hs"</formula>
    </cfRule>
  </conditionalFormatting>
  <conditionalFormatting sqref="C114">
    <cfRule type="cellIs" dxfId="785" priority="779" stopIfTrue="1" operator="equal">
      <formula>"Towel"</formula>
    </cfRule>
    <cfRule type="cellIs" dxfId="784" priority="780" stopIfTrue="1" operator="equal">
      <formula>"Napkin Hs"</formula>
    </cfRule>
  </conditionalFormatting>
  <conditionalFormatting sqref="C114">
    <cfRule type="cellIs" dxfId="783" priority="777" stopIfTrue="1" operator="equal">
      <formula>"Towel"</formula>
    </cfRule>
    <cfRule type="cellIs" dxfId="782" priority="778" stopIfTrue="1" operator="equal">
      <formula>"Napkin Hs"</formula>
    </cfRule>
  </conditionalFormatting>
  <conditionalFormatting sqref="B114:C114">
    <cfRule type="cellIs" dxfId="781" priority="775" stopIfTrue="1" operator="equal">
      <formula>"Towel"</formula>
    </cfRule>
    <cfRule type="cellIs" dxfId="780" priority="776" stopIfTrue="1" operator="equal">
      <formula>"Napkin Hs"</formula>
    </cfRule>
  </conditionalFormatting>
  <conditionalFormatting sqref="C114">
    <cfRule type="cellIs" dxfId="779" priority="785" stopIfTrue="1" operator="equal">
      <formula>"Towel"</formula>
    </cfRule>
    <cfRule type="cellIs" dxfId="778" priority="786" stopIfTrue="1" operator="equal">
      <formula>"Napkin Hs"</formula>
    </cfRule>
  </conditionalFormatting>
  <conditionalFormatting sqref="C114">
    <cfRule type="cellIs" dxfId="777" priority="783" stopIfTrue="1" operator="equal">
      <formula>"Towel"</formula>
    </cfRule>
    <cfRule type="cellIs" dxfId="776" priority="784" stopIfTrue="1" operator="equal">
      <formula>"Napkin Hs"</formula>
    </cfRule>
  </conditionalFormatting>
  <conditionalFormatting sqref="B114:C114">
    <cfRule type="cellIs" dxfId="775" priority="781" stopIfTrue="1" operator="equal">
      <formula>"Towel"</formula>
    </cfRule>
    <cfRule type="cellIs" dxfId="774" priority="782" stopIfTrue="1" operator="equal">
      <formula>"Napkin Hs"</formula>
    </cfRule>
  </conditionalFormatting>
  <conditionalFormatting sqref="B114:C114">
    <cfRule type="cellIs" dxfId="773" priority="791" stopIfTrue="1" operator="equal">
      <formula>"Towel"</formula>
    </cfRule>
    <cfRule type="cellIs" dxfId="772" priority="792" stopIfTrue="1" operator="equal">
      <formula>"Napkin Hs"</formula>
    </cfRule>
  </conditionalFormatting>
  <conditionalFormatting sqref="C114">
    <cfRule type="cellIs" dxfId="771" priority="789" stopIfTrue="1" operator="equal">
      <formula>"Towel"</formula>
    </cfRule>
    <cfRule type="cellIs" dxfId="770" priority="790" stopIfTrue="1" operator="equal">
      <formula>"Napkin Hs"</formula>
    </cfRule>
  </conditionalFormatting>
  <conditionalFormatting sqref="C114">
    <cfRule type="cellIs" dxfId="769" priority="787" stopIfTrue="1" operator="equal">
      <formula>"Towel"</formula>
    </cfRule>
    <cfRule type="cellIs" dxfId="768" priority="788" stopIfTrue="1" operator="equal">
      <formula>"Napkin Hs"</formula>
    </cfRule>
  </conditionalFormatting>
  <conditionalFormatting sqref="B114:C114">
    <cfRule type="cellIs" dxfId="767" priority="773" stopIfTrue="1" operator="equal">
      <formula>"Towel"</formula>
    </cfRule>
    <cfRule type="cellIs" dxfId="766" priority="774" stopIfTrue="1" operator="equal">
      <formula>"Napkin Hs"</formula>
    </cfRule>
  </conditionalFormatting>
  <conditionalFormatting sqref="C114">
    <cfRule type="cellIs" dxfId="765" priority="769" stopIfTrue="1" operator="equal">
      <formula>"Towel"</formula>
    </cfRule>
    <cfRule type="cellIs" dxfId="764" priority="770" stopIfTrue="1" operator="equal">
      <formula>"Napkin Hs"</formula>
    </cfRule>
  </conditionalFormatting>
  <conditionalFormatting sqref="C114">
    <cfRule type="cellIs" dxfId="763" priority="771" stopIfTrue="1" operator="equal">
      <formula>"Towel"</formula>
    </cfRule>
    <cfRule type="cellIs" dxfId="762" priority="772" stopIfTrue="1" operator="equal">
      <formula>"Napkin Hs"</formula>
    </cfRule>
  </conditionalFormatting>
  <conditionalFormatting sqref="B114:C114">
    <cfRule type="cellIs" dxfId="761" priority="767" stopIfTrue="1" operator="equal">
      <formula>"Towel"</formula>
    </cfRule>
    <cfRule type="cellIs" dxfId="760" priority="768" stopIfTrue="1" operator="equal">
      <formula>"Napkin Hs"</formula>
    </cfRule>
  </conditionalFormatting>
  <conditionalFormatting sqref="C114">
    <cfRule type="cellIs" dxfId="759" priority="765" stopIfTrue="1" operator="equal">
      <formula>"Towel"</formula>
    </cfRule>
    <cfRule type="cellIs" dxfId="758" priority="766" stopIfTrue="1" operator="equal">
      <formula>"Napkin Hs"</formula>
    </cfRule>
  </conditionalFormatting>
  <conditionalFormatting sqref="C114">
    <cfRule type="cellIs" dxfId="757" priority="763" stopIfTrue="1" operator="equal">
      <formula>"Towel"</formula>
    </cfRule>
    <cfRule type="cellIs" dxfId="756" priority="764" stopIfTrue="1" operator="equal">
      <formula>"Napkin Hs"</formula>
    </cfRule>
  </conditionalFormatting>
  <conditionalFormatting sqref="C114">
    <cfRule type="cellIs" dxfId="755" priority="755" stopIfTrue="1" operator="equal">
      <formula>"Towel"</formula>
    </cfRule>
    <cfRule type="cellIs" dxfId="754" priority="756" stopIfTrue="1" operator="equal">
      <formula>"Napkin Hs"</formula>
    </cfRule>
  </conditionalFormatting>
  <conditionalFormatting sqref="B114:C114">
    <cfRule type="cellIs" dxfId="753" priority="757" stopIfTrue="1" operator="equal">
      <formula>"Towel"</formula>
    </cfRule>
    <cfRule type="cellIs" dxfId="752" priority="758" stopIfTrue="1" operator="equal">
      <formula>"Napkin Hs"</formula>
    </cfRule>
  </conditionalFormatting>
  <conditionalFormatting sqref="C114">
    <cfRule type="cellIs" dxfId="751" priority="753" stopIfTrue="1" operator="equal">
      <formula>"Towel"</formula>
    </cfRule>
    <cfRule type="cellIs" dxfId="750" priority="754" stopIfTrue="1" operator="equal">
      <formula>"Napkin Hs"</formula>
    </cfRule>
  </conditionalFormatting>
  <conditionalFormatting sqref="B114:C114">
    <cfRule type="cellIs" dxfId="749" priority="751" stopIfTrue="1" operator="equal">
      <formula>"Towel"</formula>
    </cfRule>
    <cfRule type="cellIs" dxfId="748" priority="752" stopIfTrue="1" operator="equal">
      <formula>"Napkin Hs"</formula>
    </cfRule>
  </conditionalFormatting>
  <conditionalFormatting sqref="C114">
    <cfRule type="cellIs" dxfId="747" priority="759" stopIfTrue="1" operator="equal">
      <formula>"Towel"</formula>
    </cfRule>
    <cfRule type="cellIs" dxfId="746" priority="760" stopIfTrue="1" operator="equal">
      <formula>"Napkin Hs"</formula>
    </cfRule>
  </conditionalFormatting>
  <conditionalFormatting sqref="C114">
    <cfRule type="cellIs" dxfId="745" priority="761" stopIfTrue="1" operator="equal">
      <formula>"Towel"</formula>
    </cfRule>
    <cfRule type="cellIs" dxfId="744" priority="762" stopIfTrue="1" operator="equal">
      <formula>"Napkin Hs"</formula>
    </cfRule>
  </conditionalFormatting>
  <conditionalFormatting sqref="B119:C119">
    <cfRule type="cellIs" dxfId="743" priority="749" stopIfTrue="1" operator="equal">
      <formula>"Towel"</formula>
    </cfRule>
    <cfRule type="cellIs" dxfId="742" priority="750" stopIfTrue="1" operator="equal">
      <formula>"Napkin Hs"</formula>
    </cfRule>
  </conditionalFormatting>
  <conditionalFormatting sqref="C119">
    <cfRule type="cellIs" dxfId="741" priority="729" stopIfTrue="1" operator="equal">
      <formula>"Towel"</formula>
    </cfRule>
    <cfRule type="cellIs" dxfId="740" priority="730" stopIfTrue="1" operator="equal">
      <formula>"Napkin Hs"</formula>
    </cfRule>
  </conditionalFormatting>
  <conditionalFormatting sqref="B119:C119">
    <cfRule type="cellIs" dxfId="739" priority="727" stopIfTrue="1" operator="equal">
      <formula>"Towel"</formula>
    </cfRule>
    <cfRule type="cellIs" dxfId="738" priority="728" stopIfTrue="1" operator="equal">
      <formula>"Napkin Hs"</formula>
    </cfRule>
  </conditionalFormatting>
  <conditionalFormatting sqref="C119">
    <cfRule type="cellIs" dxfId="737" priority="735" stopIfTrue="1" operator="equal">
      <formula>"Towel"</formula>
    </cfRule>
    <cfRule type="cellIs" dxfId="736" priority="736" stopIfTrue="1" operator="equal">
      <formula>"Napkin Hs"</formula>
    </cfRule>
  </conditionalFormatting>
  <conditionalFormatting sqref="B119:C119">
    <cfRule type="cellIs" dxfId="735" priority="733" stopIfTrue="1" operator="equal">
      <formula>"Towel"</formula>
    </cfRule>
    <cfRule type="cellIs" dxfId="734" priority="734" stopIfTrue="1" operator="equal">
      <formula>"Napkin Hs"</formula>
    </cfRule>
  </conditionalFormatting>
  <conditionalFormatting sqref="C119">
    <cfRule type="cellIs" dxfId="733" priority="731" stopIfTrue="1" operator="equal">
      <formula>"Towel"</formula>
    </cfRule>
    <cfRule type="cellIs" dxfId="732" priority="732" stopIfTrue="1" operator="equal">
      <formula>"Napkin Hs"</formula>
    </cfRule>
  </conditionalFormatting>
  <conditionalFormatting sqref="C119">
    <cfRule type="cellIs" dxfId="731" priority="741" stopIfTrue="1" operator="equal">
      <formula>"Towel"</formula>
    </cfRule>
    <cfRule type="cellIs" dxfId="730" priority="742" stopIfTrue="1" operator="equal">
      <formula>"Napkin Hs"</formula>
    </cfRule>
  </conditionalFormatting>
  <conditionalFormatting sqref="C119">
    <cfRule type="cellIs" dxfId="729" priority="739" stopIfTrue="1" operator="equal">
      <formula>"Towel"</formula>
    </cfRule>
    <cfRule type="cellIs" dxfId="728" priority="740" stopIfTrue="1" operator="equal">
      <formula>"Napkin Hs"</formula>
    </cfRule>
  </conditionalFormatting>
  <conditionalFormatting sqref="C119">
    <cfRule type="cellIs" dxfId="727" priority="737" stopIfTrue="1" operator="equal">
      <formula>"Towel"</formula>
    </cfRule>
    <cfRule type="cellIs" dxfId="726" priority="738" stopIfTrue="1" operator="equal">
      <formula>"Napkin Hs"</formula>
    </cfRule>
  </conditionalFormatting>
  <conditionalFormatting sqref="C119">
    <cfRule type="cellIs" dxfId="725" priority="745" stopIfTrue="1" operator="equal">
      <formula>"Towel"</formula>
    </cfRule>
    <cfRule type="cellIs" dxfId="724" priority="746" stopIfTrue="1" operator="equal">
      <formula>"Napkin Hs"</formula>
    </cfRule>
  </conditionalFormatting>
  <conditionalFormatting sqref="C119">
    <cfRule type="cellIs" dxfId="723" priority="747" stopIfTrue="1" operator="equal">
      <formula>"Towel"</formula>
    </cfRule>
    <cfRule type="cellIs" dxfId="722" priority="748" stopIfTrue="1" operator="equal">
      <formula>"Napkin Hs"</formula>
    </cfRule>
  </conditionalFormatting>
  <conditionalFormatting sqref="B119:C119">
    <cfRule type="cellIs" dxfId="721" priority="743" stopIfTrue="1" operator="equal">
      <formula>"Towel"</formula>
    </cfRule>
    <cfRule type="cellIs" dxfId="720" priority="744" stopIfTrue="1" operator="equal">
      <formula>"Napkin Hs"</formula>
    </cfRule>
  </conditionalFormatting>
  <conditionalFormatting sqref="B134:C134">
    <cfRule type="cellIs" dxfId="719" priority="725" stopIfTrue="1" operator="equal">
      <formula>"Towel"</formula>
    </cfRule>
    <cfRule type="cellIs" dxfId="718" priority="726" stopIfTrue="1" operator="equal">
      <formula>"Napkin Hs"</formula>
    </cfRule>
  </conditionalFormatting>
  <conditionalFormatting sqref="C134">
    <cfRule type="cellIs" dxfId="717" priority="724" stopIfTrue="1" operator="equal">
      <formula>"Napkin Hs"</formula>
    </cfRule>
  </conditionalFormatting>
  <conditionalFormatting sqref="C134">
    <cfRule type="cellIs" dxfId="716" priority="723" stopIfTrue="1" operator="equal">
      <formula>"Towel"</formula>
    </cfRule>
  </conditionalFormatting>
  <conditionalFormatting sqref="C134">
    <cfRule type="cellIs" dxfId="715" priority="721" stopIfTrue="1" operator="equal">
      <formula>"Towel"</formula>
    </cfRule>
    <cfRule type="cellIs" dxfId="714" priority="722" stopIfTrue="1" operator="equal">
      <formula>"Napkin Hs"</formula>
    </cfRule>
  </conditionalFormatting>
  <conditionalFormatting sqref="B159:C159 B165:C165">
    <cfRule type="cellIs" dxfId="713" priority="719" stopIfTrue="1" operator="equal">
      <formula>"Towel"</formula>
    </cfRule>
    <cfRule type="cellIs" dxfId="712" priority="720" stopIfTrue="1" operator="equal">
      <formula>"Napkin Hs"</formula>
    </cfRule>
  </conditionalFormatting>
  <conditionalFormatting sqref="C159 C165">
    <cfRule type="cellIs" dxfId="711" priority="718" stopIfTrue="1" operator="equal">
      <formula>"Napkin Hs"</formula>
    </cfRule>
  </conditionalFormatting>
  <conditionalFormatting sqref="C159 C165">
    <cfRule type="cellIs" dxfId="710" priority="717" stopIfTrue="1" operator="equal">
      <formula>"Towel"</formula>
    </cfRule>
  </conditionalFormatting>
  <conditionalFormatting sqref="C159 C165">
    <cfRule type="cellIs" dxfId="709" priority="715" stopIfTrue="1" operator="equal">
      <formula>"Towel"</formula>
    </cfRule>
    <cfRule type="cellIs" dxfId="708" priority="716" stopIfTrue="1" operator="equal">
      <formula>"Napkin Hs"</formula>
    </cfRule>
  </conditionalFormatting>
  <conditionalFormatting sqref="B149:C149">
    <cfRule type="cellIs" dxfId="707" priority="713" stopIfTrue="1" operator="equal">
      <formula>"Towel"</formula>
    </cfRule>
    <cfRule type="cellIs" dxfId="706" priority="714" stopIfTrue="1" operator="equal">
      <formula>"Napkin Hs"</formula>
    </cfRule>
  </conditionalFormatting>
  <conditionalFormatting sqref="C149">
    <cfRule type="cellIs" dxfId="705" priority="709" stopIfTrue="1" operator="equal">
      <formula>"Towel"</formula>
    </cfRule>
    <cfRule type="cellIs" dxfId="704" priority="710" stopIfTrue="1" operator="equal">
      <formula>"Napkin Hs"</formula>
    </cfRule>
  </conditionalFormatting>
  <conditionalFormatting sqref="C149">
    <cfRule type="cellIs" dxfId="703" priority="711" stopIfTrue="1" operator="equal">
      <formula>"Towel"</formula>
    </cfRule>
    <cfRule type="cellIs" dxfId="702" priority="712" stopIfTrue="1" operator="equal">
      <formula>"Napkin Hs"</formula>
    </cfRule>
  </conditionalFormatting>
  <conditionalFormatting sqref="B149:C149">
    <cfRule type="cellIs" dxfId="701" priority="707" stopIfTrue="1" operator="equal">
      <formula>"Towel"</formula>
    </cfRule>
    <cfRule type="cellIs" dxfId="700" priority="708" stopIfTrue="1" operator="equal">
      <formula>"Napkin Hs"</formula>
    </cfRule>
  </conditionalFormatting>
  <conditionalFormatting sqref="C149">
    <cfRule type="cellIs" dxfId="699" priority="705" stopIfTrue="1" operator="equal">
      <formula>"Towel"</formula>
    </cfRule>
    <cfRule type="cellIs" dxfId="698" priority="706" stopIfTrue="1" operator="equal">
      <formula>"Napkin Hs"</formula>
    </cfRule>
  </conditionalFormatting>
  <conditionalFormatting sqref="C149">
    <cfRule type="cellIs" dxfId="697" priority="703" stopIfTrue="1" operator="equal">
      <formula>"Towel"</formula>
    </cfRule>
    <cfRule type="cellIs" dxfId="696" priority="704" stopIfTrue="1" operator="equal">
      <formula>"Napkin Hs"</formula>
    </cfRule>
  </conditionalFormatting>
  <conditionalFormatting sqref="C149">
    <cfRule type="cellIs" dxfId="695" priority="695" stopIfTrue="1" operator="equal">
      <formula>"Towel"</formula>
    </cfRule>
    <cfRule type="cellIs" dxfId="694" priority="696" stopIfTrue="1" operator="equal">
      <formula>"Napkin Hs"</formula>
    </cfRule>
  </conditionalFormatting>
  <conditionalFormatting sqref="B149:C149">
    <cfRule type="cellIs" dxfId="693" priority="697" stopIfTrue="1" operator="equal">
      <formula>"Towel"</formula>
    </cfRule>
    <cfRule type="cellIs" dxfId="692" priority="698" stopIfTrue="1" operator="equal">
      <formula>"Napkin Hs"</formula>
    </cfRule>
  </conditionalFormatting>
  <conditionalFormatting sqref="C149">
    <cfRule type="cellIs" dxfId="691" priority="693" stopIfTrue="1" operator="equal">
      <formula>"Towel"</formula>
    </cfRule>
    <cfRule type="cellIs" dxfId="690" priority="694" stopIfTrue="1" operator="equal">
      <formula>"Napkin Hs"</formula>
    </cfRule>
  </conditionalFormatting>
  <conditionalFormatting sqref="B149:C149">
    <cfRule type="cellIs" dxfId="689" priority="691" stopIfTrue="1" operator="equal">
      <formula>"Towel"</formula>
    </cfRule>
    <cfRule type="cellIs" dxfId="688" priority="692" stopIfTrue="1" operator="equal">
      <formula>"Napkin Hs"</formula>
    </cfRule>
  </conditionalFormatting>
  <conditionalFormatting sqref="C149">
    <cfRule type="cellIs" dxfId="687" priority="699" stopIfTrue="1" operator="equal">
      <formula>"Towel"</formula>
    </cfRule>
    <cfRule type="cellIs" dxfId="686" priority="700" stopIfTrue="1" operator="equal">
      <formula>"Napkin Hs"</formula>
    </cfRule>
  </conditionalFormatting>
  <conditionalFormatting sqref="C149">
    <cfRule type="cellIs" dxfId="685" priority="701" stopIfTrue="1" operator="equal">
      <formula>"Towel"</formula>
    </cfRule>
    <cfRule type="cellIs" dxfId="684" priority="702" stopIfTrue="1" operator="equal">
      <formula>"Napkin Hs"</formula>
    </cfRule>
  </conditionalFormatting>
  <conditionalFormatting sqref="B154:C154">
    <cfRule type="cellIs" dxfId="683" priority="689" stopIfTrue="1" operator="equal">
      <formula>"Towel"</formula>
    </cfRule>
    <cfRule type="cellIs" dxfId="682" priority="690" stopIfTrue="1" operator="equal">
      <formula>"Napkin Hs"</formula>
    </cfRule>
  </conditionalFormatting>
  <conditionalFormatting sqref="C154">
    <cfRule type="cellIs" dxfId="681" priority="685" stopIfTrue="1" operator="equal">
      <formula>"Towel"</formula>
    </cfRule>
    <cfRule type="cellIs" dxfId="680" priority="686" stopIfTrue="1" operator="equal">
      <formula>"Napkin Hs"</formula>
    </cfRule>
  </conditionalFormatting>
  <conditionalFormatting sqref="C154">
    <cfRule type="cellIs" dxfId="679" priority="687" stopIfTrue="1" operator="equal">
      <formula>"Towel"</formula>
    </cfRule>
    <cfRule type="cellIs" dxfId="678" priority="688" stopIfTrue="1" operator="equal">
      <formula>"Napkin Hs"</formula>
    </cfRule>
  </conditionalFormatting>
  <conditionalFormatting sqref="B154:C154">
    <cfRule type="cellIs" dxfId="677" priority="683" stopIfTrue="1" operator="equal">
      <formula>"Towel"</formula>
    </cfRule>
    <cfRule type="cellIs" dxfId="676" priority="684" stopIfTrue="1" operator="equal">
      <formula>"Napkin Hs"</formula>
    </cfRule>
  </conditionalFormatting>
  <conditionalFormatting sqref="C154">
    <cfRule type="cellIs" dxfId="675" priority="681" stopIfTrue="1" operator="equal">
      <formula>"Towel"</formula>
    </cfRule>
    <cfRule type="cellIs" dxfId="674" priority="682" stopIfTrue="1" operator="equal">
      <formula>"Napkin Hs"</formula>
    </cfRule>
  </conditionalFormatting>
  <conditionalFormatting sqref="C154">
    <cfRule type="cellIs" dxfId="673" priority="679" stopIfTrue="1" operator="equal">
      <formula>"Towel"</formula>
    </cfRule>
    <cfRule type="cellIs" dxfId="672" priority="680" stopIfTrue="1" operator="equal">
      <formula>"Napkin Hs"</formula>
    </cfRule>
  </conditionalFormatting>
  <conditionalFormatting sqref="C154">
    <cfRule type="cellIs" dxfId="671" priority="671" stopIfTrue="1" operator="equal">
      <formula>"Towel"</formula>
    </cfRule>
    <cfRule type="cellIs" dxfId="670" priority="672" stopIfTrue="1" operator="equal">
      <formula>"Napkin Hs"</formula>
    </cfRule>
  </conditionalFormatting>
  <conditionalFormatting sqref="B154:C154">
    <cfRule type="cellIs" dxfId="669" priority="673" stopIfTrue="1" operator="equal">
      <formula>"Towel"</formula>
    </cfRule>
    <cfRule type="cellIs" dxfId="668" priority="674" stopIfTrue="1" operator="equal">
      <formula>"Napkin Hs"</formula>
    </cfRule>
  </conditionalFormatting>
  <conditionalFormatting sqref="C154">
    <cfRule type="cellIs" dxfId="667" priority="669" stopIfTrue="1" operator="equal">
      <formula>"Towel"</formula>
    </cfRule>
    <cfRule type="cellIs" dxfId="666" priority="670" stopIfTrue="1" operator="equal">
      <formula>"Napkin Hs"</formula>
    </cfRule>
  </conditionalFormatting>
  <conditionalFormatting sqref="B154:C154">
    <cfRule type="cellIs" dxfId="665" priority="667" stopIfTrue="1" operator="equal">
      <formula>"Towel"</formula>
    </cfRule>
    <cfRule type="cellIs" dxfId="664" priority="668" stopIfTrue="1" operator="equal">
      <formula>"Napkin Hs"</formula>
    </cfRule>
  </conditionalFormatting>
  <conditionalFormatting sqref="C154">
    <cfRule type="cellIs" dxfId="663" priority="675" stopIfTrue="1" operator="equal">
      <formula>"Towel"</formula>
    </cfRule>
    <cfRule type="cellIs" dxfId="662" priority="676" stopIfTrue="1" operator="equal">
      <formula>"Napkin Hs"</formula>
    </cfRule>
  </conditionalFormatting>
  <conditionalFormatting sqref="C154">
    <cfRule type="cellIs" dxfId="661" priority="677" stopIfTrue="1" operator="equal">
      <formula>"Towel"</formula>
    </cfRule>
    <cfRule type="cellIs" dxfId="660" priority="678" stopIfTrue="1" operator="equal">
      <formula>"Napkin Hs"</formula>
    </cfRule>
  </conditionalFormatting>
  <conditionalFormatting sqref="B6:C9">
    <cfRule type="cellIs" dxfId="659" priority="665" stopIfTrue="1" operator="equal">
      <formula>"Towel"</formula>
    </cfRule>
    <cfRule type="cellIs" dxfId="658" priority="666" stopIfTrue="1" operator="equal">
      <formula>"Napkin Hs"</formula>
    </cfRule>
  </conditionalFormatting>
  <conditionalFormatting sqref="C6:C9">
    <cfRule type="cellIs" dxfId="657" priority="664" stopIfTrue="1" operator="equal">
      <formula>"Napkin Hs"</formula>
    </cfRule>
  </conditionalFormatting>
  <conditionalFormatting sqref="C6:C9">
    <cfRule type="cellIs" dxfId="656" priority="661" stopIfTrue="1" operator="equal">
      <formula>"Towel"</formula>
    </cfRule>
    <cfRule type="cellIs" dxfId="655" priority="662" stopIfTrue="1" operator="equal">
      <formula>"Napkin Hs"</formula>
    </cfRule>
  </conditionalFormatting>
  <conditionalFormatting sqref="C6:C9">
    <cfRule type="cellIs" dxfId="654" priority="663" stopIfTrue="1" operator="equal">
      <formula>"Towel"</formula>
    </cfRule>
  </conditionalFormatting>
  <conditionalFormatting sqref="B18:C18">
    <cfRule type="cellIs" dxfId="653" priority="659" stopIfTrue="1" operator="equal">
      <formula>"Towel"</formula>
    </cfRule>
    <cfRule type="cellIs" dxfId="652" priority="660" stopIfTrue="1" operator="equal">
      <formula>"Napkin Hs"</formula>
    </cfRule>
  </conditionalFormatting>
  <conditionalFormatting sqref="C18">
    <cfRule type="cellIs" dxfId="651" priority="658" stopIfTrue="1" operator="equal">
      <formula>"Napkin Hs"</formula>
    </cfRule>
  </conditionalFormatting>
  <conditionalFormatting sqref="C18">
    <cfRule type="cellIs" dxfId="650" priority="655" stopIfTrue="1" operator="equal">
      <formula>"Towel"</formula>
    </cfRule>
    <cfRule type="cellIs" dxfId="649" priority="656" stopIfTrue="1" operator="equal">
      <formula>"Napkin Hs"</formula>
    </cfRule>
  </conditionalFormatting>
  <conditionalFormatting sqref="C18">
    <cfRule type="cellIs" dxfId="648" priority="657" stopIfTrue="1" operator="equal">
      <formula>"Towel"</formula>
    </cfRule>
  </conditionalFormatting>
  <conditionalFormatting sqref="B24:C24">
    <cfRule type="cellIs" dxfId="647" priority="653" stopIfTrue="1" operator="equal">
      <formula>"Towel"</formula>
    </cfRule>
    <cfRule type="cellIs" dxfId="646" priority="654" stopIfTrue="1" operator="equal">
      <formula>"Napkin Hs"</formula>
    </cfRule>
  </conditionalFormatting>
  <conditionalFormatting sqref="C24">
    <cfRule type="cellIs" dxfId="645" priority="652" stopIfTrue="1" operator="equal">
      <formula>"Napkin Hs"</formula>
    </cfRule>
  </conditionalFormatting>
  <conditionalFormatting sqref="C24">
    <cfRule type="cellIs" dxfId="644" priority="649" stopIfTrue="1" operator="equal">
      <formula>"Towel"</formula>
    </cfRule>
    <cfRule type="cellIs" dxfId="643" priority="650" stopIfTrue="1" operator="equal">
      <formula>"Napkin Hs"</formula>
    </cfRule>
  </conditionalFormatting>
  <conditionalFormatting sqref="C24">
    <cfRule type="cellIs" dxfId="642" priority="651" stopIfTrue="1" operator="equal">
      <formula>"Towel"</formula>
    </cfRule>
  </conditionalFormatting>
  <conditionalFormatting sqref="B31:C31">
    <cfRule type="cellIs" dxfId="641" priority="647" stopIfTrue="1" operator="equal">
      <formula>"Towel"</formula>
    </cfRule>
    <cfRule type="cellIs" dxfId="640" priority="648" stopIfTrue="1" operator="equal">
      <formula>"Napkin Hs"</formula>
    </cfRule>
  </conditionalFormatting>
  <conditionalFormatting sqref="C31">
    <cfRule type="cellIs" dxfId="639" priority="646" stopIfTrue="1" operator="equal">
      <formula>"Napkin Hs"</formula>
    </cfRule>
  </conditionalFormatting>
  <conditionalFormatting sqref="C31">
    <cfRule type="cellIs" dxfId="638" priority="643" stopIfTrue="1" operator="equal">
      <formula>"Towel"</formula>
    </cfRule>
    <cfRule type="cellIs" dxfId="637" priority="644" stopIfTrue="1" operator="equal">
      <formula>"Napkin Hs"</formula>
    </cfRule>
  </conditionalFormatting>
  <conditionalFormatting sqref="C31">
    <cfRule type="cellIs" dxfId="636" priority="645" stopIfTrue="1" operator="equal">
      <formula>"Towel"</formula>
    </cfRule>
  </conditionalFormatting>
  <conditionalFormatting sqref="B37:C37">
    <cfRule type="cellIs" dxfId="635" priority="641" stopIfTrue="1" operator="equal">
      <formula>"Towel"</formula>
    </cfRule>
    <cfRule type="cellIs" dxfId="634" priority="642" stopIfTrue="1" operator="equal">
      <formula>"Napkin Hs"</formula>
    </cfRule>
  </conditionalFormatting>
  <conditionalFormatting sqref="C37">
    <cfRule type="cellIs" dxfId="633" priority="640" stopIfTrue="1" operator="equal">
      <formula>"Napkin Hs"</formula>
    </cfRule>
  </conditionalFormatting>
  <conditionalFormatting sqref="C37">
    <cfRule type="cellIs" dxfId="632" priority="637" stopIfTrue="1" operator="equal">
      <formula>"Towel"</formula>
    </cfRule>
    <cfRule type="cellIs" dxfId="631" priority="638" stopIfTrue="1" operator="equal">
      <formula>"Napkin Hs"</formula>
    </cfRule>
  </conditionalFormatting>
  <conditionalFormatting sqref="C37">
    <cfRule type="cellIs" dxfId="630" priority="639" stopIfTrue="1" operator="equal">
      <formula>"Towel"</formula>
    </cfRule>
  </conditionalFormatting>
  <conditionalFormatting sqref="C16:C17">
    <cfRule type="cellIs" dxfId="629" priority="633" stopIfTrue="1" operator="equal">
      <formula>"Towel"</formula>
    </cfRule>
    <cfRule type="cellIs" dxfId="628" priority="634" stopIfTrue="1" operator="equal">
      <formula>"Napkin Hs"</formula>
    </cfRule>
  </conditionalFormatting>
  <conditionalFormatting sqref="C16:C17">
    <cfRule type="cellIs" dxfId="627" priority="635" stopIfTrue="1" operator="equal">
      <formula>"Towel"</formula>
    </cfRule>
    <cfRule type="cellIs" dxfId="626" priority="636" stopIfTrue="1" operator="equal">
      <formula>"Napkin Hs"</formula>
    </cfRule>
  </conditionalFormatting>
  <conditionalFormatting sqref="B16:C17">
    <cfRule type="cellIs" dxfId="625" priority="631" stopIfTrue="1" operator="equal">
      <formula>"Towel"</formula>
    </cfRule>
    <cfRule type="cellIs" dxfId="624" priority="632" stopIfTrue="1" operator="equal">
      <formula>"Napkin Hs"</formula>
    </cfRule>
  </conditionalFormatting>
  <conditionalFormatting sqref="B16:C17">
    <cfRule type="cellIs" dxfId="623" priority="625" stopIfTrue="1" operator="equal">
      <formula>"Towel"</formula>
    </cfRule>
    <cfRule type="cellIs" dxfId="622" priority="626" stopIfTrue="1" operator="equal">
      <formula>"Napkin Hs"</formula>
    </cfRule>
  </conditionalFormatting>
  <conditionalFormatting sqref="C16:C17">
    <cfRule type="cellIs" dxfId="621" priority="627" stopIfTrue="1" operator="equal">
      <formula>"Towel"</formula>
    </cfRule>
    <cfRule type="cellIs" dxfId="620" priority="628" stopIfTrue="1" operator="equal">
      <formula>"Napkin Hs"</formula>
    </cfRule>
  </conditionalFormatting>
  <conditionalFormatting sqref="C16:C17">
    <cfRule type="cellIs" dxfId="619" priority="629" stopIfTrue="1" operator="equal">
      <formula>"Towel"</formula>
    </cfRule>
    <cfRule type="cellIs" dxfId="618" priority="630" stopIfTrue="1" operator="equal">
      <formula>"Napkin Hs"</formula>
    </cfRule>
  </conditionalFormatting>
  <conditionalFormatting sqref="B14:C15">
    <cfRule type="cellIs" dxfId="617" priority="623" stopIfTrue="1" operator="equal">
      <formula>"Towel"</formula>
    </cfRule>
    <cfRule type="cellIs" dxfId="616" priority="624" stopIfTrue="1" operator="equal">
      <formula>"Napkin Hs"</formula>
    </cfRule>
  </conditionalFormatting>
  <conditionalFormatting sqref="C14:C15">
    <cfRule type="cellIs" dxfId="615" priority="622" stopIfTrue="1" operator="equal">
      <formula>"Napkin Hs"</formula>
    </cfRule>
  </conditionalFormatting>
  <conditionalFormatting sqref="C14:C15">
    <cfRule type="cellIs" dxfId="614" priority="619" stopIfTrue="1" operator="equal">
      <formula>"Towel"</formula>
    </cfRule>
    <cfRule type="cellIs" dxfId="613" priority="620" stopIfTrue="1" operator="equal">
      <formula>"Napkin Hs"</formula>
    </cfRule>
  </conditionalFormatting>
  <conditionalFormatting sqref="C14:C15">
    <cfRule type="cellIs" dxfId="612" priority="621" stopIfTrue="1" operator="equal">
      <formula>"Towel"</formula>
    </cfRule>
  </conditionalFormatting>
  <conditionalFormatting sqref="B13:C13">
    <cfRule type="cellIs" dxfId="611" priority="617" stopIfTrue="1" operator="equal">
      <formula>"Towel"</formula>
    </cfRule>
    <cfRule type="cellIs" dxfId="610" priority="618" stopIfTrue="1" operator="equal">
      <formula>"Napkin Hs"</formula>
    </cfRule>
  </conditionalFormatting>
  <conditionalFormatting sqref="C13">
    <cfRule type="cellIs" dxfId="609" priority="616" stopIfTrue="1" operator="equal">
      <formula>"Napkin Hs"</formula>
    </cfRule>
  </conditionalFormatting>
  <conditionalFormatting sqref="C13">
    <cfRule type="cellIs" dxfId="608" priority="613" stopIfTrue="1" operator="equal">
      <formula>"Towel"</formula>
    </cfRule>
    <cfRule type="cellIs" dxfId="607" priority="614" stopIfTrue="1" operator="equal">
      <formula>"Napkin Hs"</formula>
    </cfRule>
  </conditionalFormatting>
  <conditionalFormatting sqref="C13">
    <cfRule type="cellIs" dxfId="606" priority="615" stopIfTrue="1" operator="equal">
      <formula>"Towel"</formula>
    </cfRule>
  </conditionalFormatting>
  <conditionalFormatting sqref="C12">
    <cfRule type="cellIs" dxfId="605" priority="611" stopIfTrue="1" operator="equal">
      <formula>"Towel"</formula>
    </cfRule>
    <cfRule type="cellIs" dxfId="604" priority="612" stopIfTrue="1" operator="equal">
      <formula>"Napkin Hs"</formula>
    </cfRule>
  </conditionalFormatting>
  <conditionalFormatting sqref="C12">
    <cfRule type="cellIs" dxfId="603" priority="610" stopIfTrue="1" operator="equal">
      <formula>"Napkin Hs"</formula>
    </cfRule>
  </conditionalFormatting>
  <conditionalFormatting sqref="C12">
    <cfRule type="cellIs" dxfId="602" priority="607" stopIfTrue="1" operator="equal">
      <formula>"Towel"</formula>
    </cfRule>
    <cfRule type="cellIs" dxfId="601" priority="608" stopIfTrue="1" operator="equal">
      <formula>"Napkin Hs"</formula>
    </cfRule>
  </conditionalFormatting>
  <conditionalFormatting sqref="C12">
    <cfRule type="cellIs" dxfId="600" priority="609" stopIfTrue="1" operator="equal">
      <formula>"Towel"</formula>
    </cfRule>
  </conditionalFormatting>
  <conditionalFormatting sqref="C20 B21:C23">
    <cfRule type="cellIs" dxfId="599" priority="605" stopIfTrue="1" operator="equal">
      <formula>"Towel"</formula>
    </cfRule>
    <cfRule type="cellIs" dxfId="598" priority="606" stopIfTrue="1" operator="equal">
      <formula>"Napkin Hs"</formula>
    </cfRule>
  </conditionalFormatting>
  <conditionalFormatting sqref="C20:C23">
    <cfRule type="cellIs" dxfId="597" priority="604" stopIfTrue="1" operator="equal">
      <formula>"Napkin Hs"</formula>
    </cfRule>
  </conditionalFormatting>
  <conditionalFormatting sqref="C20:C23">
    <cfRule type="cellIs" dxfId="596" priority="601" stopIfTrue="1" operator="equal">
      <formula>"Towel"</formula>
    </cfRule>
    <cfRule type="cellIs" dxfId="595" priority="602" stopIfTrue="1" operator="equal">
      <formula>"Napkin Hs"</formula>
    </cfRule>
  </conditionalFormatting>
  <conditionalFormatting sqref="C20:C23">
    <cfRule type="cellIs" dxfId="594" priority="603" stopIfTrue="1" operator="equal">
      <formula>"Towel"</formula>
    </cfRule>
  </conditionalFormatting>
  <conditionalFormatting sqref="C19">
    <cfRule type="cellIs" dxfId="593" priority="599" stopIfTrue="1" operator="equal">
      <formula>"Towel"</formula>
    </cfRule>
    <cfRule type="cellIs" dxfId="592" priority="600" stopIfTrue="1" operator="equal">
      <formula>"Napkin Hs"</formula>
    </cfRule>
  </conditionalFormatting>
  <conditionalFormatting sqref="C19">
    <cfRule type="cellIs" dxfId="591" priority="598" stopIfTrue="1" operator="equal">
      <formula>"Napkin Hs"</formula>
    </cfRule>
  </conditionalFormatting>
  <conditionalFormatting sqref="C19">
    <cfRule type="cellIs" dxfId="590" priority="595" stopIfTrue="1" operator="equal">
      <formula>"Towel"</formula>
    </cfRule>
    <cfRule type="cellIs" dxfId="589" priority="596" stopIfTrue="1" operator="equal">
      <formula>"Napkin Hs"</formula>
    </cfRule>
  </conditionalFormatting>
  <conditionalFormatting sqref="C19">
    <cfRule type="cellIs" dxfId="588" priority="597" stopIfTrue="1" operator="equal">
      <formula>"Towel"</formula>
    </cfRule>
  </conditionalFormatting>
  <conditionalFormatting sqref="B12">
    <cfRule type="cellIs" dxfId="587" priority="593" stopIfTrue="1" operator="equal">
      <formula>"Towel"</formula>
    </cfRule>
    <cfRule type="cellIs" dxfId="586" priority="594" stopIfTrue="1" operator="equal">
      <formula>"Napkin Hs"</formula>
    </cfRule>
  </conditionalFormatting>
  <conditionalFormatting sqref="B19:B20">
    <cfRule type="cellIs" dxfId="585" priority="591" stopIfTrue="1" operator="equal">
      <formula>"Towel"</formula>
    </cfRule>
    <cfRule type="cellIs" dxfId="584" priority="592" stopIfTrue="1" operator="equal">
      <formula>"Napkin Hs"</formula>
    </cfRule>
  </conditionalFormatting>
  <conditionalFormatting sqref="C26 B27:C28">
    <cfRule type="cellIs" dxfId="583" priority="589" stopIfTrue="1" operator="equal">
      <formula>"Towel"</formula>
    </cfRule>
    <cfRule type="cellIs" dxfId="582" priority="590" stopIfTrue="1" operator="equal">
      <formula>"Napkin Hs"</formula>
    </cfRule>
  </conditionalFormatting>
  <conditionalFormatting sqref="C26:C28">
    <cfRule type="cellIs" dxfId="581" priority="588" stopIfTrue="1" operator="equal">
      <formula>"Napkin Hs"</formula>
    </cfRule>
  </conditionalFormatting>
  <conditionalFormatting sqref="C26:C28">
    <cfRule type="cellIs" dxfId="580" priority="585" stopIfTrue="1" operator="equal">
      <formula>"Towel"</formula>
    </cfRule>
    <cfRule type="cellIs" dxfId="579" priority="586" stopIfTrue="1" operator="equal">
      <formula>"Napkin Hs"</formula>
    </cfRule>
  </conditionalFormatting>
  <conditionalFormatting sqref="C26:C28">
    <cfRule type="cellIs" dxfId="578" priority="587" stopIfTrue="1" operator="equal">
      <formula>"Towel"</formula>
    </cfRule>
  </conditionalFormatting>
  <conditionalFormatting sqref="C25">
    <cfRule type="cellIs" dxfId="577" priority="583" stopIfTrue="1" operator="equal">
      <formula>"Towel"</formula>
    </cfRule>
    <cfRule type="cellIs" dxfId="576" priority="584" stopIfTrue="1" operator="equal">
      <formula>"Napkin Hs"</formula>
    </cfRule>
  </conditionalFormatting>
  <conditionalFormatting sqref="C25">
    <cfRule type="cellIs" dxfId="575" priority="582" stopIfTrue="1" operator="equal">
      <formula>"Napkin Hs"</formula>
    </cfRule>
  </conditionalFormatting>
  <conditionalFormatting sqref="C25">
    <cfRule type="cellIs" dxfId="574" priority="579" stopIfTrue="1" operator="equal">
      <formula>"Towel"</formula>
    </cfRule>
    <cfRule type="cellIs" dxfId="573" priority="580" stopIfTrue="1" operator="equal">
      <formula>"Napkin Hs"</formula>
    </cfRule>
  </conditionalFormatting>
  <conditionalFormatting sqref="C25">
    <cfRule type="cellIs" dxfId="572" priority="581" stopIfTrue="1" operator="equal">
      <formula>"Towel"</formula>
    </cfRule>
  </conditionalFormatting>
  <conditionalFormatting sqref="B25:B26">
    <cfRule type="cellIs" dxfId="571" priority="577" stopIfTrue="1" operator="equal">
      <formula>"Towel"</formula>
    </cfRule>
    <cfRule type="cellIs" dxfId="570" priority="578" stopIfTrue="1" operator="equal">
      <formula>"Napkin Hs"</formula>
    </cfRule>
  </conditionalFormatting>
  <conditionalFormatting sqref="B29:C29">
    <cfRule type="cellIs" dxfId="569" priority="575" stopIfTrue="1" operator="equal">
      <formula>"Towel"</formula>
    </cfRule>
    <cfRule type="cellIs" dxfId="568" priority="576" stopIfTrue="1" operator="equal">
      <formula>"Napkin Hs"</formula>
    </cfRule>
  </conditionalFormatting>
  <conditionalFormatting sqref="C29">
    <cfRule type="cellIs" dxfId="567" priority="574" stopIfTrue="1" operator="equal">
      <formula>"Napkin Hs"</formula>
    </cfRule>
  </conditionalFormatting>
  <conditionalFormatting sqref="C29">
    <cfRule type="cellIs" dxfId="566" priority="571" stopIfTrue="1" operator="equal">
      <formula>"Towel"</formula>
    </cfRule>
    <cfRule type="cellIs" dxfId="565" priority="572" stopIfTrue="1" operator="equal">
      <formula>"Napkin Hs"</formula>
    </cfRule>
  </conditionalFormatting>
  <conditionalFormatting sqref="C29">
    <cfRule type="cellIs" dxfId="564" priority="573" stopIfTrue="1" operator="equal">
      <formula>"Towel"</formula>
    </cfRule>
  </conditionalFormatting>
  <conditionalFormatting sqref="C30">
    <cfRule type="cellIs" dxfId="563" priority="567" stopIfTrue="1" operator="equal">
      <formula>"Towel"</formula>
    </cfRule>
    <cfRule type="cellIs" dxfId="562" priority="568" stopIfTrue="1" operator="equal">
      <formula>"Napkin Hs"</formula>
    </cfRule>
  </conditionalFormatting>
  <conditionalFormatting sqref="C30">
    <cfRule type="cellIs" dxfId="561" priority="569" stopIfTrue="1" operator="equal">
      <formula>"Towel"</formula>
    </cfRule>
    <cfRule type="cellIs" dxfId="560" priority="570" stopIfTrue="1" operator="equal">
      <formula>"Napkin Hs"</formula>
    </cfRule>
  </conditionalFormatting>
  <conditionalFormatting sqref="B30:C30">
    <cfRule type="cellIs" dxfId="559" priority="565" stopIfTrue="1" operator="equal">
      <formula>"Towel"</formula>
    </cfRule>
    <cfRule type="cellIs" dxfId="558" priority="566" stopIfTrue="1" operator="equal">
      <formula>"Napkin Hs"</formula>
    </cfRule>
  </conditionalFormatting>
  <conditionalFormatting sqref="B30:C30">
    <cfRule type="cellIs" dxfId="557" priority="559" stopIfTrue="1" operator="equal">
      <formula>"Towel"</formula>
    </cfRule>
    <cfRule type="cellIs" dxfId="556" priority="560" stopIfTrue="1" operator="equal">
      <formula>"Napkin Hs"</formula>
    </cfRule>
  </conditionalFormatting>
  <conditionalFormatting sqref="C30">
    <cfRule type="cellIs" dxfId="555" priority="561" stopIfTrue="1" operator="equal">
      <formula>"Towel"</formula>
    </cfRule>
    <cfRule type="cellIs" dxfId="554" priority="562" stopIfTrue="1" operator="equal">
      <formula>"Napkin Hs"</formula>
    </cfRule>
  </conditionalFormatting>
  <conditionalFormatting sqref="C30">
    <cfRule type="cellIs" dxfId="553" priority="563" stopIfTrue="1" operator="equal">
      <formula>"Towel"</formula>
    </cfRule>
    <cfRule type="cellIs" dxfId="552" priority="564" stopIfTrue="1" operator="equal">
      <formula>"Napkin Hs"</formula>
    </cfRule>
  </conditionalFormatting>
  <conditionalFormatting sqref="C33 B34:C36">
    <cfRule type="cellIs" dxfId="551" priority="557" stopIfTrue="1" operator="equal">
      <formula>"Towel"</formula>
    </cfRule>
    <cfRule type="cellIs" dxfId="550" priority="558" stopIfTrue="1" operator="equal">
      <formula>"Napkin Hs"</formula>
    </cfRule>
  </conditionalFormatting>
  <conditionalFormatting sqref="C33:C36">
    <cfRule type="cellIs" dxfId="549" priority="556" stopIfTrue="1" operator="equal">
      <formula>"Napkin Hs"</formula>
    </cfRule>
  </conditionalFormatting>
  <conditionalFormatting sqref="C33:C36">
    <cfRule type="cellIs" dxfId="548" priority="553" stopIfTrue="1" operator="equal">
      <formula>"Towel"</formula>
    </cfRule>
    <cfRule type="cellIs" dxfId="547" priority="554" stopIfTrue="1" operator="equal">
      <formula>"Napkin Hs"</formula>
    </cfRule>
  </conditionalFormatting>
  <conditionalFormatting sqref="C33:C36">
    <cfRule type="cellIs" dxfId="546" priority="555" stopIfTrue="1" operator="equal">
      <formula>"Towel"</formula>
    </cfRule>
  </conditionalFormatting>
  <conditionalFormatting sqref="B33">
    <cfRule type="cellIs" dxfId="545" priority="551" stopIfTrue="1" operator="equal">
      <formula>"Towel"</formula>
    </cfRule>
    <cfRule type="cellIs" dxfId="544" priority="552" stopIfTrue="1" operator="equal">
      <formula>"Napkin Hs"</formula>
    </cfRule>
  </conditionalFormatting>
  <conditionalFormatting sqref="C32">
    <cfRule type="cellIs" dxfId="543" priority="549" stopIfTrue="1" operator="equal">
      <formula>"Towel"</formula>
    </cfRule>
    <cfRule type="cellIs" dxfId="542" priority="550" stopIfTrue="1" operator="equal">
      <formula>"Napkin Hs"</formula>
    </cfRule>
  </conditionalFormatting>
  <conditionalFormatting sqref="C32">
    <cfRule type="cellIs" dxfId="541" priority="548" stopIfTrue="1" operator="equal">
      <formula>"Napkin Hs"</formula>
    </cfRule>
  </conditionalFormatting>
  <conditionalFormatting sqref="C32">
    <cfRule type="cellIs" dxfId="540" priority="545" stopIfTrue="1" operator="equal">
      <formula>"Towel"</formula>
    </cfRule>
    <cfRule type="cellIs" dxfId="539" priority="546" stopIfTrue="1" operator="equal">
      <formula>"Napkin Hs"</formula>
    </cfRule>
  </conditionalFormatting>
  <conditionalFormatting sqref="C32">
    <cfRule type="cellIs" dxfId="538" priority="547" stopIfTrue="1" operator="equal">
      <formula>"Towel"</formula>
    </cfRule>
  </conditionalFormatting>
  <conditionalFormatting sqref="B32">
    <cfRule type="cellIs" dxfId="537" priority="543" stopIfTrue="1" operator="equal">
      <formula>"Towel"</formula>
    </cfRule>
    <cfRule type="cellIs" dxfId="536" priority="544" stopIfTrue="1" operator="equal">
      <formula>"Napkin Hs"</formula>
    </cfRule>
  </conditionalFormatting>
  <conditionalFormatting sqref="B41:C42 C39:C40">
    <cfRule type="cellIs" dxfId="535" priority="541" stopIfTrue="1" operator="equal">
      <formula>"Towel"</formula>
    </cfRule>
    <cfRule type="cellIs" dxfId="534" priority="542" stopIfTrue="1" operator="equal">
      <formula>"Napkin Hs"</formula>
    </cfRule>
  </conditionalFormatting>
  <conditionalFormatting sqref="C39:C42">
    <cfRule type="cellIs" dxfId="533" priority="540" stopIfTrue="1" operator="equal">
      <formula>"Napkin Hs"</formula>
    </cfRule>
  </conditionalFormatting>
  <conditionalFormatting sqref="C39:C42">
    <cfRule type="cellIs" dxfId="532" priority="537" stopIfTrue="1" operator="equal">
      <formula>"Towel"</formula>
    </cfRule>
    <cfRule type="cellIs" dxfId="531" priority="538" stopIfTrue="1" operator="equal">
      <formula>"Napkin Hs"</formula>
    </cfRule>
  </conditionalFormatting>
  <conditionalFormatting sqref="C39:C42">
    <cfRule type="cellIs" dxfId="530" priority="539" stopIfTrue="1" operator="equal">
      <formula>"Towel"</formula>
    </cfRule>
  </conditionalFormatting>
  <conditionalFormatting sqref="B39:B40">
    <cfRule type="cellIs" dxfId="529" priority="535" stopIfTrue="1" operator="equal">
      <formula>"Towel"</formula>
    </cfRule>
    <cfRule type="cellIs" dxfId="528" priority="536" stopIfTrue="1" operator="equal">
      <formula>"Napkin Hs"</formula>
    </cfRule>
  </conditionalFormatting>
  <conditionalFormatting sqref="C38">
    <cfRule type="cellIs" dxfId="527" priority="533" stopIfTrue="1" operator="equal">
      <formula>"Towel"</formula>
    </cfRule>
    <cfRule type="cellIs" dxfId="526" priority="534" stopIfTrue="1" operator="equal">
      <formula>"Napkin Hs"</formula>
    </cfRule>
  </conditionalFormatting>
  <conditionalFormatting sqref="C38">
    <cfRule type="cellIs" dxfId="525" priority="532" stopIfTrue="1" operator="equal">
      <formula>"Napkin Hs"</formula>
    </cfRule>
  </conditionalFormatting>
  <conditionalFormatting sqref="C38">
    <cfRule type="cellIs" dxfId="524" priority="529" stopIfTrue="1" operator="equal">
      <formula>"Towel"</formula>
    </cfRule>
    <cfRule type="cellIs" dxfId="523" priority="530" stopIfTrue="1" operator="equal">
      <formula>"Napkin Hs"</formula>
    </cfRule>
  </conditionalFormatting>
  <conditionalFormatting sqref="C38">
    <cfRule type="cellIs" dxfId="522" priority="531" stopIfTrue="1" operator="equal">
      <formula>"Towel"</formula>
    </cfRule>
  </conditionalFormatting>
  <conditionalFormatting sqref="B38">
    <cfRule type="cellIs" dxfId="521" priority="527" stopIfTrue="1" operator="equal">
      <formula>"Towel"</formula>
    </cfRule>
    <cfRule type="cellIs" dxfId="520" priority="528" stopIfTrue="1" operator="equal">
      <formula>"Napkin Hs"</formula>
    </cfRule>
  </conditionalFormatting>
  <conditionalFormatting sqref="B47:C48 C45:C46">
    <cfRule type="cellIs" dxfId="519" priority="525" stopIfTrue="1" operator="equal">
      <formula>"Towel"</formula>
    </cfRule>
    <cfRule type="cellIs" dxfId="518" priority="526" stopIfTrue="1" operator="equal">
      <formula>"Napkin Hs"</formula>
    </cfRule>
  </conditionalFormatting>
  <conditionalFormatting sqref="C45:C48">
    <cfRule type="cellIs" dxfId="517" priority="524" stopIfTrue="1" operator="equal">
      <formula>"Napkin Hs"</formula>
    </cfRule>
  </conditionalFormatting>
  <conditionalFormatting sqref="C45:C48">
    <cfRule type="cellIs" dxfId="516" priority="521" stopIfTrue="1" operator="equal">
      <formula>"Towel"</formula>
    </cfRule>
    <cfRule type="cellIs" dxfId="515" priority="522" stopIfTrue="1" operator="equal">
      <formula>"Napkin Hs"</formula>
    </cfRule>
  </conditionalFormatting>
  <conditionalFormatting sqref="C45:C48">
    <cfRule type="cellIs" dxfId="514" priority="523" stopIfTrue="1" operator="equal">
      <formula>"Towel"</formula>
    </cfRule>
  </conditionalFormatting>
  <conditionalFormatting sqref="B45:B46">
    <cfRule type="cellIs" dxfId="513" priority="519" stopIfTrue="1" operator="equal">
      <formula>"Towel"</formula>
    </cfRule>
    <cfRule type="cellIs" dxfId="512" priority="520" stopIfTrue="1" operator="equal">
      <formula>"Napkin Hs"</formula>
    </cfRule>
  </conditionalFormatting>
  <conditionalFormatting sqref="C44">
    <cfRule type="cellIs" dxfId="511" priority="517" stopIfTrue="1" operator="equal">
      <formula>"Towel"</formula>
    </cfRule>
    <cfRule type="cellIs" dxfId="510" priority="518" stopIfTrue="1" operator="equal">
      <formula>"Napkin Hs"</formula>
    </cfRule>
  </conditionalFormatting>
  <conditionalFormatting sqref="C44">
    <cfRule type="cellIs" dxfId="509" priority="516" stopIfTrue="1" operator="equal">
      <formula>"Napkin Hs"</formula>
    </cfRule>
  </conditionalFormatting>
  <conditionalFormatting sqref="C44">
    <cfRule type="cellIs" dxfId="508" priority="513" stopIfTrue="1" operator="equal">
      <formula>"Towel"</formula>
    </cfRule>
    <cfRule type="cellIs" dxfId="507" priority="514" stopIfTrue="1" operator="equal">
      <formula>"Napkin Hs"</formula>
    </cfRule>
  </conditionalFormatting>
  <conditionalFormatting sqref="C44">
    <cfRule type="cellIs" dxfId="506" priority="515" stopIfTrue="1" operator="equal">
      <formula>"Towel"</formula>
    </cfRule>
  </conditionalFormatting>
  <conditionalFormatting sqref="B44">
    <cfRule type="cellIs" dxfId="505" priority="511" stopIfTrue="1" operator="equal">
      <formula>"Towel"</formula>
    </cfRule>
    <cfRule type="cellIs" dxfId="504" priority="512" stopIfTrue="1" operator="equal">
      <formula>"Napkin Hs"</formula>
    </cfRule>
  </conditionalFormatting>
  <conditionalFormatting sqref="B53:C53 C51:C52">
    <cfRule type="cellIs" dxfId="503" priority="509" stopIfTrue="1" operator="equal">
      <formula>"Towel"</formula>
    </cfRule>
    <cfRule type="cellIs" dxfId="502" priority="510" stopIfTrue="1" operator="equal">
      <formula>"Napkin Hs"</formula>
    </cfRule>
  </conditionalFormatting>
  <conditionalFormatting sqref="C51:C53">
    <cfRule type="cellIs" dxfId="501" priority="508" stopIfTrue="1" operator="equal">
      <formula>"Napkin Hs"</formula>
    </cfRule>
  </conditionalFormatting>
  <conditionalFormatting sqref="C51:C53">
    <cfRule type="cellIs" dxfId="500" priority="505" stopIfTrue="1" operator="equal">
      <formula>"Towel"</formula>
    </cfRule>
    <cfRule type="cellIs" dxfId="499" priority="506" stopIfTrue="1" operator="equal">
      <formula>"Napkin Hs"</formula>
    </cfRule>
  </conditionalFormatting>
  <conditionalFormatting sqref="C51:C53">
    <cfRule type="cellIs" dxfId="498" priority="507" stopIfTrue="1" operator="equal">
      <formula>"Towel"</formula>
    </cfRule>
  </conditionalFormatting>
  <conditionalFormatting sqref="B51:B52">
    <cfRule type="cellIs" dxfId="497" priority="503" stopIfTrue="1" operator="equal">
      <formula>"Towel"</formula>
    </cfRule>
    <cfRule type="cellIs" dxfId="496" priority="504" stopIfTrue="1" operator="equal">
      <formula>"Napkin Hs"</formula>
    </cfRule>
  </conditionalFormatting>
  <conditionalFormatting sqref="C50">
    <cfRule type="cellIs" dxfId="495" priority="501" stopIfTrue="1" operator="equal">
      <formula>"Towel"</formula>
    </cfRule>
    <cfRule type="cellIs" dxfId="494" priority="502" stopIfTrue="1" operator="equal">
      <formula>"Napkin Hs"</formula>
    </cfRule>
  </conditionalFormatting>
  <conditionalFormatting sqref="C50">
    <cfRule type="cellIs" dxfId="493" priority="500" stopIfTrue="1" operator="equal">
      <formula>"Napkin Hs"</formula>
    </cfRule>
  </conditionalFormatting>
  <conditionalFormatting sqref="C50">
    <cfRule type="cellIs" dxfId="492" priority="497" stopIfTrue="1" operator="equal">
      <formula>"Towel"</formula>
    </cfRule>
    <cfRule type="cellIs" dxfId="491" priority="498" stopIfTrue="1" operator="equal">
      <formula>"Napkin Hs"</formula>
    </cfRule>
  </conditionalFormatting>
  <conditionalFormatting sqref="C50">
    <cfRule type="cellIs" dxfId="490" priority="499" stopIfTrue="1" operator="equal">
      <formula>"Towel"</formula>
    </cfRule>
  </conditionalFormatting>
  <conditionalFormatting sqref="B50">
    <cfRule type="cellIs" dxfId="489" priority="495" stopIfTrue="1" operator="equal">
      <formula>"Towel"</formula>
    </cfRule>
    <cfRule type="cellIs" dxfId="488" priority="496" stopIfTrue="1" operator="equal">
      <formula>"Napkin Hs"</formula>
    </cfRule>
  </conditionalFormatting>
  <conditionalFormatting sqref="B58:C58 C57">
    <cfRule type="cellIs" dxfId="487" priority="493" stopIfTrue="1" operator="equal">
      <formula>"Towel"</formula>
    </cfRule>
    <cfRule type="cellIs" dxfId="486" priority="494" stopIfTrue="1" operator="equal">
      <formula>"Napkin Hs"</formula>
    </cfRule>
  </conditionalFormatting>
  <conditionalFormatting sqref="C57:C58">
    <cfRule type="cellIs" dxfId="485" priority="492" stopIfTrue="1" operator="equal">
      <formula>"Napkin Hs"</formula>
    </cfRule>
  </conditionalFormatting>
  <conditionalFormatting sqref="C57:C58">
    <cfRule type="cellIs" dxfId="484" priority="489" stopIfTrue="1" operator="equal">
      <formula>"Towel"</formula>
    </cfRule>
    <cfRule type="cellIs" dxfId="483" priority="490" stopIfTrue="1" operator="equal">
      <formula>"Napkin Hs"</formula>
    </cfRule>
  </conditionalFormatting>
  <conditionalFormatting sqref="C57:C58">
    <cfRule type="cellIs" dxfId="482" priority="491" stopIfTrue="1" operator="equal">
      <formula>"Towel"</formula>
    </cfRule>
  </conditionalFormatting>
  <conditionalFormatting sqref="B57">
    <cfRule type="cellIs" dxfId="481" priority="487" stopIfTrue="1" operator="equal">
      <formula>"Towel"</formula>
    </cfRule>
    <cfRule type="cellIs" dxfId="480" priority="488" stopIfTrue="1" operator="equal">
      <formula>"Napkin Hs"</formula>
    </cfRule>
  </conditionalFormatting>
  <conditionalFormatting sqref="C55:C56">
    <cfRule type="cellIs" dxfId="479" priority="485" stopIfTrue="1" operator="equal">
      <formula>"Towel"</formula>
    </cfRule>
    <cfRule type="cellIs" dxfId="478" priority="486" stopIfTrue="1" operator="equal">
      <formula>"Napkin Hs"</formula>
    </cfRule>
  </conditionalFormatting>
  <conditionalFormatting sqref="C55:C56">
    <cfRule type="cellIs" dxfId="477" priority="484" stopIfTrue="1" operator="equal">
      <formula>"Napkin Hs"</formula>
    </cfRule>
  </conditionalFormatting>
  <conditionalFormatting sqref="C55:C56">
    <cfRule type="cellIs" dxfId="476" priority="481" stopIfTrue="1" operator="equal">
      <formula>"Towel"</formula>
    </cfRule>
    <cfRule type="cellIs" dxfId="475" priority="482" stopIfTrue="1" operator="equal">
      <formula>"Napkin Hs"</formula>
    </cfRule>
  </conditionalFormatting>
  <conditionalFormatting sqref="C55:C56">
    <cfRule type="cellIs" dxfId="474" priority="483" stopIfTrue="1" operator="equal">
      <formula>"Towel"</formula>
    </cfRule>
  </conditionalFormatting>
  <conditionalFormatting sqref="B55:B56">
    <cfRule type="cellIs" dxfId="473" priority="479" stopIfTrue="1" operator="equal">
      <formula>"Towel"</formula>
    </cfRule>
    <cfRule type="cellIs" dxfId="472" priority="480" stopIfTrue="1" operator="equal">
      <formula>"Napkin Hs"</formula>
    </cfRule>
  </conditionalFormatting>
  <conditionalFormatting sqref="B63:C63 C62">
    <cfRule type="cellIs" dxfId="471" priority="477" stopIfTrue="1" operator="equal">
      <formula>"Towel"</formula>
    </cfRule>
    <cfRule type="cellIs" dxfId="470" priority="478" stopIfTrue="1" operator="equal">
      <formula>"Napkin Hs"</formula>
    </cfRule>
  </conditionalFormatting>
  <conditionalFormatting sqref="C62:C63">
    <cfRule type="cellIs" dxfId="469" priority="476" stopIfTrue="1" operator="equal">
      <formula>"Napkin Hs"</formula>
    </cfRule>
  </conditionalFormatting>
  <conditionalFormatting sqref="C62:C63">
    <cfRule type="cellIs" dxfId="468" priority="473" stopIfTrue="1" operator="equal">
      <formula>"Towel"</formula>
    </cfRule>
    <cfRule type="cellIs" dxfId="467" priority="474" stopIfTrue="1" operator="equal">
      <formula>"Napkin Hs"</formula>
    </cfRule>
  </conditionalFormatting>
  <conditionalFormatting sqref="C62:C63">
    <cfRule type="cellIs" dxfId="466" priority="475" stopIfTrue="1" operator="equal">
      <formula>"Towel"</formula>
    </cfRule>
  </conditionalFormatting>
  <conditionalFormatting sqref="B62">
    <cfRule type="cellIs" dxfId="465" priority="471" stopIfTrue="1" operator="equal">
      <formula>"Towel"</formula>
    </cfRule>
    <cfRule type="cellIs" dxfId="464" priority="472" stopIfTrue="1" operator="equal">
      <formula>"Napkin Hs"</formula>
    </cfRule>
  </conditionalFormatting>
  <conditionalFormatting sqref="C61">
    <cfRule type="cellIs" dxfId="463" priority="469" stopIfTrue="1" operator="equal">
      <formula>"Towel"</formula>
    </cfRule>
    <cfRule type="cellIs" dxfId="462" priority="470" stopIfTrue="1" operator="equal">
      <formula>"Napkin Hs"</formula>
    </cfRule>
  </conditionalFormatting>
  <conditionalFormatting sqref="C61">
    <cfRule type="cellIs" dxfId="461" priority="468" stopIfTrue="1" operator="equal">
      <formula>"Napkin Hs"</formula>
    </cfRule>
  </conditionalFormatting>
  <conditionalFormatting sqref="C61">
    <cfRule type="cellIs" dxfId="460" priority="465" stopIfTrue="1" operator="equal">
      <formula>"Towel"</formula>
    </cfRule>
    <cfRule type="cellIs" dxfId="459" priority="466" stopIfTrue="1" operator="equal">
      <formula>"Napkin Hs"</formula>
    </cfRule>
  </conditionalFormatting>
  <conditionalFormatting sqref="C61">
    <cfRule type="cellIs" dxfId="458" priority="467" stopIfTrue="1" operator="equal">
      <formula>"Towel"</formula>
    </cfRule>
  </conditionalFormatting>
  <conditionalFormatting sqref="B61">
    <cfRule type="cellIs" dxfId="457" priority="463" stopIfTrue="1" operator="equal">
      <formula>"Towel"</formula>
    </cfRule>
    <cfRule type="cellIs" dxfId="456" priority="464" stopIfTrue="1" operator="equal">
      <formula>"Napkin Hs"</formula>
    </cfRule>
  </conditionalFormatting>
  <conditionalFormatting sqref="C60">
    <cfRule type="cellIs" dxfId="455" priority="461" stopIfTrue="1" operator="equal">
      <formula>"Towel"</formula>
    </cfRule>
    <cfRule type="cellIs" dxfId="454" priority="462" stopIfTrue="1" operator="equal">
      <formula>"Napkin Hs"</formula>
    </cfRule>
  </conditionalFormatting>
  <conditionalFormatting sqref="C60">
    <cfRule type="cellIs" dxfId="453" priority="460" stopIfTrue="1" operator="equal">
      <formula>"Napkin Hs"</formula>
    </cfRule>
  </conditionalFormatting>
  <conditionalFormatting sqref="C60">
    <cfRule type="cellIs" dxfId="452" priority="457" stopIfTrue="1" operator="equal">
      <formula>"Towel"</formula>
    </cfRule>
    <cfRule type="cellIs" dxfId="451" priority="458" stopIfTrue="1" operator="equal">
      <formula>"Napkin Hs"</formula>
    </cfRule>
  </conditionalFormatting>
  <conditionalFormatting sqref="C60">
    <cfRule type="cellIs" dxfId="450" priority="459" stopIfTrue="1" operator="equal">
      <formula>"Towel"</formula>
    </cfRule>
  </conditionalFormatting>
  <conditionalFormatting sqref="B60">
    <cfRule type="cellIs" dxfId="449" priority="455" stopIfTrue="1" operator="equal">
      <formula>"Towel"</formula>
    </cfRule>
    <cfRule type="cellIs" dxfId="448" priority="456" stopIfTrue="1" operator="equal">
      <formula>"Napkin Hs"</formula>
    </cfRule>
  </conditionalFormatting>
  <conditionalFormatting sqref="B68:C68 C67">
    <cfRule type="cellIs" dxfId="447" priority="453" stopIfTrue="1" operator="equal">
      <formula>"Towel"</formula>
    </cfRule>
    <cfRule type="cellIs" dxfId="446" priority="454" stopIfTrue="1" operator="equal">
      <formula>"Napkin Hs"</formula>
    </cfRule>
  </conditionalFormatting>
  <conditionalFormatting sqref="C67:C68">
    <cfRule type="cellIs" dxfId="445" priority="452" stopIfTrue="1" operator="equal">
      <formula>"Napkin Hs"</formula>
    </cfRule>
  </conditionalFormatting>
  <conditionalFormatting sqref="C67:C68">
    <cfRule type="cellIs" dxfId="444" priority="449" stopIfTrue="1" operator="equal">
      <formula>"Towel"</formula>
    </cfRule>
    <cfRule type="cellIs" dxfId="443" priority="450" stopIfTrue="1" operator="equal">
      <formula>"Napkin Hs"</formula>
    </cfRule>
  </conditionalFormatting>
  <conditionalFormatting sqref="C67:C68">
    <cfRule type="cellIs" dxfId="442" priority="451" stopIfTrue="1" operator="equal">
      <formula>"Towel"</formula>
    </cfRule>
  </conditionalFormatting>
  <conditionalFormatting sqref="B67">
    <cfRule type="cellIs" dxfId="441" priority="447" stopIfTrue="1" operator="equal">
      <formula>"Towel"</formula>
    </cfRule>
    <cfRule type="cellIs" dxfId="440" priority="448" stopIfTrue="1" operator="equal">
      <formula>"Napkin Hs"</formula>
    </cfRule>
  </conditionalFormatting>
  <conditionalFormatting sqref="C66">
    <cfRule type="cellIs" dxfId="439" priority="445" stopIfTrue="1" operator="equal">
      <formula>"Towel"</formula>
    </cfRule>
    <cfRule type="cellIs" dxfId="438" priority="446" stopIfTrue="1" operator="equal">
      <formula>"Napkin Hs"</formula>
    </cfRule>
  </conditionalFormatting>
  <conditionalFormatting sqref="C66">
    <cfRule type="cellIs" dxfId="437" priority="444" stopIfTrue="1" operator="equal">
      <formula>"Napkin Hs"</formula>
    </cfRule>
  </conditionalFormatting>
  <conditionalFormatting sqref="C66">
    <cfRule type="cellIs" dxfId="436" priority="441" stopIfTrue="1" operator="equal">
      <formula>"Towel"</formula>
    </cfRule>
    <cfRule type="cellIs" dxfId="435" priority="442" stopIfTrue="1" operator="equal">
      <formula>"Napkin Hs"</formula>
    </cfRule>
  </conditionalFormatting>
  <conditionalFormatting sqref="C66">
    <cfRule type="cellIs" dxfId="434" priority="443" stopIfTrue="1" operator="equal">
      <formula>"Towel"</formula>
    </cfRule>
  </conditionalFormatting>
  <conditionalFormatting sqref="B66">
    <cfRule type="cellIs" dxfId="433" priority="439" stopIfTrue="1" operator="equal">
      <formula>"Towel"</formula>
    </cfRule>
    <cfRule type="cellIs" dxfId="432" priority="440" stopIfTrue="1" operator="equal">
      <formula>"Napkin Hs"</formula>
    </cfRule>
  </conditionalFormatting>
  <conditionalFormatting sqref="C65">
    <cfRule type="cellIs" dxfId="431" priority="437" stopIfTrue="1" operator="equal">
      <formula>"Towel"</formula>
    </cfRule>
    <cfRule type="cellIs" dxfId="430" priority="438" stopIfTrue="1" operator="equal">
      <formula>"Napkin Hs"</formula>
    </cfRule>
  </conditionalFormatting>
  <conditionalFormatting sqref="C65">
    <cfRule type="cellIs" dxfId="429" priority="436" stopIfTrue="1" operator="equal">
      <formula>"Napkin Hs"</formula>
    </cfRule>
  </conditionalFormatting>
  <conditionalFormatting sqref="C65">
    <cfRule type="cellIs" dxfId="428" priority="433" stopIfTrue="1" operator="equal">
      <formula>"Towel"</formula>
    </cfRule>
    <cfRule type="cellIs" dxfId="427" priority="434" stopIfTrue="1" operator="equal">
      <formula>"Napkin Hs"</formula>
    </cfRule>
  </conditionalFormatting>
  <conditionalFormatting sqref="C65">
    <cfRule type="cellIs" dxfId="426" priority="435" stopIfTrue="1" operator="equal">
      <formula>"Towel"</formula>
    </cfRule>
  </conditionalFormatting>
  <conditionalFormatting sqref="B65">
    <cfRule type="cellIs" dxfId="425" priority="431" stopIfTrue="1" operator="equal">
      <formula>"Towel"</formula>
    </cfRule>
    <cfRule type="cellIs" dxfId="424" priority="432" stopIfTrue="1" operator="equal">
      <formula>"Napkin Hs"</formula>
    </cfRule>
  </conditionalFormatting>
  <conditionalFormatting sqref="B74:C74">
    <cfRule type="cellIs" dxfId="423" priority="429" stopIfTrue="1" operator="equal">
      <formula>"Towel"</formula>
    </cfRule>
    <cfRule type="cellIs" dxfId="422" priority="430" stopIfTrue="1" operator="equal">
      <formula>"Napkin Hs"</formula>
    </cfRule>
  </conditionalFormatting>
  <conditionalFormatting sqref="C74">
    <cfRule type="cellIs" dxfId="421" priority="425" stopIfTrue="1" operator="equal">
      <formula>"Towel"</formula>
    </cfRule>
    <cfRule type="cellIs" dxfId="420" priority="426" stopIfTrue="1" operator="equal">
      <formula>"Napkin Hs"</formula>
    </cfRule>
  </conditionalFormatting>
  <conditionalFormatting sqref="C74">
    <cfRule type="cellIs" dxfId="419" priority="427" stopIfTrue="1" operator="equal">
      <formula>"Towel"</formula>
    </cfRule>
    <cfRule type="cellIs" dxfId="418" priority="428" stopIfTrue="1" operator="equal">
      <formula>"Napkin Hs"</formula>
    </cfRule>
  </conditionalFormatting>
  <conditionalFormatting sqref="B73:C73 C72">
    <cfRule type="cellIs" dxfId="417" priority="423" stopIfTrue="1" operator="equal">
      <formula>"Towel"</formula>
    </cfRule>
    <cfRule type="cellIs" dxfId="416" priority="424" stopIfTrue="1" operator="equal">
      <formula>"Napkin Hs"</formula>
    </cfRule>
  </conditionalFormatting>
  <conditionalFormatting sqref="C72:C73">
    <cfRule type="cellIs" dxfId="415" priority="422" stopIfTrue="1" operator="equal">
      <formula>"Napkin Hs"</formula>
    </cfRule>
  </conditionalFormatting>
  <conditionalFormatting sqref="C72:C73">
    <cfRule type="cellIs" dxfId="414" priority="419" stopIfTrue="1" operator="equal">
      <formula>"Towel"</formula>
    </cfRule>
    <cfRule type="cellIs" dxfId="413" priority="420" stopIfTrue="1" operator="equal">
      <formula>"Napkin Hs"</formula>
    </cfRule>
  </conditionalFormatting>
  <conditionalFormatting sqref="C72:C73">
    <cfRule type="cellIs" dxfId="412" priority="421" stopIfTrue="1" operator="equal">
      <formula>"Towel"</formula>
    </cfRule>
  </conditionalFormatting>
  <conditionalFormatting sqref="B72">
    <cfRule type="cellIs" dxfId="411" priority="417" stopIfTrue="1" operator="equal">
      <formula>"Towel"</formula>
    </cfRule>
    <cfRule type="cellIs" dxfId="410" priority="418" stopIfTrue="1" operator="equal">
      <formula>"Napkin Hs"</formula>
    </cfRule>
  </conditionalFormatting>
  <conditionalFormatting sqref="C70:C71">
    <cfRule type="cellIs" dxfId="409" priority="415" stopIfTrue="1" operator="equal">
      <formula>"Towel"</formula>
    </cfRule>
    <cfRule type="cellIs" dxfId="408" priority="416" stopIfTrue="1" operator="equal">
      <formula>"Napkin Hs"</formula>
    </cfRule>
  </conditionalFormatting>
  <conditionalFormatting sqref="C70:C71">
    <cfRule type="cellIs" dxfId="407" priority="414" stopIfTrue="1" operator="equal">
      <formula>"Napkin Hs"</formula>
    </cfRule>
  </conditionalFormatting>
  <conditionalFormatting sqref="C70:C71">
    <cfRule type="cellIs" dxfId="406" priority="411" stopIfTrue="1" operator="equal">
      <formula>"Towel"</formula>
    </cfRule>
    <cfRule type="cellIs" dxfId="405" priority="412" stopIfTrue="1" operator="equal">
      <formula>"Napkin Hs"</formula>
    </cfRule>
  </conditionalFormatting>
  <conditionalFormatting sqref="C70:C71">
    <cfRule type="cellIs" dxfId="404" priority="413" stopIfTrue="1" operator="equal">
      <formula>"Towel"</formula>
    </cfRule>
  </conditionalFormatting>
  <conditionalFormatting sqref="B70:B71">
    <cfRule type="cellIs" dxfId="403" priority="409" stopIfTrue="1" operator="equal">
      <formula>"Towel"</formula>
    </cfRule>
    <cfRule type="cellIs" dxfId="402" priority="410" stopIfTrue="1" operator="equal">
      <formula>"Napkin Hs"</formula>
    </cfRule>
  </conditionalFormatting>
  <conditionalFormatting sqref="B78:C78 C77">
    <cfRule type="cellIs" dxfId="401" priority="407" stopIfTrue="1" operator="equal">
      <formula>"Towel"</formula>
    </cfRule>
    <cfRule type="cellIs" dxfId="400" priority="408" stopIfTrue="1" operator="equal">
      <formula>"Napkin Hs"</formula>
    </cfRule>
  </conditionalFormatting>
  <conditionalFormatting sqref="C77:C78">
    <cfRule type="cellIs" dxfId="399" priority="406" stopIfTrue="1" operator="equal">
      <formula>"Napkin Hs"</formula>
    </cfRule>
  </conditionalFormatting>
  <conditionalFormatting sqref="C77:C78">
    <cfRule type="cellIs" dxfId="398" priority="403" stopIfTrue="1" operator="equal">
      <formula>"Towel"</formula>
    </cfRule>
    <cfRule type="cellIs" dxfId="397" priority="404" stopIfTrue="1" operator="equal">
      <formula>"Napkin Hs"</formula>
    </cfRule>
  </conditionalFormatting>
  <conditionalFormatting sqref="C77:C78">
    <cfRule type="cellIs" dxfId="396" priority="405" stopIfTrue="1" operator="equal">
      <formula>"Towel"</formula>
    </cfRule>
  </conditionalFormatting>
  <conditionalFormatting sqref="B77">
    <cfRule type="cellIs" dxfId="395" priority="401" stopIfTrue="1" operator="equal">
      <formula>"Towel"</formula>
    </cfRule>
    <cfRule type="cellIs" dxfId="394" priority="402" stopIfTrue="1" operator="equal">
      <formula>"Napkin Hs"</formula>
    </cfRule>
  </conditionalFormatting>
  <conditionalFormatting sqref="C75">
    <cfRule type="cellIs" dxfId="393" priority="399" stopIfTrue="1" operator="equal">
      <formula>"Towel"</formula>
    </cfRule>
    <cfRule type="cellIs" dxfId="392" priority="400" stopIfTrue="1" operator="equal">
      <formula>"Napkin Hs"</formula>
    </cfRule>
  </conditionalFormatting>
  <conditionalFormatting sqref="C75">
    <cfRule type="cellIs" dxfId="391" priority="398" stopIfTrue="1" operator="equal">
      <formula>"Napkin Hs"</formula>
    </cfRule>
  </conditionalFormatting>
  <conditionalFormatting sqref="C75">
    <cfRule type="cellIs" dxfId="390" priority="395" stopIfTrue="1" operator="equal">
      <formula>"Towel"</formula>
    </cfRule>
    <cfRule type="cellIs" dxfId="389" priority="396" stopIfTrue="1" operator="equal">
      <formula>"Napkin Hs"</formula>
    </cfRule>
  </conditionalFormatting>
  <conditionalFormatting sqref="C75">
    <cfRule type="cellIs" dxfId="388" priority="397" stopIfTrue="1" operator="equal">
      <formula>"Towel"</formula>
    </cfRule>
  </conditionalFormatting>
  <conditionalFormatting sqref="B75">
    <cfRule type="cellIs" dxfId="387" priority="393" stopIfTrue="1" operator="equal">
      <formula>"Towel"</formula>
    </cfRule>
    <cfRule type="cellIs" dxfId="386" priority="394" stopIfTrue="1" operator="equal">
      <formula>"Napkin Hs"</formula>
    </cfRule>
  </conditionalFormatting>
  <conditionalFormatting sqref="C76">
    <cfRule type="cellIs" dxfId="385" priority="391" stopIfTrue="1" operator="equal">
      <formula>"Towel"</formula>
    </cfRule>
    <cfRule type="cellIs" dxfId="384" priority="392" stopIfTrue="1" operator="equal">
      <formula>"Napkin Hs"</formula>
    </cfRule>
  </conditionalFormatting>
  <conditionalFormatting sqref="C76">
    <cfRule type="cellIs" dxfId="383" priority="390" stopIfTrue="1" operator="equal">
      <formula>"Napkin Hs"</formula>
    </cfRule>
  </conditionalFormatting>
  <conditionalFormatting sqref="C76">
    <cfRule type="cellIs" dxfId="382" priority="387" stopIfTrue="1" operator="equal">
      <formula>"Towel"</formula>
    </cfRule>
    <cfRule type="cellIs" dxfId="381" priority="388" stopIfTrue="1" operator="equal">
      <formula>"Napkin Hs"</formula>
    </cfRule>
  </conditionalFormatting>
  <conditionalFormatting sqref="C76">
    <cfRule type="cellIs" dxfId="380" priority="389" stopIfTrue="1" operator="equal">
      <formula>"Towel"</formula>
    </cfRule>
  </conditionalFormatting>
  <conditionalFormatting sqref="B76">
    <cfRule type="cellIs" dxfId="379" priority="385" stopIfTrue="1" operator="equal">
      <formula>"Towel"</formula>
    </cfRule>
    <cfRule type="cellIs" dxfId="378" priority="386" stopIfTrue="1" operator="equal">
      <formula>"Napkin Hs"</formula>
    </cfRule>
  </conditionalFormatting>
  <conditionalFormatting sqref="B83:C83 C82">
    <cfRule type="cellIs" dxfId="377" priority="383" stopIfTrue="1" operator="equal">
      <formula>"Towel"</formula>
    </cfRule>
    <cfRule type="cellIs" dxfId="376" priority="384" stopIfTrue="1" operator="equal">
      <formula>"Napkin Hs"</formula>
    </cfRule>
  </conditionalFormatting>
  <conditionalFormatting sqref="C82:C83">
    <cfRule type="cellIs" dxfId="375" priority="382" stopIfTrue="1" operator="equal">
      <formula>"Napkin Hs"</formula>
    </cfRule>
  </conditionalFormatting>
  <conditionalFormatting sqref="C82:C83">
    <cfRule type="cellIs" dxfId="374" priority="379" stopIfTrue="1" operator="equal">
      <formula>"Towel"</formula>
    </cfRule>
    <cfRule type="cellIs" dxfId="373" priority="380" stopIfTrue="1" operator="equal">
      <formula>"Napkin Hs"</formula>
    </cfRule>
  </conditionalFormatting>
  <conditionalFormatting sqref="C82:C83">
    <cfRule type="cellIs" dxfId="372" priority="381" stopIfTrue="1" operator="equal">
      <formula>"Towel"</formula>
    </cfRule>
  </conditionalFormatting>
  <conditionalFormatting sqref="B82">
    <cfRule type="cellIs" dxfId="371" priority="377" stopIfTrue="1" operator="equal">
      <formula>"Towel"</formula>
    </cfRule>
    <cfRule type="cellIs" dxfId="370" priority="378" stopIfTrue="1" operator="equal">
      <formula>"Napkin Hs"</formula>
    </cfRule>
  </conditionalFormatting>
  <conditionalFormatting sqref="C81">
    <cfRule type="cellIs" dxfId="369" priority="375" stopIfTrue="1" operator="equal">
      <formula>"Towel"</formula>
    </cfRule>
    <cfRule type="cellIs" dxfId="368" priority="376" stopIfTrue="1" operator="equal">
      <formula>"Napkin Hs"</formula>
    </cfRule>
  </conditionalFormatting>
  <conditionalFormatting sqref="C81">
    <cfRule type="cellIs" dxfId="367" priority="374" stopIfTrue="1" operator="equal">
      <formula>"Napkin Hs"</formula>
    </cfRule>
  </conditionalFormatting>
  <conditionalFormatting sqref="C81">
    <cfRule type="cellIs" dxfId="366" priority="371" stopIfTrue="1" operator="equal">
      <formula>"Towel"</formula>
    </cfRule>
    <cfRule type="cellIs" dxfId="365" priority="372" stopIfTrue="1" operator="equal">
      <formula>"Napkin Hs"</formula>
    </cfRule>
  </conditionalFormatting>
  <conditionalFormatting sqref="C81">
    <cfRule type="cellIs" dxfId="364" priority="373" stopIfTrue="1" operator="equal">
      <formula>"Towel"</formula>
    </cfRule>
  </conditionalFormatting>
  <conditionalFormatting sqref="B81">
    <cfRule type="cellIs" dxfId="363" priority="369" stopIfTrue="1" operator="equal">
      <formula>"Towel"</formula>
    </cfRule>
    <cfRule type="cellIs" dxfId="362" priority="370" stopIfTrue="1" operator="equal">
      <formula>"Napkin Hs"</formula>
    </cfRule>
  </conditionalFormatting>
  <conditionalFormatting sqref="C80">
    <cfRule type="cellIs" dxfId="361" priority="367" stopIfTrue="1" operator="equal">
      <formula>"Towel"</formula>
    </cfRule>
    <cfRule type="cellIs" dxfId="360" priority="368" stopIfTrue="1" operator="equal">
      <formula>"Napkin Hs"</formula>
    </cfRule>
  </conditionalFormatting>
  <conditionalFormatting sqref="C80">
    <cfRule type="cellIs" dxfId="359" priority="366" stopIfTrue="1" operator="equal">
      <formula>"Napkin Hs"</formula>
    </cfRule>
  </conditionalFormatting>
  <conditionalFormatting sqref="C80">
    <cfRule type="cellIs" dxfId="358" priority="363" stopIfTrue="1" operator="equal">
      <formula>"Towel"</formula>
    </cfRule>
    <cfRule type="cellIs" dxfId="357" priority="364" stopIfTrue="1" operator="equal">
      <formula>"Napkin Hs"</formula>
    </cfRule>
  </conditionalFormatting>
  <conditionalFormatting sqref="C80">
    <cfRule type="cellIs" dxfId="356" priority="365" stopIfTrue="1" operator="equal">
      <formula>"Towel"</formula>
    </cfRule>
  </conditionalFormatting>
  <conditionalFormatting sqref="B80">
    <cfRule type="cellIs" dxfId="355" priority="361" stopIfTrue="1" operator="equal">
      <formula>"Towel"</formula>
    </cfRule>
    <cfRule type="cellIs" dxfId="354" priority="362" stopIfTrue="1" operator="equal">
      <formula>"Napkin Hs"</formula>
    </cfRule>
  </conditionalFormatting>
  <conditionalFormatting sqref="B88:C88 C87">
    <cfRule type="cellIs" dxfId="353" priority="359" stopIfTrue="1" operator="equal">
      <formula>"Towel"</formula>
    </cfRule>
    <cfRule type="cellIs" dxfId="352" priority="360" stopIfTrue="1" operator="equal">
      <formula>"Napkin Hs"</formula>
    </cfRule>
  </conditionalFormatting>
  <conditionalFormatting sqref="C87:C88">
    <cfRule type="cellIs" dxfId="351" priority="358" stopIfTrue="1" operator="equal">
      <formula>"Napkin Hs"</formula>
    </cfRule>
  </conditionalFormatting>
  <conditionalFormatting sqref="C87:C88">
    <cfRule type="cellIs" dxfId="350" priority="355" stopIfTrue="1" operator="equal">
      <formula>"Towel"</formula>
    </cfRule>
    <cfRule type="cellIs" dxfId="349" priority="356" stopIfTrue="1" operator="equal">
      <formula>"Napkin Hs"</formula>
    </cfRule>
  </conditionalFormatting>
  <conditionalFormatting sqref="C87:C88">
    <cfRule type="cellIs" dxfId="348" priority="357" stopIfTrue="1" operator="equal">
      <formula>"Towel"</formula>
    </cfRule>
  </conditionalFormatting>
  <conditionalFormatting sqref="B87">
    <cfRule type="cellIs" dxfId="347" priority="353" stopIfTrue="1" operator="equal">
      <formula>"Towel"</formula>
    </cfRule>
    <cfRule type="cellIs" dxfId="346" priority="354" stopIfTrue="1" operator="equal">
      <formula>"Napkin Hs"</formula>
    </cfRule>
  </conditionalFormatting>
  <conditionalFormatting sqref="C86">
    <cfRule type="cellIs" dxfId="345" priority="351" stopIfTrue="1" operator="equal">
      <formula>"Towel"</formula>
    </cfRule>
    <cfRule type="cellIs" dxfId="344" priority="352" stopIfTrue="1" operator="equal">
      <formula>"Napkin Hs"</formula>
    </cfRule>
  </conditionalFormatting>
  <conditionalFormatting sqref="C86">
    <cfRule type="cellIs" dxfId="343" priority="350" stopIfTrue="1" operator="equal">
      <formula>"Napkin Hs"</formula>
    </cfRule>
  </conditionalFormatting>
  <conditionalFormatting sqref="C86">
    <cfRule type="cellIs" dxfId="342" priority="347" stopIfTrue="1" operator="equal">
      <formula>"Towel"</formula>
    </cfRule>
    <cfRule type="cellIs" dxfId="341" priority="348" stopIfTrue="1" operator="equal">
      <formula>"Napkin Hs"</formula>
    </cfRule>
  </conditionalFormatting>
  <conditionalFormatting sqref="C86">
    <cfRule type="cellIs" dxfId="340" priority="349" stopIfTrue="1" operator="equal">
      <formula>"Towel"</formula>
    </cfRule>
  </conditionalFormatting>
  <conditionalFormatting sqref="B86">
    <cfRule type="cellIs" dxfId="339" priority="345" stopIfTrue="1" operator="equal">
      <formula>"Towel"</formula>
    </cfRule>
    <cfRule type="cellIs" dxfId="338" priority="346" stopIfTrue="1" operator="equal">
      <formula>"Napkin Hs"</formula>
    </cfRule>
  </conditionalFormatting>
  <conditionalFormatting sqref="C85">
    <cfRule type="cellIs" dxfId="337" priority="343" stopIfTrue="1" operator="equal">
      <formula>"Towel"</formula>
    </cfRule>
    <cfRule type="cellIs" dxfId="336" priority="344" stopIfTrue="1" operator="equal">
      <formula>"Napkin Hs"</formula>
    </cfRule>
  </conditionalFormatting>
  <conditionalFormatting sqref="C85">
    <cfRule type="cellIs" dxfId="335" priority="342" stopIfTrue="1" operator="equal">
      <formula>"Napkin Hs"</formula>
    </cfRule>
  </conditionalFormatting>
  <conditionalFormatting sqref="C85">
    <cfRule type="cellIs" dxfId="334" priority="339" stopIfTrue="1" operator="equal">
      <formula>"Towel"</formula>
    </cfRule>
    <cfRule type="cellIs" dxfId="333" priority="340" stopIfTrue="1" operator="equal">
      <formula>"Napkin Hs"</formula>
    </cfRule>
  </conditionalFormatting>
  <conditionalFormatting sqref="C85">
    <cfRule type="cellIs" dxfId="332" priority="341" stopIfTrue="1" operator="equal">
      <formula>"Towel"</formula>
    </cfRule>
  </conditionalFormatting>
  <conditionalFormatting sqref="B85">
    <cfRule type="cellIs" dxfId="331" priority="337" stopIfTrue="1" operator="equal">
      <formula>"Towel"</formula>
    </cfRule>
    <cfRule type="cellIs" dxfId="330" priority="338" stopIfTrue="1" operator="equal">
      <formula>"Napkin Hs"</formula>
    </cfRule>
  </conditionalFormatting>
  <conditionalFormatting sqref="B93:C93 C92">
    <cfRule type="cellIs" dxfId="329" priority="335" stopIfTrue="1" operator="equal">
      <formula>"Towel"</formula>
    </cfRule>
    <cfRule type="cellIs" dxfId="328" priority="336" stopIfTrue="1" operator="equal">
      <formula>"Napkin Hs"</formula>
    </cfRule>
  </conditionalFormatting>
  <conditionalFormatting sqref="C92:C93">
    <cfRule type="cellIs" dxfId="327" priority="334" stopIfTrue="1" operator="equal">
      <formula>"Napkin Hs"</formula>
    </cfRule>
  </conditionalFormatting>
  <conditionalFormatting sqref="C92:C93">
    <cfRule type="cellIs" dxfId="326" priority="331" stopIfTrue="1" operator="equal">
      <formula>"Towel"</formula>
    </cfRule>
    <cfRule type="cellIs" dxfId="325" priority="332" stopIfTrue="1" operator="equal">
      <formula>"Napkin Hs"</formula>
    </cfRule>
  </conditionalFormatting>
  <conditionalFormatting sqref="C92:C93">
    <cfRule type="cellIs" dxfId="324" priority="333" stopIfTrue="1" operator="equal">
      <formula>"Towel"</formula>
    </cfRule>
  </conditionalFormatting>
  <conditionalFormatting sqref="B92">
    <cfRule type="cellIs" dxfId="323" priority="329" stopIfTrue="1" operator="equal">
      <formula>"Towel"</formula>
    </cfRule>
    <cfRule type="cellIs" dxfId="322" priority="330" stopIfTrue="1" operator="equal">
      <formula>"Napkin Hs"</formula>
    </cfRule>
  </conditionalFormatting>
  <conditionalFormatting sqref="C91">
    <cfRule type="cellIs" dxfId="321" priority="327" stopIfTrue="1" operator="equal">
      <formula>"Towel"</formula>
    </cfRule>
    <cfRule type="cellIs" dxfId="320" priority="328" stopIfTrue="1" operator="equal">
      <formula>"Napkin Hs"</formula>
    </cfRule>
  </conditionalFormatting>
  <conditionalFormatting sqref="C91">
    <cfRule type="cellIs" dxfId="319" priority="326" stopIfTrue="1" operator="equal">
      <formula>"Napkin Hs"</formula>
    </cfRule>
  </conditionalFormatting>
  <conditionalFormatting sqref="C91">
    <cfRule type="cellIs" dxfId="318" priority="323" stopIfTrue="1" operator="equal">
      <formula>"Towel"</formula>
    </cfRule>
    <cfRule type="cellIs" dxfId="317" priority="324" stopIfTrue="1" operator="equal">
      <formula>"Napkin Hs"</formula>
    </cfRule>
  </conditionalFormatting>
  <conditionalFormatting sqref="C91">
    <cfRule type="cellIs" dxfId="316" priority="325" stopIfTrue="1" operator="equal">
      <formula>"Towel"</formula>
    </cfRule>
  </conditionalFormatting>
  <conditionalFormatting sqref="B91">
    <cfRule type="cellIs" dxfId="315" priority="321" stopIfTrue="1" operator="equal">
      <formula>"Towel"</formula>
    </cfRule>
    <cfRule type="cellIs" dxfId="314" priority="322" stopIfTrue="1" operator="equal">
      <formula>"Napkin Hs"</formula>
    </cfRule>
  </conditionalFormatting>
  <conditionalFormatting sqref="C90">
    <cfRule type="cellIs" dxfId="313" priority="319" stopIfTrue="1" operator="equal">
      <formula>"Towel"</formula>
    </cfRule>
    <cfRule type="cellIs" dxfId="312" priority="320" stopIfTrue="1" operator="equal">
      <formula>"Napkin Hs"</formula>
    </cfRule>
  </conditionalFormatting>
  <conditionalFormatting sqref="C90">
    <cfRule type="cellIs" dxfId="311" priority="318" stopIfTrue="1" operator="equal">
      <formula>"Napkin Hs"</formula>
    </cfRule>
  </conditionalFormatting>
  <conditionalFormatting sqref="C90">
    <cfRule type="cellIs" dxfId="310" priority="315" stopIfTrue="1" operator="equal">
      <formula>"Towel"</formula>
    </cfRule>
    <cfRule type="cellIs" dxfId="309" priority="316" stopIfTrue="1" operator="equal">
      <formula>"Napkin Hs"</formula>
    </cfRule>
  </conditionalFormatting>
  <conditionalFormatting sqref="C90">
    <cfRule type="cellIs" dxfId="308" priority="317" stopIfTrue="1" operator="equal">
      <formula>"Towel"</formula>
    </cfRule>
  </conditionalFormatting>
  <conditionalFormatting sqref="B90">
    <cfRule type="cellIs" dxfId="307" priority="313" stopIfTrue="1" operator="equal">
      <formula>"Towel"</formula>
    </cfRule>
    <cfRule type="cellIs" dxfId="306" priority="314" stopIfTrue="1" operator="equal">
      <formula>"Napkin Hs"</formula>
    </cfRule>
  </conditionalFormatting>
  <conditionalFormatting sqref="B98:C98 C97">
    <cfRule type="cellIs" dxfId="305" priority="311" stopIfTrue="1" operator="equal">
      <formula>"Towel"</formula>
    </cfRule>
    <cfRule type="cellIs" dxfId="304" priority="312" stopIfTrue="1" operator="equal">
      <formula>"Napkin Hs"</formula>
    </cfRule>
  </conditionalFormatting>
  <conditionalFormatting sqref="C97:C98">
    <cfRule type="cellIs" dxfId="303" priority="310" stopIfTrue="1" operator="equal">
      <formula>"Napkin Hs"</formula>
    </cfRule>
  </conditionalFormatting>
  <conditionalFormatting sqref="C97:C98">
    <cfRule type="cellIs" dxfId="302" priority="307" stopIfTrue="1" operator="equal">
      <formula>"Towel"</formula>
    </cfRule>
    <cfRule type="cellIs" dxfId="301" priority="308" stopIfTrue="1" operator="equal">
      <formula>"Napkin Hs"</formula>
    </cfRule>
  </conditionalFormatting>
  <conditionalFormatting sqref="C97:C98">
    <cfRule type="cellIs" dxfId="300" priority="309" stopIfTrue="1" operator="equal">
      <formula>"Towel"</formula>
    </cfRule>
  </conditionalFormatting>
  <conditionalFormatting sqref="B97">
    <cfRule type="cellIs" dxfId="299" priority="305" stopIfTrue="1" operator="equal">
      <formula>"Towel"</formula>
    </cfRule>
    <cfRule type="cellIs" dxfId="298" priority="306" stopIfTrue="1" operator="equal">
      <formula>"Napkin Hs"</formula>
    </cfRule>
  </conditionalFormatting>
  <conditionalFormatting sqref="C96">
    <cfRule type="cellIs" dxfId="297" priority="303" stopIfTrue="1" operator="equal">
      <formula>"Towel"</formula>
    </cfRule>
    <cfRule type="cellIs" dxfId="296" priority="304" stopIfTrue="1" operator="equal">
      <formula>"Napkin Hs"</formula>
    </cfRule>
  </conditionalFormatting>
  <conditionalFormatting sqref="C96">
    <cfRule type="cellIs" dxfId="295" priority="302" stopIfTrue="1" operator="equal">
      <formula>"Napkin Hs"</formula>
    </cfRule>
  </conditionalFormatting>
  <conditionalFormatting sqref="C96">
    <cfRule type="cellIs" dxfId="294" priority="299" stopIfTrue="1" operator="equal">
      <formula>"Towel"</formula>
    </cfRule>
    <cfRule type="cellIs" dxfId="293" priority="300" stopIfTrue="1" operator="equal">
      <formula>"Napkin Hs"</formula>
    </cfRule>
  </conditionalFormatting>
  <conditionalFormatting sqref="C96">
    <cfRule type="cellIs" dxfId="292" priority="301" stopIfTrue="1" operator="equal">
      <formula>"Towel"</formula>
    </cfRule>
  </conditionalFormatting>
  <conditionalFormatting sqref="B96">
    <cfRule type="cellIs" dxfId="291" priority="297" stopIfTrue="1" operator="equal">
      <formula>"Towel"</formula>
    </cfRule>
    <cfRule type="cellIs" dxfId="290" priority="298" stopIfTrue="1" operator="equal">
      <formula>"Napkin Hs"</formula>
    </cfRule>
  </conditionalFormatting>
  <conditionalFormatting sqref="C95">
    <cfRule type="cellIs" dxfId="289" priority="295" stopIfTrue="1" operator="equal">
      <formula>"Towel"</formula>
    </cfRule>
    <cfRule type="cellIs" dxfId="288" priority="296" stopIfTrue="1" operator="equal">
      <formula>"Napkin Hs"</formula>
    </cfRule>
  </conditionalFormatting>
  <conditionalFormatting sqref="C95">
    <cfRule type="cellIs" dxfId="287" priority="294" stopIfTrue="1" operator="equal">
      <formula>"Napkin Hs"</formula>
    </cfRule>
  </conditionalFormatting>
  <conditionalFormatting sqref="C95">
    <cfRule type="cellIs" dxfId="286" priority="291" stopIfTrue="1" operator="equal">
      <formula>"Towel"</formula>
    </cfRule>
    <cfRule type="cellIs" dxfId="285" priority="292" stopIfTrue="1" operator="equal">
      <formula>"Napkin Hs"</formula>
    </cfRule>
  </conditionalFormatting>
  <conditionalFormatting sqref="C95">
    <cfRule type="cellIs" dxfId="284" priority="293" stopIfTrue="1" operator="equal">
      <formula>"Towel"</formula>
    </cfRule>
  </conditionalFormatting>
  <conditionalFormatting sqref="B95">
    <cfRule type="cellIs" dxfId="283" priority="289" stopIfTrue="1" operator="equal">
      <formula>"Towel"</formula>
    </cfRule>
    <cfRule type="cellIs" dxfId="282" priority="290" stopIfTrue="1" operator="equal">
      <formula>"Napkin Hs"</formula>
    </cfRule>
  </conditionalFormatting>
  <conditionalFormatting sqref="B103:C103">
    <cfRule type="cellIs" dxfId="281" priority="287" stopIfTrue="1" operator="equal">
      <formula>"Towel"</formula>
    </cfRule>
    <cfRule type="cellIs" dxfId="280" priority="288" stopIfTrue="1" operator="equal">
      <formula>"Napkin Hs"</formula>
    </cfRule>
  </conditionalFormatting>
  <conditionalFormatting sqref="C103">
    <cfRule type="cellIs" dxfId="279" priority="286" stopIfTrue="1" operator="equal">
      <formula>"Napkin Hs"</formula>
    </cfRule>
  </conditionalFormatting>
  <conditionalFormatting sqref="C103">
    <cfRule type="cellIs" dxfId="278" priority="283" stopIfTrue="1" operator="equal">
      <formula>"Towel"</formula>
    </cfRule>
    <cfRule type="cellIs" dxfId="277" priority="284" stopIfTrue="1" operator="equal">
      <formula>"Napkin Hs"</formula>
    </cfRule>
  </conditionalFormatting>
  <conditionalFormatting sqref="C103">
    <cfRule type="cellIs" dxfId="276" priority="285" stopIfTrue="1" operator="equal">
      <formula>"Towel"</formula>
    </cfRule>
  </conditionalFormatting>
  <conditionalFormatting sqref="C100">
    <cfRule type="cellIs" dxfId="275" priority="281" stopIfTrue="1" operator="equal">
      <formula>"Towel"</formula>
    </cfRule>
    <cfRule type="cellIs" dxfId="274" priority="282" stopIfTrue="1" operator="equal">
      <formula>"Napkin Hs"</formula>
    </cfRule>
  </conditionalFormatting>
  <conditionalFormatting sqref="C100">
    <cfRule type="cellIs" dxfId="273" priority="280" stopIfTrue="1" operator="equal">
      <formula>"Napkin Hs"</formula>
    </cfRule>
  </conditionalFormatting>
  <conditionalFormatting sqref="C100">
    <cfRule type="cellIs" dxfId="272" priority="277" stopIfTrue="1" operator="equal">
      <formula>"Towel"</formula>
    </cfRule>
    <cfRule type="cellIs" dxfId="271" priority="278" stopIfTrue="1" operator="equal">
      <formula>"Napkin Hs"</formula>
    </cfRule>
  </conditionalFormatting>
  <conditionalFormatting sqref="C100">
    <cfRule type="cellIs" dxfId="270" priority="279" stopIfTrue="1" operator="equal">
      <formula>"Towel"</formula>
    </cfRule>
  </conditionalFormatting>
  <conditionalFormatting sqref="B100">
    <cfRule type="cellIs" dxfId="269" priority="275" stopIfTrue="1" operator="equal">
      <formula>"Towel"</formula>
    </cfRule>
    <cfRule type="cellIs" dxfId="268" priority="276" stopIfTrue="1" operator="equal">
      <formula>"Napkin Hs"</formula>
    </cfRule>
  </conditionalFormatting>
  <conditionalFormatting sqref="B108:C108 C107">
    <cfRule type="cellIs" dxfId="267" priority="273" stopIfTrue="1" operator="equal">
      <formula>"Towel"</formula>
    </cfRule>
    <cfRule type="cellIs" dxfId="266" priority="274" stopIfTrue="1" operator="equal">
      <formula>"Napkin Hs"</formula>
    </cfRule>
  </conditionalFormatting>
  <conditionalFormatting sqref="C107:C108">
    <cfRule type="cellIs" dxfId="265" priority="272" stopIfTrue="1" operator="equal">
      <formula>"Napkin Hs"</formula>
    </cfRule>
  </conditionalFormatting>
  <conditionalFormatting sqref="C107:C108">
    <cfRule type="cellIs" dxfId="264" priority="269" stopIfTrue="1" operator="equal">
      <formula>"Towel"</formula>
    </cfRule>
    <cfRule type="cellIs" dxfId="263" priority="270" stopIfTrue="1" operator="equal">
      <formula>"Napkin Hs"</formula>
    </cfRule>
  </conditionalFormatting>
  <conditionalFormatting sqref="C107:C108">
    <cfRule type="cellIs" dxfId="262" priority="271" stopIfTrue="1" operator="equal">
      <formula>"Towel"</formula>
    </cfRule>
  </conditionalFormatting>
  <conditionalFormatting sqref="B107">
    <cfRule type="cellIs" dxfId="261" priority="267" stopIfTrue="1" operator="equal">
      <formula>"Towel"</formula>
    </cfRule>
    <cfRule type="cellIs" dxfId="260" priority="268" stopIfTrue="1" operator="equal">
      <formula>"Napkin Hs"</formula>
    </cfRule>
  </conditionalFormatting>
  <conditionalFormatting sqref="C106">
    <cfRule type="cellIs" dxfId="259" priority="265" stopIfTrue="1" operator="equal">
      <formula>"Towel"</formula>
    </cfRule>
    <cfRule type="cellIs" dxfId="258" priority="266" stopIfTrue="1" operator="equal">
      <formula>"Napkin Hs"</formula>
    </cfRule>
  </conditionalFormatting>
  <conditionalFormatting sqref="C106">
    <cfRule type="cellIs" dxfId="257" priority="264" stopIfTrue="1" operator="equal">
      <formula>"Napkin Hs"</formula>
    </cfRule>
  </conditionalFormatting>
  <conditionalFormatting sqref="C106">
    <cfRule type="cellIs" dxfId="256" priority="261" stopIfTrue="1" operator="equal">
      <formula>"Towel"</formula>
    </cfRule>
    <cfRule type="cellIs" dxfId="255" priority="262" stopIfTrue="1" operator="equal">
      <formula>"Napkin Hs"</formula>
    </cfRule>
  </conditionalFormatting>
  <conditionalFormatting sqref="C106">
    <cfRule type="cellIs" dxfId="254" priority="263" stopIfTrue="1" operator="equal">
      <formula>"Towel"</formula>
    </cfRule>
  </conditionalFormatting>
  <conditionalFormatting sqref="B106">
    <cfRule type="cellIs" dxfId="253" priority="259" stopIfTrue="1" operator="equal">
      <formula>"Towel"</formula>
    </cfRule>
    <cfRule type="cellIs" dxfId="252" priority="260" stopIfTrue="1" operator="equal">
      <formula>"Napkin Hs"</formula>
    </cfRule>
  </conditionalFormatting>
  <conditionalFormatting sqref="B101:C101">
    <cfRule type="cellIs" dxfId="251" priority="257" stopIfTrue="1" operator="equal">
      <formula>"Towel"</formula>
    </cfRule>
    <cfRule type="cellIs" dxfId="250" priority="258" stopIfTrue="1" operator="equal">
      <formula>"Napkin Hs"</formula>
    </cfRule>
  </conditionalFormatting>
  <conditionalFormatting sqref="C101">
    <cfRule type="cellIs" dxfId="249" priority="256" stopIfTrue="1" operator="equal">
      <formula>"Napkin Hs"</formula>
    </cfRule>
  </conditionalFormatting>
  <conditionalFormatting sqref="C101">
    <cfRule type="cellIs" dxfId="248" priority="253" stopIfTrue="1" operator="equal">
      <formula>"Towel"</formula>
    </cfRule>
    <cfRule type="cellIs" dxfId="247" priority="254" stopIfTrue="1" operator="equal">
      <formula>"Napkin Hs"</formula>
    </cfRule>
  </conditionalFormatting>
  <conditionalFormatting sqref="C101">
    <cfRule type="cellIs" dxfId="246" priority="255" stopIfTrue="1" operator="equal">
      <formula>"Towel"</formula>
    </cfRule>
  </conditionalFormatting>
  <conditionalFormatting sqref="B105:C105">
    <cfRule type="cellIs" dxfId="245" priority="251" stopIfTrue="1" operator="equal">
      <formula>"Towel"</formula>
    </cfRule>
    <cfRule type="cellIs" dxfId="244" priority="252" stopIfTrue="1" operator="equal">
      <formula>"Napkin Hs"</formula>
    </cfRule>
  </conditionalFormatting>
  <conditionalFormatting sqref="C105">
    <cfRule type="cellIs" dxfId="243" priority="250" stopIfTrue="1" operator="equal">
      <formula>"Napkin Hs"</formula>
    </cfRule>
  </conditionalFormatting>
  <conditionalFormatting sqref="C105">
    <cfRule type="cellIs" dxfId="242" priority="247" stopIfTrue="1" operator="equal">
      <formula>"Towel"</formula>
    </cfRule>
    <cfRule type="cellIs" dxfId="241" priority="248" stopIfTrue="1" operator="equal">
      <formula>"Napkin Hs"</formula>
    </cfRule>
  </conditionalFormatting>
  <conditionalFormatting sqref="C105">
    <cfRule type="cellIs" dxfId="240" priority="249" stopIfTrue="1" operator="equal">
      <formula>"Towel"</formula>
    </cfRule>
  </conditionalFormatting>
  <conditionalFormatting sqref="B102:C102">
    <cfRule type="cellIs" dxfId="239" priority="245" stopIfTrue="1" operator="equal">
      <formula>"Towel"</formula>
    </cfRule>
    <cfRule type="cellIs" dxfId="238" priority="246" stopIfTrue="1" operator="equal">
      <formula>"Napkin Hs"</formula>
    </cfRule>
  </conditionalFormatting>
  <conditionalFormatting sqref="C102">
    <cfRule type="cellIs" dxfId="237" priority="244" stopIfTrue="1" operator="equal">
      <formula>"Napkin Hs"</formula>
    </cfRule>
  </conditionalFormatting>
  <conditionalFormatting sqref="C102">
    <cfRule type="cellIs" dxfId="236" priority="241" stopIfTrue="1" operator="equal">
      <formula>"Towel"</formula>
    </cfRule>
    <cfRule type="cellIs" dxfId="235" priority="242" stopIfTrue="1" operator="equal">
      <formula>"Napkin Hs"</formula>
    </cfRule>
  </conditionalFormatting>
  <conditionalFormatting sqref="C102">
    <cfRule type="cellIs" dxfId="234" priority="243" stopIfTrue="1" operator="equal">
      <formula>"Towel"</formula>
    </cfRule>
  </conditionalFormatting>
  <conditionalFormatting sqref="B113:C113 C112">
    <cfRule type="cellIs" dxfId="233" priority="239" stopIfTrue="1" operator="equal">
      <formula>"Towel"</formula>
    </cfRule>
    <cfRule type="cellIs" dxfId="232" priority="240" stopIfTrue="1" operator="equal">
      <formula>"Napkin Hs"</formula>
    </cfRule>
  </conditionalFormatting>
  <conditionalFormatting sqref="C112:C113">
    <cfRule type="cellIs" dxfId="231" priority="238" stopIfTrue="1" operator="equal">
      <formula>"Napkin Hs"</formula>
    </cfRule>
  </conditionalFormatting>
  <conditionalFormatting sqref="C112:C113">
    <cfRule type="cellIs" dxfId="230" priority="235" stopIfTrue="1" operator="equal">
      <formula>"Towel"</formula>
    </cfRule>
    <cfRule type="cellIs" dxfId="229" priority="236" stopIfTrue="1" operator="equal">
      <formula>"Napkin Hs"</formula>
    </cfRule>
  </conditionalFormatting>
  <conditionalFormatting sqref="C112:C113">
    <cfRule type="cellIs" dxfId="228" priority="237" stopIfTrue="1" operator="equal">
      <formula>"Towel"</formula>
    </cfRule>
  </conditionalFormatting>
  <conditionalFormatting sqref="B112">
    <cfRule type="cellIs" dxfId="227" priority="233" stopIfTrue="1" operator="equal">
      <formula>"Towel"</formula>
    </cfRule>
    <cfRule type="cellIs" dxfId="226" priority="234" stopIfTrue="1" operator="equal">
      <formula>"Napkin Hs"</formula>
    </cfRule>
  </conditionalFormatting>
  <conditionalFormatting sqref="C111">
    <cfRule type="cellIs" dxfId="225" priority="231" stopIfTrue="1" operator="equal">
      <formula>"Towel"</formula>
    </cfRule>
    <cfRule type="cellIs" dxfId="224" priority="232" stopIfTrue="1" operator="equal">
      <formula>"Napkin Hs"</formula>
    </cfRule>
  </conditionalFormatting>
  <conditionalFormatting sqref="C111">
    <cfRule type="cellIs" dxfId="223" priority="230" stopIfTrue="1" operator="equal">
      <formula>"Napkin Hs"</formula>
    </cfRule>
  </conditionalFormatting>
  <conditionalFormatting sqref="C111">
    <cfRule type="cellIs" dxfId="222" priority="227" stopIfTrue="1" operator="equal">
      <formula>"Towel"</formula>
    </cfRule>
    <cfRule type="cellIs" dxfId="221" priority="228" stopIfTrue="1" operator="equal">
      <formula>"Napkin Hs"</formula>
    </cfRule>
  </conditionalFormatting>
  <conditionalFormatting sqref="C111">
    <cfRule type="cellIs" dxfId="220" priority="229" stopIfTrue="1" operator="equal">
      <formula>"Towel"</formula>
    </cfRule>
  </conditionalFormatting>
  <conditionalFormatting sqref="B111">
    <cfRule type="cellIs" dxfId="219" priority="225" stopIfTrue="1" operator="equal">
      <formula>"Towel"</formula>
    </cfRule>
    <cfRule type="cellIs" dxfId="218" priority="226" stopIfTrue="1" operator="equal">
      <formula>"Napkin Hs"</formula>
    </cfRule>
  </conditionalFormatting>
  <conditionalFormatting sqref="B110:C110">
    <cfRule type="cellIs" dxfId="217" priority="223" stopIfTrue="1" operator="equal">
      <formula>"Towel"</formula>
    </cfRule>
    <cfRule type="cellIs" dxfId="216" priority="224" stopIfTrue="1" operator="equal">
      <formula>"Napkin Hs"</formula>
    </cfRule>
  </conditionalFormatting>
  <conditionalFormatting sqref="C110">
    <cfRule type="cellIs" dxfId="215" priority="222" stopIfTrue="1" operator="equal">
      <formula>"Napkin Hs"</formula>
    </cfRule>
  </conditionalFormatting>
  <conditionalFormatting sqref="C110">
    <cfRule type="cellIs" dxfId="214" priority="219" stopIfTrue="1" operator="equal">
      <formula>"Towel"</formula>
    </cfRule>
    <cfRule type="cellIs" dxfId="213" priority="220" stopIfTrue="1" operator="equal">
      <formula>"Napkin Hs"</formula>
    </cfRule>
  </conditionalFormatting>
  <conditionalFormatting sqref="C110">
    <cfRule type="cellIs" dxfId="212" priority="221" stopIfTrue="1" operator="equal">
      <formula>"Towel"</formula>
    </cfRule>
  </conditionalFormatting>
  <conditionalFormatting sqref="B118:C118 C117">
    <cfRule type="cellIs" dxfId="211" priority="217" stopIfTrue="1" operator="equal">
      <formula>"Towel"</formula>
    </cfRule>
    <cfRule type="cellIs" dxfId="210" priority="218" stopIfTrue="1" operator="equal">
      <formula>"Napkin Hs"</formula>
    </cfRule>
  </conditionalFormatting>
  <conditionalFormatting sqref="C117:C118">
    <cfRule type="cellIs" dxfId="209" priority="216" stopIfTrue="1" operator="equal">
      <formula>"Napkin Hs"</formula>
    </cfRule>
  </conditionalFormatting>
  <conditionalFormatting sqref="C117:C118">
    <cfRule type="cellIs" dxfId="208" priority="213" stopIfTrue="1" operator="equal">
      <formula>"Towel"</formula>
    </cfRule>
    <cfRule type="cellIs" dxfId="207" priority="214" stopIfTrue="1" operator="equal">
      <formula>"Napkin Hs"</formula>
    </cfRule>
  </conditionalFormatting>
  <conditionalFormatting sqref="C117:C118">
    <cfRule type="cellIs" dxfId="206" priority="215" stopIfTrue="1" operator="equal">
      <formula>"Towel"</formula>
    </cfRule>
  </conditionalFormatting>
  <conditionalFormatting sqref="B117">
    <cfRule type="cellIs" dxfId="205" priority="211" stopIfTrue="1" operator="equal">
      <formula>"Towel"</formula>
    </cfRule>
    <cfRule type="cellIs" dxfId="204" priority="212" stopIfTrue="1" operator="equal">
      <formula>"Napkin Hs"</formula>
    </cfRule>
  </conditionalFormatting>
  <conditionalFormatting sqref="C116">
    <cfRule type="cellIs" dxfId="203" priority="209" stopIfTrue="1" operator="equal">
      <formula>"Towel"</formula>
    </cfRule>
    <cfRule type="cellIs" dxfId="202" priority="210" stopIfTrue="1" operator="equal">
      <formula>"Napkin Hs"</formula>
    </cfRule>
  </conditionalFormatting>
  <conditionalFormatting sqref="C116">
    <cfRule type="cellIs" dxfId="201" priority="208" stopIfTrue="1" operator="equal">
      <formula>"Napkin Hs"</formula>
    </cfRule>
  </conditionalFormatting>
  <conditionalFormatting sqref="C116">
    <cfRule type="cellIs" dxfId="200" priority="205" stopIfTrue="1" operator="equal">
      <formula>"Towel"</formula>
    </cfRule>
    <cfRule type="cellIs" dxfId="199" priority="206" stopIfTrue="1" operator="equal">
      <formula>"Napkin Hs"</formula>
    </cfRule>
  </conditionalFormatting>
  <conditionalFormatting sqref="C116">
    <cfRule type="cellIs" dxfId="198" priority="207" stopIfTrue="1" operator="equal">
      <formula>"Towel"</formula>
    </cfRule>
  </conditionalFormatting>
  <conditionalFormatting sqref="B116">
    <cfRule type="cellIs" dxfId="197" priority="203" stopIfTrue="1" operator="equal">
      <formula>"Towel"</formula>
    </cfRule>
    <cfRule type="cellIs" dxfId="196" priority="204" stopIfTrue="1" operator="equal">
      <formula>"Napkin Hs"</formula>
    </cfRule>
  </conditionalFormatting>
  <conditionalFormatting sqref="B115:C115">
    <cfRule type="cellIs" dxfId="195" priority="201" stopIfTrue="1" operator="equal">
      <formula>"Towel"</formula>
    </cfRule>
    <cfRule type="cellIs" dxfId="194" priority="202" stopIfTrue="1" operator="equal">
      <formula>"Napkin Hs"</formula>
    </cfRule>
  </conditionalFormatting>
  <conditionalFormatting sqref="C115">
    <cfRule type="cellIs" dxfId="193" priority="200" stopIfTrue="1" operator="equal">
      <formula>"Napkin Hs"</formula>
    </cfRule>
  </conditionalFormatting>
  <conditionalFormatting sqref="C115">
    <cfRule type="cellIs" dxfId="192" priority="197" stopIfTrue="1" operator="equal">
      <formula>"Towel"</formula>
    </cfRule>
    <cfRule type="cellIs" dxfId="191" priority="198" stopIfTrue="1" operator="equal">
      <formula>"Napkin Hs"</formula>
    </cfRule>
  </conditionalFormatting>
  <conditionalFormatting sqref="C115">
    <cfRule type="cellIs" dxfId="190" priority="199" stopIfTrue="1" operator="equal">
      <formula>"Towel"</formula>
    </cfRule>
  </conditionalFormatting>
  <conditionalFormatting sqref="B123:C123 C122">
    <cfRule type="cellIs" dxfId="189" priority="195" stopIfTrue="1" operator="equal">
      <formula>"Towel"</formula>
    </cfRule>
    <cfRule type="cellIs" dxfId="188" priority="196" stopIfTrue="1" operator="equal">
      <formula>"Napkin Hs"</formula>
    </cfRule>
  </conditionalFormatting>
  <conditionalFormatting sqref="C122:C123">
    <cfRule type="cellIs" dxfId="187" priority="194" stopIfTrue="1" operator="equal">
      <formula>"Napkin Hs"</formula>
    </cfRule>
  </conditionalFormatting>
  <conditionalFormatting sqref="C122:C123">
    <cfRule type="cellIs" dxfId="186" priority="191" stopIfTrue="1" operator="equal">
      <formula>"Towel"</formula>
    </cfRule>
    <cfRule type="cellIs" dxfId="185" priority="192" stopIfTrue="1" operator="equal">
      <formula>"Napkin Hs"</formula>
    </cfRule>
  </conditionalFormatting>
  <conditionalFormatting sqref="C122:C123">
    <cfRule type="cellIs" dxfId="184" priority="193" stopIfTrue="1" operator="equal">
      <formula>"Towel"</formula>
    </cfRule>
  </conditionalFormatting>
  <conditionalFormatting sqref="B122">
    <cfRule type="cellIs" dxfId="183" priority="189" stopIfTrue="1" operator="equal">
      <formula>"Towel"</formula>
    </cfRule>
    <cfRule type="cellIs" dxfId="182" priority="190" stopIfTrue="1" operator="equal">
      <formula>"Napkin Hs"</formula>
    </cfRule>
  </conditionalFormatting>
  <conditionalFormatting sqref="B120:C121">
    <cfRule type="cellIs" dxfId="181" priority="187" stopIfTrue="1" operator="equal">
      <formula>"Towel"</formula>
    </cfRule>
    <cfRule type="cellIs" dxfId="180" priority="188" stopIfTrue="1" operator="equal">
      <formula>"Napkin Hs"</formula>
    </cfRule>
  </conditionalFormatting>
  <conditionalFormatting sqref="C120:C121">
    <cfRule type="cellIs" dxfId="179" priority="186" stopIfTrue="1" operator="equal">
      <formula>"Napkin Hs"</formula>
    </cfRule>
  </conditionalFormatting>
  <conditionalFormatting sqref="C120:C121">
    <cfRule type="cellIs" dxfId="178" priority="183" stopIfTrue="1" operator="equal">
      <formula>"Towel"</formula>
    </cfRule>
    <cfRule type="cellIs" dxfId="177" priority="184" stopIfTrue="1" operator="equal">
      <formula>"Napkin Hs"</formula>
    </cfRule>
  </conditionalFormatting>
  <conditionalFormatting sqref="C120:C121">
    <cfRule type="cellIs" dxfId="176" priority="185" stopIfTrue="1" operator="equal">
      <formula>"Towel"</formula>
    </cfRule>
  </conditionalFormatting>
  <conditionalFormatting sqref="B128:C128 C127">
    <cfRule type="cellIs" dxfId="175" priority="181" stopIfTrue="1" operator="equal">
      <formula>"Towel"</formula>
    </cfRule>
    <cfRule type="cellIs" dxfId="174" priority="182" stopIfTrue="1" operator="equal">
      <formula>"Napkin Hs"</formula>
    </cfRule>
  </conditionalFormatting>
  <conditionalFormatting sqref="C127:C128">
    <cfRule type="cellIs" dxfId="173" priority="180" stopIfTrue="1" operator="equal">
      <formula>"Napkin Hs"</formula>
    </cfRule>
  </conditionalFormatting>
  <conditionalFormatting sqref="C127:C128">
    <cfRule type="cellIs" dxfId="172" priority="177" stopIfTrue="1" operator="equal">
      <formula>"Towel"</formula>
    </cfRule>
    <cfRule type="cellIs" dxfId="171" priority="178" stopIfTrue="1" operator="equal">
      <formula>"Napkin Hs"</formula>
    </cfRule>
  </conditionalFormatting>
  <conditionalFormatting sqref="C127:C128">
    <cfRule type="cellIs" dxfId="170" priority="179" stopIfTrue="1" operator="equal">
      <formula>"Towel"</formula>
    </cfRule>
  </conditionalFormatting>
  <conditionalFormatting sqref="B127">
    <cfRule type="cellIs" dxfId="169" priority="175" stopIfTrue="1" operator="equal">
      <formula>"Towel"</formula>
    </cfRule>
    <cfRule type="cellIs" dxfId="168" priority="176" stopIfTrue="1" operator="equal">
      <formula>"Napkin Hs"</formula>
    </cfRule>
  </conditionalFormatting>
  <conditionalFormatting sqref="B126:C126">
    <cfRule type="cellIs" dxfId="167" priority="173" stopIfTrue="1" operator="equal">
      <formula>"Towel"</formula>
    </cfRule>
    <cfRule type="cellIs" dxfId="166" priority="174" stopIfTrue="1" operator="equal">
      <formula>"Napkin Hs"</formula>
    </cfRule>
  </conditionalFormatting>
  <conditionalFormatting sqref="C126">
    <cfRule type="cellIs" dxfId="165" priority="172" stopIfTrue="1" operator="equal">
      <formula>"Napkin Hs"</formula>
    </cfRule>
  </conditionalFormatting>
  <conditionalFormatting sqref="C126">
    <cfRule type="cellIs" dxfId="164" priority="169" stopIfTrue="1" operator="equal">
      <formula>"Towel"</formula>
    </cfRule>
    <cfRule type="cellIs" dxfId="163" priority="170" stopIfTrue="1" operator="equal">
      <formula>"Napkin Hs"</formula>
    </cfRule>
  </conditionalFormatting>
  <conditionalFormatting sqref="C126">
    <cfRule type="cellIs" dxfId="162" priority="171" stopIfTrue="1" operator="equal">
      <formula>"Towel"</formula>
    </cfRule>
  </conditionalFormatting>
  <conditionalFormatting sqref="B125:C125">
    <cfRule type="cellIs" dxfId="161" priority="167" stopIfTrue="1" operator="equal">
      <formula>"Towel"</formula>
    </cfRule>
    <cfRule type="cellIs" dxfId="160" priority="168" stopIfTrue="1" operator="equal">
      <formula>"Napkin Hs"</formula>
    </cfRule>
  </conditionalFormatting>
  <conditionalFormatting sqref="C125">
    <cfRule type="cellIs" dxfId="159" priority="166" stopIfTrue="1" operator="equal">
      <formula>"Napkin Hs"</formula>
    </cfRule>
  </conditionalFormatting>
  <conditionalFormatting sqref="C125">
    <cfRule type="cellIs" dxfId="158" priority="163" stopIfTrue="1" operator="equal">
      <formula>"Towel"</formula>
    </cfRule>
    <cfRule type="cellIs" dxfId="157" priority="164" stopIfTrue="1" operator="equal">
      <formula>"Napkin Hs"</formula>
    </cfRule>
  </conditionalFormatting>
  <conditionalFormatting sqref="C125">
    <cfRule type="cellIs" dxfId="156" priority="165" stopIfTrue="1" operator="equal">
      <formula>"Towel"</formula>
    </cfRule>
  </conditionalFormatting>
  <conditionalFormatting sqref="B133:C133 C132">
    <cfRule type="cellIs" dxfId="155" priority="161" stopIfTrue="1" operator="equal">
      <formula>"Towel"</formula>
    </cfRule>
    <cfRule type="cellIs" dxfId="154" priority="162" stopIfTrue="1" operator="equal">
      <formula>"Napkin Hs"</formula>
    </cfRule>
  </conditionalFormatting>
  <conditionalFormatting sqref="C132:C133">
    <cfRule type="cellIs" dxfId="153" priority="160" stopIfTrue="1" operator="equal">
      <formula>"Napkin Hs"</formula>
    </cfRule>
  </conditionalFormatting>
  <conditionalFormatting sqref="C132:C133">
    <cfRule type="cellIs" dxfId="152" priority="157" stopIfTrue="1" operator="equal">
      <formula>"Towel"</formula>
    </cfRule>
    <cfRule type="cellIs" dxfId="151" priority="158" stopIfTrue="1" operator="equal">
      <formula>"Napkin Hs"</formula>
    </cfRule>
  </conditionalFormatting>
  <conditionalFormatting sqref="C132:C133">
    <cfRule type="cellIs" dxfId="150" priority="159" stopIfTrue="1" operator="equal">
      <formula>"Towel"</formula>
    </cfRule>
  </conditionalFormatting>
  <conditionalFormatting sqref="B132">
    <cfRule type="cellIs" dxfId="149" priority="155" stopIfTrue="1" operator="equal">
      <formula>"Towel"</formula>
    </cfRule>
    <cfRule type="cellIs" dxfId="148" priority="156" stopIfTrue="1" operator="equal">
      <formula>"Napkin Hs"</formula>
    </cfRule>
  </conditionalFormatting>
  <conditionalFormatting sqref="B131:C131">
    <cfRule type="cellIs" dxfId="147" priority="153" stopIfTrue="1" operator="equal">
      <formula>"Towel"</formula>
    </cfRule>
    <cfRule type="cellIs" dxfId="146" priority="154" stopIfTrue="1" operator="equal">
      <formula>"Napkin Hs"</formula>
    </cfRule>
  </conditionalFormatting>
  <conditionalFormatting sqref="C131">
    <cfRule type="cellIs" dxfId="145" priority="152" stopIfTrue="1" operator="equal">
      <formula>"Napkin Hs"</formula>
    </cfRule>
  </conditionalFormatting>
  <conditionalFormatting sqref="C131">
    <cfRule type="cellIs" dxfId="144" priority="149" stopIfTrue="1" operator="equal">
      <formula>"Towel"</formula>
    </cfRule>
    <cfRule type="cellIs" dxfId="143" priority="150" stopIfTrue="1" operator="equal">
      <formula>"Napkin Hs"</formula>
    </cfRule>
  </conditionalFormatting>
  <conditionalFormatting sqref="C131">
    <cfRule type="cellIs" dxfId="142" priority="151" stopIfTrue="1" operator="equal">
      <formula>"Towel"</formula>
    </cfRule>
  </conditionalFormatting>
  <conditionalFormatting sqref="B130:C130">
    <cfRule type="cellIs" dxfId="141" priority="147" stopIfTrue="1" operator="equal">
      <formula>"Towel"</formula>
    </cfRule>
    <cfRule type="cellIs" dxfId="140" priority="148" stopIfTrue="1" operator="equal">
      <formula>"Napkin Hs"</formula>
    </cfRule>
  </conditionalFormatting>
  <conditionalFormatting sqref="C130">
    <cfRule type="cellIs" dxfId="139" priority="146" stopIfTrue="1" operator="equal">
      <formula>"Napkin Hs"</formula>
    </cfRule>
  </conditionalFormatting>
  <conditionalFormatting sqref="C130">
    <cfRule type="cellIs" dxfId="138" priority="143" stopIfTrue="1" operator="equal">
      <formula>"Towel"</formula>
    </cfRule>
    <cfRule type="cellIs" dxfId="137" priority="144" stopIfTrue="1" operator="equal">
      <formula>"Napkin Hs"</formula>
    </cfRule>
  </conditionalFormatting>
  <conditionalFormatting sqref="C130">
    <cfRule type="cellIs" dxfId="136" priority="145" stopIfTrue="1" operator="equal">
      <formula>"Towel"</formula>
    </cfRule>
  </conditionalFormatting>
  <conditionalFormatting sqref="B138:C138 C137">
    <cfRule type="cellIs" dxfId="135" priority="141" stopIfTrue="1" operator="equal">
      <formula>"Towel"</formula>
    </cfRule>
    <cfRule type="cellIs" dxfId="134" priority="142" stopIfTrue="1" operator="equal">
      <formula>"Napkin Hs"</formula>
    </cfRule>
  </conditionalFormatting>
  <conditionalFormatting sqref="C137:C138">
    <cfRule type="cellIs" dxfId="133" priority="140" stopIfTrue="1" operator="equal">
      <formula>"Napkin Hs"</formula>
    </cfRule>
  </conditionalFormatting>
  <conditionalFormatting sqref="C137:C138">
    <cfRule type="cellIs" dxfId="132" priority="137" stopIfTrue="1" operator="equal">
      <formula>"Towel"</formula>
    </cfRule>
    <cfRule type="cellIs" dxfId="131" priority="138" stopIfTrue="1" operator="equal">
      <formula>"Napkin Hs"</formula>
    </cfRule>
  </conditionalFormatting>
  <conditionalFormatting sqref="C137:C138">
    <cfRule type="cellIs" dxfId="130" priority="139" stopIfTrue="1" operator="equal">
      <formula>"Towel"</formula>
    </cfRule>
  </conditionalFormatting>
  <conditionalFormatting sqref="B137">
    <cfRule type="cellIs" dxfId="129" priority="135" stopIfTrue="1" operator="equal">
      <formula>"Towel"</formula>
    </cfRule>
    <cfRule type="cellIs" dxfId="128" priority="136" stopIfTrue="1" operator="equal">
      <formula>"Napkin Hs"</formula>
    </cfRule>
  </conditionalFormatting>
  <conditionalFormatting sqref="B136:C136">
    <cfRule type="cellIs" dxfId="127" priority="133" stopIfTrue="1" operator="equal">
      <formula>"Towel"</formula>
    </cfRule>
    <cfRule type="cellIs" dxfId="126" priority="134" stopIfTrue="1" operator="equal">
      <formula>"Napkin Hs"</formula>
    </cfRule>
  </conditionalFormatting>
  <conditionalFormatting sqref="C136">
    <cfRule type="cellIs" dxfId="125" priority="132" stopIfTrue="1" operator="equal">
      <formula>"Napkin Hs"</formula>
    </cfRule>
  </conditionalFormatting>
  <conditionalFormatting sqref="C136">
    <cfRule type="cellIs" dxfId="124" priority="129" stopIfTrue="1" operator="equal">
      <formula>"Towel"</formula>
    </cfRule>
    <cfRule type="cellIs" dxfId="123" priority="130" stopIfTrue="1" operator="equal">
      <formula>"Napkin Hs"</formula>
    </cfRule>
  </conditionalFormatting>
  <conditionalFormatting sqref="C136">
    <cfRule type="cellIs" dxfId="122" priority="131" stopIfTrue="1" operator="equal">
      <formula>"Towel"</formula>
    </cfRule>
  </conditionalFormatting>
  <conditionalFormatting sqref="B135:C135">
    <cfRule type="cellIs" dxfId="121" priority="127" stopIfTrue="1" operator="equal">
      <formula>"Towel"</formula>
    </cfRule>
    <cfRule type="cellIs" dxfId="120" priority="128" stopIfTrue="1" operator="equal">
      <formula>"Napkin Hs"</formula>
    </cfRule>
  </conditionalFormatting>
  <conditionalFormatting sqref="C135">
    <cfRule type="cellIs" dxfId="119" priority="126" stopIfTrue="1" operator="equal">
      <formula>"Napkin Hs"</formula>
    </cfRule>
  </conditionalFormatting>
  <conditionalFormatting sqref="C135">
    <cfRule type="cellIs" dxfId="118" priority="123" stopIfTrue="1" operator="equal">
      <formula>"Towel"</formula>
    </cfRule>
    <cfRule type="cellIs" dxfId="117" priority="124" stopIfTrue="1" operator="equal">
      <formula>"Napkin Hs"</formula>
    </cfRule>
  </conditionalFormatting>
  <conditionalFormatting sqref="C135">
    <cfRule type="cellIs" dxfId="116" priority="125" stopIfTrue="1" operator="equal">
      <formula>"Towel"</formula>
    </cfRule>
  </conditionalFormatting>
  <conditionalFormatting sqref="B143:C143 C142">
    <cfRule type="cellIs" dxfId="115" priority="121" stopIfTrue="1" operator="equal">
      <formula>"Towel"</formula>
    </cfRule>
    <cfRule type="cellIs" dxfId="114" priority="122" stopIfTrue="1" operator="equal">
      <formula>"Napkin Hs"</formula>
    </cfRule>
  </conditionalFormatting>
  <conditionalFormatting sqref="C142:C143">
    <cfRule type="cellIs" dxfId="113" priority="120" stopIfTrue="1" operator="equal">
      <formula>"Napkin Hs"</formula>
    </cfRule>
  </conditionalFormatting>
  <conditionalFormatting sqref="C142:C143">
    <cfRule type="cellIs" dxfId="112" priority="117" stopIfTrue="1" operator="equal">
      <formula>"Towel"</formula>
    </cfRule>
    <cfRule type="cellIs" dxfId="111" priority="118" stopIfTrue="1" operator="equal">
      <formula>"Napkin Hs"</formula>
    </cfRule>
  </conditionalFormatting>
  <conditionalFormatting sqref="C142:C143">
    <cfRule type="cellIs" dxfId="110" priority="119" stopIfTrue="1" operator="equal">
      <formula>"Towel"</formula>
    </cfRule>
  </conditionalFormatting>
  <conditionalFormatting sqref="B142">
    <cfRule type="cellIs" dxfId="109" priority="115" stopIfTrue="1" operator="equal">
      <formula>"Towel"</formula>
    </cfRule>
    <cfRule type="cellIs" dxfId="108" priority="116" stopIfTrue="1" operator="equal">
      <formula>"Napkin Hs"</formula>
    </cfRule>
  </conditionalFormatting>
  <conditionalFormatting sqref="B141:C141">
    <cfRule type="cellIs" dxfId="107" priority="113" stopIfTrue="1" operator="equal">
      <formula>"Towel"</formula>
    </cfRule>
    <cfRule type="cellIs" dxfId="106" priority="114" stopIfTrue="1" operator="equal">
      <formula>"Napkin Hs"</formula>
    </cfRule>
  </conditionalFormatting>
  <conditionalFormatting sqref="C141">
    <cfRule type="cellIs" dxfId="105" priority="112" stopIfTrue="1" operator="equal">
      <formula>"Napkin Hs"</formula>
    </cfRule>
  </conditionalFormatting>
  <conditionalFormatting sqref="C141">
    <cfRule type="cellIs" dxfId="104" priority="109" stopIfTrue="1" operator="equal">
      <formula>"Towel"</formula>
    </cfRule>
    <cfRule type="cellIs" dxfId="103" priority="110" stopIfTrue="1" operator="equal">
      <formula>"Napkin Hs"</formula>
    </cfRule>
  </conditionalFormatting>
  <conditionalFormatting sqref="C141">
    <cfRule type="cellIs" dxfId="102" priority="111" stopIfTrue="1" operator="equal">
      <formula>"Towel"</formula>
    </cfRule>
  </conditionalFormatting>
  <conditionalFormatting sqref="B140:C140">
    <cfRule type="cellIs" dxfId="101" priority="107" stopIfTrue="1" operator="equal">
      <formula>"Towel"</formula>
    </cfRule>
    <cfRule type="cellIs" dxfId="100" priority="108" stopIfTrue="1" operator="equal">
      <formula>"Napkin Hs"</formula>
    </cfRule>
  </conditionalFormatting>
  <conditionalFormatting sqref="C140">
    <cfRule type="cellIs" dxfId="99" priority="106" stopIfTrue="1" operator="equal">
      <formula>"Napkin Hs"</formula>
    </cfRule>
  </conditionalFormatting>
  <conditionalFormatting sqref="C140">
    <cfRule type="cellIs" dxfId="98" priority="103" stopIfTrue="1" operator="equal">
      <formula>"Towel"</formula>
    </cfRule>
    <cfRule type="cellIs" dxfId="97" priority="104" stopIfTrue="1" operator="equal">
      <formula>"Napkin Hs"</formula>
    </cfRule>
  </conditionalFormatting>
  <conditionalFormatting sqref="C140">
    <cfRule type="cellIs" dxfId="96" priority="105" stopIfTrue="1" operator="equal">
      <formula>"Towel"</formula>
    </cfRule>
  </conditionalFormatting>
  <conditionalFormatting sqref="B148:C148 C147">
    <cfRule type="cellIs" dxfId="95" priority="101" stopIfTrue="1" operator="equal">
      <formula>"Towel"</formula>
    </cfRule>
    <cfRule type="cellIs" dxfId="94" priority="102" stopIfTrue="1" operator="equal">
      <formula>"Napkin Hs"</formula>
    </cfRule>
  </conditionalFormatting>
  <conditionalFormatting sqref="C147:C148">
    <cfRule type="cellIs" dxfId="93" priority="100" stopIfTrue="1" operator="equal">
      <formula>"Napkin Hs"</formula>
    </cfRule>
  </conditionalFormatting>
  <conditionalFormatting sqref="C147:C148">
    <cfRule type="cellIs" dxfId="92" priority="97" stopIfTrue="1" operator="equal">
      <formula>"Towel"</formula>
    </cfRule>
    <cfRule type="cellIs" dxfId="91" priority="98" stopIfTrue="1" operator="equal">
      <formula>"Napkin Hs"</formula>
    </cfRule>
  </conditionalFormatting>
  <conditionalFormatting sqref="C147:C148">
    <cfRule type="cellIs" dxfId="90" priority="99" stopIfTrue="1" operator="equal">
      <formula>"Towel"</formula>
    </cfRule>
  </conditionalFormatting>
  <conditionalFormatting sqref="B147">
    <cfRule type="cellIs" dxfId="89" priority="95" stopIfTrue="1" operator="equal">
      <formula>"Towel"</formula>
    </cfRule>
    <cfRule type="cellIs" dxfId="88" priority="96" stopIfTrue="1" operator="equal">
      <formula>"Napkin Hs"</formula>
    </cfRule>
  </conditionalFormatting>
  <conditionalFormatting sqref="B145:C146">
    <cfRule type="cellIs" dxfId="87" priority="93" stopIfTrue="1" operator="equal">
      <formula>"Towel"</formula>
    </cfRule>
    <cfRule type="cellIs" dxfId="86" priority="94" stopIfTrue="1" operator="equal">
      <formula>"Napkin Hs"</formula>
    </cfRule>
  </conditionalFormatting>
  <conditionalFormatting sqref="C145:C146">
    <cfRule type="cellIs" dxfId="85" priority="92" stopIfTrue="1" operator="equal">
      <formula>"Napkin Hs"</formula>
    </cfRule>
  </conditionalFormatting>
  <conditionalFormatting sqref="C145:C146">
    <cfRule type="cellIs" dxfId="84" priority="89" stopIfTrue="1" operator="equal">
      <formula>"Towel"</formula>
    </cfRule>
    <cfRule type="cellIs" dxfId="83" priority="90" stopIfTrue="1" operator="equal">
      <formula>"Napkin Hs"</formula>
    </cfRule>
  </conditionalFormatting>
  <conditionalFormatting sqref="C145:C146">
    <cfRule type="cellIs" dxfId="82" priority="91" stopIfTrue="1" operator="equal">
      <formula>"Towel"</formula>
    </cfRule>
  </conditionalFormatting>
  <conditionalFormatting sqref="B153:C153 C152">
    <cfRule type="cellIs" dxfId="81" priority="87" stopIfTrue="1" operator="equal">
      <formula>"Towel"</formula>
    </cfRule>
    <cfRule type="cellIs" dxfId="80" priority="88" stopIfTrue="1" operator="equal">
      <formula>"Napkin Hs"</formula>
    </cfRule>
  </conditionalFormatting>
  <conditionalFormatting sqref="C152:C153">
    <cfRule type="cellIs" dxfId="79" priority="86" stopIfTrue="1" operator="equal">
      <formula>"Napkin Hs"</formula>
    </cfRule>
  </conditionalFormatting>
  <conditionalFormatting sqref="C152:C153">
    <cfRule type="cellIs" dxfId="78" priority="83" stopIfTrue="1" operator="equal">
      <formula>"Towel"</formula>
    </cfRule>
    <cfRule type="cellIs" dxfId="77" priority="84" stopIfTrue="1" operator="equal">
      <formula>"Napkin Hs"</formula>
    </cfRule>
  </conditionalFormatting>
  <conditionalFormatting sqref="C152:C153">
    <cfRule type="cellIs" dxfId="76" priority="85" stopIfTrue="1" operator="equal">
      <formula>"Towel"</formula>
    </cfRule>
  </conditionalFormatting>
  <conditionalFormatting sqref="B152">
    <cfRule type="cellIs" dxfId="75" priority="81" stopIfTrue="1" operator="equal">
      <formula>"Towel"</formula>
    </cfRule>
    <cfRule type="cellIs" dxfId="74" priority="82" stopIfTrue="1" operator="equal">
      <formula>"Napkin Hs"</formula>
    </cfRule>
  </conditionalFormatting>
  <conditionalFormatting sqref="B150:C151">
    <cfRule type="cellIs" dxfId="73" priority="79" stopIfTrue="1" operator="equal">
      <formula>"Towel"</formula>
    </cfRule>
    <cfRule type="cellIs" dxfId="72" priority="80" stopIfTrue="1" operator="equal">
      <formula>"Napkin Hs"</formula>
    </cfRule>
  </conditionalFormatting>
  <conditionalFormatting sqref="C150:C151">
    <cfRule type="cellIs" dxfId="71" priority="78" stopIfTrue="1" operator="equal">
      <formula>"Napkin Hs"</formula>
    </cfRule>
  </conditionalFormatting>
  <conditionalFormatting sqref="C150:C151">
    <cfRule type="cellIs" dxfId="70" priority="75" stopIfTrue="1" operator="equal">
      <formula>"Towel"</formula>
    </cfRule>
    <cfRule type="cellIs" dxfId="69" priority="76" stopIfTrue="1" operator="equal">
      <formula>"Napkin Hs"</formula>
    </cfRule>
  </conditionalFormatting>
  <conditionalFormatting sqref="C150:C151">
    <cfRule type="cellIs" dxfId="68" priority="77" stopIfTrue="1" operator="equal">
      <formula>"Towel"</formula>
    </cfRule>
  </conditionalFormatting>
  <conditionalFormatting sqref="B158:C158 C157">
    <cfRule type="cellIs" dxfId="67" priority="73" stopIfTrue="1" operator="equal">
      <formula>"Towel"</formula>
    </cfRule>
    <cfRule type="cellIs" dxfId="66" priority="74" stopIfTrue="1" operator="equal">
      <formula>"Napkin Hs"</formula>
    </cfRule>
  </conditionalFormatting>
  <conditionalFormatting sqref="C157:C158">
    <cfRule type="cellIs" dxfId="65" priority="72" stopIfTrue="1" operator="equal">
      <formula>"Napkin Hs"</formula>
    </cfRule>
  </conditionalFormatting>
  <conditionalFormatting sqref="C157:C158">
    <cfRule type="cellIs" dxfId="64" priority="69" stopIfTrue="1" operator="equal">
      <formula>"Towel"</formula>
    </cfRule>
    <cfRule type="cellIs" dxfId="63" priority="70" stopIfTrue="1" operator="equal">
      <formula>"Napkin Hs"</formula>
    </cfRule>
  </conditionalFormatting>
  <conditionalFormatting sqref="C157:C158">
    <cfRule type="cellIs" dxfId="62" priority="71" stopIfTrue="1" operator="equal">
      <formula>"Towel"</formula>
    </cfRule>
  </conditionalFormatting>
  <conditionalFormatting sqref="B157">
    <cfRule type="cellIs" dxfId="61" priority="67" stopIfTrue="1" operator="equal">
      <formula>"Towel"</formula>
    </cfRule>
    <cfRule type="cellIs" dxfId="60" priority="68" stopIfTrue="1" operator="equal">
      <formula>"Napkin Hs"</formula>
    </cfRule>
  </conditionalFormatting>
  <conditionalFormatting sqref="B156:C156">
    <cfRule type="cellIs" dxfId="59" priority="65" stopIfTrue="1" operator="equal">
      <formula>"Towel"</formula>
    </cfRule>
    <cfRule type="cellIs" dxfId="58" priority="66" stopIfTrue="1" operator="equal">
      <formula>"Napkin Hs"</formula>
    </cfRule>
  </conditionalFormatting>
  <conditionalFormatting sqref="C156">
    <cfRule type="cellIs" dxfId="57" priority="64" stopIfTrue="1" operator="equal">
      <formula>"Napkin Hs"</formula>
    </cfRule>
  </conditionalFormatting>
  <conditionalFormatting sqref="C156">
    <cfRule type="cellIs" dxfId="56" priority="61" stopIfTrue="1" operator="equal">
      <formula>"Towel"</formula>
    </cfRule>
    <cfRule type="cellIs" dxfId="55" priority="62" stopIfTrue="1" operator="equal">
      <formula>"Napkin Hs"</formula>
    </cfRule>
  </conditionalFormatting>
  <conditionalFormatting sqref="C156">
    <cfRule type="cellIs" dxfId="54" priority="63" stopIfTrue="1" operator="equal">
      <formula>"Towel"</formula>
    </cfRule>
  </conditionalFormatting>
  <conditionalFormatting sqref="B155:C155">
    <cfRule type="cellIs" dxfId="53" priority="59" stopIfTrue="1" operator="equal">
      <formula>"Towel"</formula>
    </cfRule>
    <cfRule type="cellIs" dxfId="52" priority="60" stopIfTrue="1" operator="equal">
      <formula>"Napkin Hs"</formula>
    </cfRule>
  </conditionalFormatting>
  <conditionalFormatting sqref="C155">
    <cfRule type="cellIs" dxfId="51" priority="58" stopIfTrue="1" operator="equal">
      <formula>"Napkin Hs"</formula>
    </cfRule>
  </conditionalFormatting>
  <conditionalFormatting sqref="C155">
    <cfRule type="cellIs" dxfId="50" priority="55" stopIfTrue="1" operator="equal">
      <formula>"Towel"</formula>
    </cfRule>
    <cfRule type="cellIs" dxfId="49" priority="56" stopIfTrue="1" operator="equal">
      <formula>"Napkin Hs"</formula>
    </cfRule>
  </conditionalFormatting>
  <conditionalFormatting sqref="C155">
    <cfRule type="cellIs" dxfId="48" priority="57" stopIfTrue="1" operator="equal">
      <formula>"Towel"</formula>
    </cfRule>
  </conditionalFormatting>
  <conditionalFormatting sqref="B164:C164">
    <cfRule type="cellIs" dxfId="47" priority="53" stopIfTrue="1" operator="equal">
      <formula>"Towel"</formula>
    </cfRule>
    <cfRule type="cellIs" dxfId="46" priority="54" stopIfTrue="1" operator="equal">
      <formula>"Napkin Hs"</formula>
    </cfRule>
  </conditionalFormatting>
  <conditionalFormatting sqref="C164">
    <cfRule type="cellIs" dxfId="45" priority="52" stopIfTrue="1" operator="equal">
      <formula>"Napkin Hs"</formula>
    </cfRule>
  </conditionalFormatting>
  <conditionalFormatting sqref="C164">
    <cfRule type="cellIs" dxfId="44" priority="51" stopIfTrue="1" operator="equal">
      <formula>"Towel"</formula>
    </cfRule>
  </conditionalFormatting>
  <conditionalFormatting sqref="C164">
    <cfRule type="cellIs" dxfId="43" priority="49" stopIfTrue="1" operator="equal">
      <formula>"Towel"</formula>
    </cfRule>
    <cfRule type="cellIs" dxfId="42" priority="50" stopIfTrue="1" operator="equal">
      <formula>"Napkin Hs"</formula>
    </cfRule>
  </conditionalFormatting>
  <conditionalFormatting sqref="B163:C163 C162">
    <cfRule type="cellIs" dxfId="41" priority="47" stopIfTrue="1" operator="equal">
      <formula>"Towel"</formula>
    </cfRule>
    <cfRule type="cellIs" dxfId="40" priority="48" stopIfTrue="1" operator="equal">
      <formula>"Napkin Hs"</formula>
    </cfRule>
  </conditionalFormatting>
  <conditionalFormatting sqref="C162:C163">
    <cfRule type="cellIs" dxfId="39" priority="46" stopIfTrue="1" operator="equal">
      <formula>"Napkin Hs"</formula>
    </cfRule>
  </conditionalFormatting>
  <conditionalFormatting sqref="C162:C163">
    <cfRule type="cellIs" dxfId="38" priority="43" stopIfTrue="1" operator="equal">
      <formula>"Towel"</formula>
    </cfRule>
    <cfRule type="cellIs" dxfId="37" priority="44" stopIfTrue="1" operator="equal">
      <formula>"Napkin Hs"</formula>
    </cfRule>
  </conditionalFormatting>
  <conditionalFormatting sqref="C162:C163">
    <cfRule type="cellIs" dxfId="36" priority="45" stopIfTrue="1" operator="equal">
      <formula>"Towel"</formula>
    </cfRule>
  </conditionalFormatting>
  <conditionalFormatting sqref="B162">
    <cfRule type="cellIs" dxfId="35" priority="41" stopIfTrue="1" operator="equal">
      <formula>"Towel"</formula>
    </cfRule>
    <cfRule type="cellIs" dxfId="34" priority="42" stopIfTrue="1" operator="equal">
      <formula>"Napkin Hs"</formula>
    </cfRule>
  </conditionalFormatting>
  <conditionalFormatting sqref="B161:C161">
    <cfRule type="cellIs" dxfId="33" priority="39" stopIfTrue="1" operator="equal">
      <formula>"Towel"</formula>
    </cfRule>
    <cfRule type="cellIs" dxfId="32" priority="40" stopIfTrue="1" operator="equal">
      <formula>"Napkin Hs"</formula>
    </cfRule>
  </conditionalFormatting>
  <conditionalFormatting sqref="C161">
    <cfRule type="cellIs" dxfId="31" priority="38" stopIfTrue="1" operator="equal">
      <formula>"Napkin Hs"</formula>
    </cfRule>
  </conditionalFormatting>
  <conditionalFormatting sqref="C161">
    <cfRule type="cellIs" dxfId="30" priority="35" stopIfTrue="1" operator="equal">
      <formula>"Towel"</formula>
    </cfRule>
    <cfRule type="cellIs" dxfId="29" priority="36" stopIfTrue="1" operator="equal">
      <formula>"Napkin Hs"</formula>
    </cfRule>
  </conditionalFormatting>
  <conditionalFormatting sqref="C161">
    <cfRule type="cellIs" dxfId="28" priority="37" stopIfTrue="1" operator="equal">
      <formula>"Towel"</formula>
    </cfRule>
  </conditionalFormatting>
  <conditionalFormatting sqref="B160:C160">
    <cfRule type="cellIs" dxfId="27" priority="33" stopIfTrue="1" operator="equal">
      <formula>"Towel"</formula>
    </cfRule>
    <cfRule type="cellIs" dxfId="26" priority="34" stopIfTrue="1" operator="equal">
      <formula>"Napkin Hs"</formula>
    </cfRule>
  </conditionalFormatting>
  <conditionalFormatting sqref="C160">
    <cfRule type="cellIs" dxfId="25" priority="32" stopIfTrue="1" operator="equal">
      <formula>"Napkin Hs"</formula>
    </cfRule>
  </conditionalFormatting>
  <conditionalFormatting sqref="C160">
    <cfRule type="cellIs" dxfId="24" priority="29" stopIfTrue="1" operator="equal">
      <formula>"Towel"</formula>
    </cfRule>
    <cfRule type="cellIs" dxfId="23" priority="30" stopIfTrue="1" operator="equal">
      <formula>"Napkin Hs"</formula>
    </cfRule>
  </conditionalFormatting>
  <conditionalFormatting sqref="C160">
    <cfRule type="cellIs" dxfId="22" priority="31" stopIfTrue="1" operator="equal">
      <formula>"Towel"</formula>
    </cfRule>
  </conditionalFormatting>
  <conditionalFormatting sqref="C168 B169:C171">
    <cfRule type="cellIs" dxfId="21" priority="13" stopIfTrue="1" operator="equal">
      <formula>"Towel"</formula>
    </cfRule>
    <cfRule type="cellIs" dxfId="20" priority="14" stopIfTrue="1" operator="equal">
      <formula>"Napkin Hs"</formula>
    </cfRule>
  </conditionalFormatting>
  <conditionalFormatting sqref="C168:C171">
    <cfRule type="cellIs" dxfId="19" priority="12" stopIfTrue="1" operator="equal">
      <formula>"Napkin Hs"</formula>
    </cfRule>
  </conditionalFormatting>
  <conditionalFormatting sqref="C168:C171">
    <cfRule type="cellIs" dxfId="18" priority="9" stopIfTrue="1" operator="equal">
      <formula>"Towel"</formula>
    </cfRule>
    <cfRule type="cellIs" dxfId="17" priority="10" stopIfTrue="1" operator="equal">
      <formula>"Napkin Hs"</formula>
    </cfRule>
  </conditionalFormatting>
  <conditionalFormatting sqref="C168:C171">
    <cfRule type="cellIs" dxfId="16" priority="11" stopIfTrue="1" operator="equal">
      <formula>"Towel"</formula>
    </cfRule>
  </conditionalFormatting>
  <conditionalFormatting sqref="B168">
    <cfRule type="cellIs" dxfId="15" priority="7" stopIfTrue="1" operator="equal">
      <formula>"Towel"</formula>
    </cfRule>
    <cfRule type="cellIs" dxfId="14" priority="8" stopIfTrue="1" operator="equal">
      <formula>"Napkin Hs"</formula>
    </cfRule>
  </conditionalFormatting>
  <conditionalFormatting sqref="B166:C167">
    <cfRule type="cellIs" dxfId="13" priority="5" stopIfTrue="1" operator="equal">
      <formula>"Towel"</formula>
    </cfRule>
    <cfRule type="cellIs" dxfId="12" priority="6" stopIfTrue="1" operator="equal">
      <formula>"Napkin Hs"</formula>
    </cfRule>
  </conditionalFormatting>
  <conditionalFormatting sqref="C166:C167">
    <cfRule type="cellIs" dxfId="11" priority="4" stopIfTrue="1" operator="equal">
      <formula>"Napkin Hs"</formula>
    </cfRule>
  </conditionalFormatting>
  <conditionalFormatting sqref="C166:C167">
    <cfRule type="cellIs" dxfId="10" priority="1" stopIfTrue="1" operator="equal">
      <formula>"Towel"</formula>
    </cfRule>
    <cfRule type="cellIs" dxfId="9" priority="2" stopIfTrue="1" operator="equal">
      <formula>"Napkin Hs"</formula>
    </cfRule>
  </conditionalFormatting>
  <conditionalFormatting sqref="C166:C167">
    <cfRule type="cellIs" dxfId="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XFD45"/>
  <sheetViews>
    <sheetView tabSelected="1" zoomScale="85" workbookViewId="0">
      <pane xSplit="5" ySplit="8" topLeftCell="JI27" activePane="bottomRight" state="frozen"/>
      <selection pane="topRight" activeCell="E1" sqref="E1"/>
      <selection pane="bottomLeft" activeCell="A9" sqref="A9"/>
      <selection pane="bottomRight" activeCell="KT34" sqref="KT34"/>
    </sheetView>
  </sheetViews>
  <sheetFormatPr defaultColWidth="10.42578125" defaultRowHeight="15" customHeight="1"/>
  <cols>
    <col min="1" max="1" width="8.140625" style="265" customWidth="1"/>
    <col min="2" max="2" width="13.5703125" style="265" customWidth="1"/>
    <col min="3" max="3" width="12.5703125" style="266" customWidth="1"/>
    <col min="4" max="4" width="11.140625" style="266" customWidth="1"/>
    <col min="5" max="5" width="19.140625" style="267" customWidth="1"/>
    <col min="6" max="17" width="12.42578125" style="522" customWidth="1"/>
    <col min="18" max="20" width="12.42578125" style="522" hidden="1" customWidth="1"/>
    <col min="21" max="23" width="12.42578125" style="522" customWidth="1"/>
    <col min="24" max="26" width="12.42578125" style="522" hidden="1" customWidth="1"/>
    <col min="27" max="41" width="12.42578125" style="522" customWidth="1"/>
    <col min="42" max="47" width="12.42578125" style="522" hidden="1" customWidth="1"/>
    <col min="48" max="56" width="12.42578125" style="522" customWidth="1"/>
    <col min="57" max="65" width="12.42578125" style="522" hidden="1" customWidth="1"/>
    <col min="66" max="86" width="12.42578125" style="522" customWidth="1"/>
    <col min="87" max="104" width="12.42578125" style="522" hidden="1" customWidth="1"/>
    <col min="105" max="107" width="12.42578125" style="522" customWidth="1"/>
    <col min="108" max="131" width="12.42578125" style="522" hidden="1" customWidth="1"/>
    <col min="132" max="152" width="12.42578125" style="522" customWidth="1"/>
    <col min="153" max="188" width="12.42578125" style="522" hidden="1" customWidth="1"/>
    <col min="189" max="269" width="12.42578125" style="522" customWidth="1"/>
    <col min="270" max="272" width="9.28515625" style="522" customWidth="1"/>
    <col min="273" max="273" width="5.7109375" style="522" bestFit="1" customWidth="1"/>
    <col min="274" max="274" width="7" style="522" bestFit="1" customWidth="1"/>
    <col min="275" max="275" width="5.85546875" style="522" bestFit="1" customWidth="1"/>
    <col min="276" max="278" width="5.5703125" style="522" customWidth="1"/>
    <col min="279" max="303" width="5.5703125" style="522" hidden="1" customWidth="1"/>
    <col min="304" max="304" width="8.7109375" style="522" hidden="1" customWidth="1"/>
    <col min="305" max="305" width="7.7109375" style="522" hidden="1" customWidth="1"/>
    <col min="306" max="306" width="21" style="522" bestFit="1" customWidth="1"/>
    <col min="307" max="307" width="19.85546875" style="522" bestFit="1" customWidth="1"/>
    <col min="308" max="16384" width="10.42578125" style="265"/>
  </cols>
  <sheetData>
    <row r="1" spans="1:308" ht="15" customHeight="1">
      <c r="A1" s="261"/>
      <c r="B1" s="262"/>
      <c r="C1" s="263"/>
      <c r="D1" s="263"/>
      <c r="E1" s="264"/>
    </row>
    <row r="2" spans="1:308" ht="15" customHeight="1">
      <c r="A2" s="261"/>
    </row>
    <row r="3" spans="1:308" ht="15" customHeight="1">
      <c r="A3" s="269"/>
    </row>
    <row r="4" spans="1:308" ht="15" customHeight="1">
      <c r="A4" s="499" t="s">
        <v>387</v>
      </c>
    </row>
    <row r="5" spans="1:308" ht="15" customHeight="1" thickBot="1">
      <c r="F5" s="732" t="s">
        <v>303</v>
      </c>
      <c r="G5" s="733"/>
      <c r="H5" s="733"/>
      <c r="I5" s="733"/>
      <c r="J5" s="733"/>
      <c r="K5" s="733"/>
      <c r="L5" s="733"/>
      <c r="M5" s="733"/>
      <c r="N5" s="733"/>
      <c r="O5" s="733"/>
      <c r="P5" s="733"/>
      <c r="Q5" s="733"/>
      <c r="R5" s="733"/>
      <c r="S5" s="733"/>
      <c r="T5" s="733"/>
      <c r="U5" s="733"/>
      <c r="V5" s="733"/>
      <c r="W5" s="733"/>
      <c r="X5" s="733"/>
      <c r="Y5" s="733"/>
      <c r="Z5" s="733"/>
      <c r="AA5" s="733"/>
      <c r="AB5" s="733"/>
      <c r="AC5" s="733"/>
      <c r="AD5" s="733"/>
      <c r="AE5" s="733"/>
      <c r="AF5" s="733"/>
      <c r="AG5" s="733"/>
      <c r="AH5" s="733"/>
      <c r="AI5" s="733"/>
      <c r="AJ5" s="733"/>
      <c r="AK5" s="733"/>
      <c r="AL5" s="733"/>
      <c r="AM5" s="733"/>
      <c r="AN5" s="733"/>
      <c r="AO5" s="733"/>
      <c r="AP5" s="733"/>
      <c r="AQ5" s="733"/>
      <c r="AR5" s="733"/>
      <c r="AS5" s="733"/>
      <c r="AT5" s="733"/>
      <c r="AU5" s="733"/>
      <c r="AV5" s="733"/>
      <c r="AW5" s="733"/>
      <c r="AX5" s="733"/>
      <c r="AY5" s="733"/>
      <c r="AZ5" s="733"/>
      <c r="BA5" s="733"/>
      <c r="BB5" s="733"/>
      <c r="BC5" s="733"/>
      <c r="BD5" s="733"/>
      <c r="BE5" s="733"/>
      <c r="BF5" s="733"/>
      <c r="BG5" s="733"/>
      <c r="BH5" s="733"/>
      <c r="BI5" s="733"/>
      <c r="BJ5" s="733"/>
      <c r="BK5" s="733"/>
      <c r="BL5" s="733"/>
      <c r="BM5" s="733"/>
      <c r="BN5" s="733"/>
      <c r="BO5" s="733"/>
      <c r="BP5" s="733"/>
      <c r="BQ5" s="733"/>
      <c r="BR5" s="733"/>
      <c r="BS5" s="733"/>
      <c r="BT5" s="733"/>
      <c r="BU5" s="733"/>
      <c r="BV5" s="733"/>
      <c r="BW5" s="733"/>
      <c r="BX5" s="733"/>
      <c r="BY5" s="733"/>
      <c r="BZ5" s="733"/>
      <c r="CA5" s="733"/>
      <c r="CB5" s="733"/>
      <c r="CC5" s="733"/>
      <c r="CD5" s="733"/>
      <c r="CE5" s="733"/>
      <c r="CF5" s="733"/>
      <c r="CG5" s="733"/>
      <c r="CH5" s="733"/>
      <c r="CI5" s="733"/>
      <c r="CJ5" s="733"/>
      <c r="CK5" s="733"/>
      <c r="CL5" s="733"/>
      <c r="CM5" s="733"/>
      <c r="CN5" s="733"/>
      <c r="CO5" s="733"/>
      <c r="CP5" s="733"/>
      <c r="CQ5" s="733"/>
      <c r="CR5" s="733"/>
      <c r="CS5" s="733"/>
      <c r="CT5" s="733"/>
      <c r="CU5" s="733"/>
      <c r="CV5" s="733"/>
      <c r="CW5" s="733"/>
      <c r="CX5" s="733"/>
      <c r="CY5" s="733"/>
      <c r="CZ5" s="733"/>
      <c r="DA5" s="733"/>
      <c r="DB5" s="733"/>
      <c r="DC5" s="733"/>
      <c r="DD5" s="733"/>
      <c r="DE5" s="733"/>
      <c r="DF5" s="733"/>
      <c r="DG5" s="733"/>
      <c r="DH5" s="733"/>
      <c r="DI5" s="733"/>
      <c r="DJ5" s="733"/>
      <c r="DK5" s="733"/>
      <c r="DL5" s="733"/>
      <c r="DM5" s="733"/>
      <c r="DN5" s="733"/>
      <c r="DO5" s="733"/>
      <c r="DP5" s="733"/>
      <c r="DQ5" s="733"/>
      <c r="DR5" s="733"/>
      <c r="DS5" s="733"/>
      <c r="DT5" s="733"/>
      <c r="DU5" s="733"/>
      <c r="DV5" s="733"/>
      <c r="DW5" s="733"/>
      <c r="DX5" s="733"/>
      <c r="DY5" s="733"/>
      <c r="DZ5" s="733"/>
      <c r="EA5" s="733"/>
      <c r="EB5" s="733"/>
      <c r="EC5" s="733"/>
      <c r="ED5" s="733"/>
      <c r="EE5" s="733"/>
      <c r="EF5" s="733"/>
      <c r="EG5" s="733"/>
      <c r="EH5" s="733"/>
      <c r="EI5" s="733"/>
      <c r="EJ5" s="733"/>
      <c r="EK5" s="733"/>
      <c r="EL5" s="733"/>
      <c r="EM5" s="733"/>
      <c r="EN5" s="733"/>
      <c r="EO5" s="733"/>
      <c r="EP5" s="733"/>
      <c r="EQ5" s="733"/>
      <c r="ER5" s="733"/>
      <c r="ES5" s="733"/>
      <c r="ET5" s="733"/>
      <c r="EU5" s="733"/>
      <c r="EV5" s="733"/>
      <c r="EW5" s="733"/>
      <c r="EX5" s="733"/>
      <c r="EY5" s="733"/>
      <c r="EZ5" s="733"/>
      <c r="FA5" s="733"/>
      <c r="FB5" s="733"/>
      <c r="FC5" s="733"/>
      <c r="FD5" s="733"/>
      <c r="FE5" s="733"/>
      <c r="FF5" s="733"/>
      <c r="FG5" s="733"/>
      <c r="FH5" s="733"/>
      <c r="FI5" s="733"/>
      <c r="FJ5" s="733"/>
      <c r="FK5" s="733"/>
      <c r="FL5" s="733"/>
      <c r="FM5" s="733"/>
      <c r="FN5" s="733"/>
      <c r="FO5" s="733"/>
      <c r="FP5" s="733"/>
      <c r="FQ5" s="733"/>
      <c r="FR5" s="733"/>
      <c r="FS5" s="733"/>
      <c r="FT5" s="733"/>
      <c r="FU5" s="733"/>
      <c r="FV5" s="733"/>
      <c r="FW5" s="733"/>
      <c r="FX5" s="733"/>
      <c r="FY5" s="733"/>
      <c r="FZ5" s="733"/>
      <c r="GA5" s="733"/>
      <c r="GB5" s="733"/>
      <c r="GC5" s="734"/>
      <c r="GD5" s="732" t="s">
        <v>304</v>
      </c>
      <c r="GE5" s="733"/>
      <c r="GF5" s="733"/>
      <c r="GG5" s="733"/>
      <c r="GH5" s="733"/>
      <c r="GI5" s="733"/>
      <c r="GJ5" s="733"/>
      <c r="GK5" s="733"/>
      <c r="GL5" s="733"/>
      <c r="GM5" s="733"/>
      <c r="GN5" s="733"/>
      <c r="GO5" s="733"/>
      <c r="GP5" s="733"/>
      <c r="GQ5" s="733"/>
      <c r="GR5" s="733"/>
      <c r="GS5" s="733"/>
      <c r="GT5" s="733"/>
      <c r="GU5" s="733"/>
      <c r="GV5" s="733"/>
      <c r="GW5" s="733"/>
      <c r="GX5" s="733"/>
      <c r="GY5" s="733"/>
      <c r="GZ5" s="733"/>
      <c r="HA5" s="733"/>
      <c r="HB5" s="733"/>
      <c r="HC5" s="733"/>
      <c r="HD5" s="733"/>
      <c r="HE5" s="733"/>
      <c r="HF5" s="733"/>
      <c r="HG5" s="733"/>
      <c r="HH5" s="733"/>
      <c r="HI5" s="733"/>
      <c r="HJ5" s="733"/>
      <c r="HK5" s="733"/>
      <c r="HL5" s="733"/>
      <c r="HM5" s="733"/>
      <c r="HN5" s="733"/>
      <c r="HO5" s="733"/>
      <c r="HP5" s="733"/>
      <c r="HQ5" s="733"/>
      <c r="HR5" s="733"/>
      <c r="HS5" s="733"/>
      <c r="HT5" s="733"/>
      <c r="HU5" s="733"/>
      <c r="HV5" s="733"/>
      <c r="HW5" s="733"/>
      <c r="HX5" s="733"/>
      <c r="HY5" s="733"/>
      <c r="HZ5" s="733"/>
      <c r="IA5" s="733"/>
      <c r="IB5" s="733"/>
      <c r="IC5" s="733"/>
      <c r="ID5" s="733"/>
      <c r="IE5" s="733"/>
      <c r="IF5" s="733"/>
      <c r="IG5" s="733"/>
      <c r="IH5" s="733"/>
      <c r="II5" s="733"/>
      <c r="IJ5" s="733"/>
      <c r="IK5" s="733"/>
      <c r="IL5" s="733"/>
      <c r="IM5" s="733"/>
      <c r="IN5" s="733"/>
      <c r="IO5" s="733"/>
      <c r="IP5" s="733"/>
      <c r="IQ5" s="733"/>
      <c r="IR5" s="733"/>
      <c r="IS5" s="733"/>
      <c r="IT5" s="733"/>
      <c r="IU5" s="733"/>
      <c r="IV5" s="733"/>
      <c r="IW5" s="733"/>
      <c r="IX5" s="733"/>
      <c r="IY5" s="733"/>
      <c r="IZ5" s="733"/>
      <c r="JA5" s="733"/>
      <c r="JB5" s="733"/>
      <c r="JC5" s="733"/>
      <c r="JD5" s="733"/>
      <c r="JE5" s="733"/>
      <c r="JF5" s="733"/>
      <c r="JG5" s="733"/>
      <c r="JH5" s="733"/>
      <c r="JI5" s="733"/>
      <c r="JJ5" s="733"/>
      <c r="JK5" s="733"/>
      <c r="JL5" s="733"/>
      <c r="JM5" s="733"/>
      <c r="JN5" s="733"/>
      <c r="JO5" s="733"/>
      <c r="JP5" s="733"/>
      <c r="JQ5" s="733"/>
      <c r="JR5" s="733"/>
      <c r="JS5" s="733"/>
      <c r="JT5" s="733"/>
      <c r="JU5" s="733"/>
      <c r="JV5" s="733"/>
      <c r="JW5" s="733"/>
      <c r="JX5" s="733"/>
      <c r="JY5" s="733"/>
      <c r="JZ5" s="733"/>
      <c r="KA5" s="733"/>
      <c r="KB5" s="733"/>
      <c r="KC5" s="733"/>
      <c r="KD5" s="733"/>
      <c r="KE5" s="733"/>
      <c r="KF5" s="733"/>
      <c r="KG5" s="733"/>
      <c r="KH5" s="733"/>
      <c r="KI5" s="733"/>
      <c r="KJ5" s="733"/>
      <c r="KK5" s="733"/>
      <c r="KL5" s="733"/>
      <c r="KM5" s="733"/>
      <c r="KN5" s="733"/>
      <c r="KO5" s="733"/>
      <c r="KP5" s="733"/>
      <c r="KQ5" s="733"/>
      <c r="KR5" s="733"/>
      <c r="KS5" s="734"/>
      <c r="KT5" s="740" t="s">
        <v>305</v>
      </c>
      <c r="KU5" s="740" t="s">
        <v>304</v>
      </c>
    </row>
    <row r="6" spans="1:308" ht="31.5" customHeight="1">
      <c r="A6" s="720" t="s">
        <v>30</v>
      </c>
      <c r="B6" s="723" t="s">
        <v>6</v>
      </c>
      <c r="C6" s="723" t="s">
        <v>7</v>
      </c>
      <c r="D6" s="729" t="s">
        <v>45</v>
      </c>
      <c r="E6" s="726" t="s">
        <v>43</v>
      </c>
      <c r="F6" s="738" t="s">
        <v>306</v>
      </c>
      <c r="G6" s="741"/>
      <c r="H6" s="739"/>
      <c r="I6" s="738" t="s">
        <v>307</v>
      </c>
      <c r="J6" s="741"/>
      <c r="K6" s="739"/>
      <c r="L6" s="738" t="s">
        <v>308</v>
      </c>
      <c r="M6" s="741"/>
      <c r="N6" s="739"/>
      <c r="O6" s="738" t="s">
        <v>309</v>
      </c>
      <c r="P6" s="741"/>
      <c r="Q6" s="739"/>
      <c r="R6" s="738" t="s">
        <v>310</v>
      </c>
      <c r="S6" s="741"/>
      <c r="T6" s="739"/>
      <c r="U6" s="738" t="s">
        <v>311</v>
      </c>
      <c r="V6" s="741"/>
      <c r="W6" s="739"/>
      <c r="X6" s="738" t="s">
        <v>312</v>
      </c>
      <c r="Y6" s="741"/>
      <c r="Z6" s="739"/>
      <c r="AA6" s="738" t="s">
        <v>313</v>
      </c>
      <c r="AB6" s="741"/>
      <c r="AC6" s="739"/>
      <c r="AD6" s="738" t="s">
        <v>314</v>
      </c>
      <c r="AE6" s="741"/>
      <c r="AF6" s="739"/>
      <c r="AG6" s="738" t="s">
        <v>315</v>
      </c>
      <c r="AH6" s="741"/>
      <c r="AI6" s="739"/>
      <c r="AJ6" s="738" t="s">
        <v>316</v>
      </c>
      <c r="AK6" s="741"/>
      <c r="AL6" s="739"/>
      <c r="AM6" s="738" t="s">
        <v>317</v>
      </c>
      <c r="AN6" s="741"/>
      <c r="AO6" s="739"/>
      <c r="AP6" s="738" t="s">
        <v>318</v>
      </c>
      <c r="AQ6" s="741"/>
      <c r="AR6" s="739"/>
      <c r="AS6" s="738" t="s">
        <v>319</v>
      </c>
      <c r="AT6" s="741"/>
      <c r="AU6" s="739"/>
      <c r="AV6" s="738" t="s">
        <v>320</v>
      </c>
      <c r="AW6" s="741"/>
      <c r="AX6" s="739"/>
      <c r="AY6" s="735" t="s">
        <v>321</v>
      </c>
      <c r="AZ6" s="736"/>
      <c r="BA6" s="736"/>
      <c r="BB6" s="735" t="s">
        <v>322</v>
      </c>
      <c r="BC6" s="736"/>
      <c r="BD6" s="737"/>
      <c r="BE6" s="735" t="s">
        <v>323</v>
      </c>
      <c r="BF6" s="736"/>
      <c r="BG6" s="736"/>
      <c r="BH6" s="735" t="s">
        <v>324</v>
      </c>
      <c r="BI6" s="736"/>
      <c r="BJ6" s="737"/>
      <c r="BK6" s="735" t="s">
        <v>325</v>
      </c>
      <c r="BL6" s="736"/>
      <c r="BM6" s="736"/>
      <c r="BN6" s="735" t="s">
        <v>326</v>
      </c>
      <c r="BO6" s="736"/>
      <c r="BP6" s="737"/>
      <c r="BQ6" s="735" t="s">
        <v>327</v>
      </c>
      <c r="BR6" s="736"/>
      <c r="BS6" s="736"/>
      <c r="BT6" s="735" t="s">
        <v>328</v>
      </c>
      <c r="BU6" s="736"/>
      <c r="BV6" s="737"/>
      <c r="BW6" s="735" t="s">
        <v>329</v>
      </c>
      <c r="BX6" s="736"/>
      <c r="BY6" s="736"/>
      <c r="BZ6" s="735" t="s">
        <v>330</v>
      </c>
      <c r="CA6" s="736"/>
      <c r="CB6" s="737"/>
      <c r="CC6" s="735" t="s">
        <v>331</v>
      </c>
      <c r="CD6" s="736"/>
      <c r="CE6" s="736"/>
      <c r="CF6" s="735" t="s">
        <v>332</v>
      </c>
      <c r="CG6" s="736"/>
      <c r="CH6" s="737"/>
      <c r="CI6" s="735" t="s">
        <v>333</v>
      </c>
      <c r="CJ6" s="736"/>
      <c r="CK6" s="736"/>
      <c r="CL6" s="735" t="s">
        <v>334</v>
      </c>
      <c r="CM6" s="736"/>
      <c r="CN6" s="737"/>
      <c r="CO6" s="735" t="s">
        <v>335</v>
      </c>
      <c r="CP6" s="736"/>
      <c r="CQ6" s="736"/>
      <c r="CR6" s="735" t="s">
        <v>336</v>
      </c>
      <c r="CS6" s="736"/>
      <c r="CT6" s="737"/>
      <c r="CU6" s="735" t="s">
        <v>230</v>
      </c>
      <c r="CV6" s="736"/>
      <c r="CW6" s="736"/>
      <c r="CX6" s="735" t="s">
        <v>337</v>
      </c>
      <c r="CY6" s="736"/>
      <c r="CZ6" s="737"/>
      <c r="DA6" s="735" t="s">
        <v>338</v>
      </c>
      <c r="DB6" s="736"/>
      <c r="DC6" s="736"/>
      <c r="DD6" s="735" t="s">
        <v>339</v>
      </c>
      <c r="DE6" s="736"/>
      <c r="DF6" s="737"/>
      <c r="DG6" s="735" t="s">
        <v>340</v>
      </c>
      <c r="DH6" s="736"/>
      <c r="DI6" s="736"/>
      <c r="DJ6" s="735" t="s">
        <v>341</v>
      </c>
      <c r="DK6" s="736"/>
      <c r="DL6" s="737"/>
      <c r="DM6" s="735" t="s">
        <v>342</v>
      </c>
      <c r="DN6" s="736"/>
      <c r="DO6" s="736"/>
      <c r="DP6" s="735" t="s">
        <v>343</v>
      </c>
      <c r="DQ6" s="736"/>
      <c r="DR6" s="737"/>
      <c r="DS6" s="735" t="s">
        <v>344</v>
      </c>
      <c r="DT6" s="736"/>
      <c r="DU6" s="736"/>
      <c r="DV6" s="735" t="s">
        <v>345</v>
      </c>
      <c r="DW6" s="736"/>
      <c r="DX6" s="737"/>
      <c r="DY6" s="735" t="s">
        <v>346</v>
      </c>
      <c r="DZ6" s="736"/>
      <c r="EA6" s="736"/>
      <c r="EB6" s="735" t="s">
        <v>368</v>
      </c>
      <c r="EC6" s="736"/>
      <c r="ED6" s="737"/>
      <c r="EE6" s="735" t="s">
        <v>442</v>
      </c>
      <c r="EF6" s="736"/>
      <c r="EG6" s="736"/>
      <c r="EH6" s="735" t="s">
        <v>443</v>
      </c>
      <c r="EI6" s="736"/>
      <c r="EJ6" s="737"/>
      <c r="EK6" s="735" t="s">
        <v>444</v>
      </c>
      <c r="EL6" s="736"/>
      <c r="EM6" s="736"/>
      <c r="EN6" s="735" t="s">
        <v>445</v>
      </c>
      <c r="EO6" s="736"/>
      <c r="EP6" s="737"/>
      <c r="EQ6" s="735" t="s">
        <v>446</v>
      </c>
      <c r="ER6" s="736"/>
      <c r="ES6" s="736"/>
      <c r="ET6" s="735"/>
      <c r="EU6" s="736"/>
      <c r="EV6" s="737"/>
      <c r="EW6" s="735"/>
      <c r="EX6" s="736"/>
      <c r="EY6" s="736"/>
      <c r="EZ6" s="735"/>
      <c r="FA6" s="736"/>
      <c r="FB6" s="737"/>
      <c r="FC6" s="735"/>
      <c r="FD6" s="736"/>
      <c r="FE6" s="736"/>
      <c r="FF6" s="735"/>
      <c r="FG6" s="736"/>
      <c r="FH6" s="737"/>
      <c r="FI6" s="735"/>
      <c r="FJ6" s="736"/>
      <c r="FK6" s="736"/>
      <c r="FL6" s="735"/>
      <c r="FM6" s="736"/>
      <c r="FN6" s="737"/>
      <c r="FO6" s="735"/>
      <c r="FP6" s="736"/>
      <c r="FQ6" s="736"/>
      <c r="FR6" s="735"/>
      <c r="FS6" s="736"/>
      <c r="FT6" s="737"/>
      <c r="FU6" s="735"/>
      <c r="FV6" s="736"/>
      <c r="FW6" s="736"/>
      <c r="FX6" s="735"/>
      <c r="FY6" s="736"/>
      <c r="FZ6" s="737"/>
      <c r="GA6" s="735"/>
      <c r="GB6" s="736"/>
      <c r="GC6" s="736"/>
      <c r="GD6" s="735" t="s">
        <v>347</v>
      </c>
      <c r="GE6" s="736"/>
      <c r="GF6" s="737"/>
      <c r="GG6" s="742" t="s">
        <v>299</v>
      </c>
      <c r="GH6" s="743"/>
      <c r="GI6" s="743"/>
      <c r="GJ6" s="735" t="s">
        <v>348</v>
      </c>
      <c r="GK6" s="736"/>
      <c r="GL6" s="737"/>
      <c r="GM6" s="735" t="s">
        <v>349</v>
      </c>
      <c r="GN6" s="736"/>
      <c r="GO6" s="736"/>
      <c r="GP6" s="735" t="s">
        <v>350</v>
      </c>
      <c r="GQ6" s="736"/>
      <c r="GR6" s="737"/>
      <c r="GS6" s="735" t="s">
        <v>351</v>
      </c>
      <c r="GT6" s="736"/>
      <c r="GU6" s="736"/>
      <c r="GV6" s="735" t="s">
        <v>352</v>
      </c>
      <c r="GW6" s="736"/>
      <c r="GX6" s="737"/>
      <c r="GY6" s="735" t="s">
        <v>353</v>
      </c>
      <c r="GZ6" s="736"/>
      <c r="HA6" s="736"/>
      <c r="HB6" s="735" t="s">
        <v>330</v>
      </c>
      <c r="HC6" s="736"/>
      <c r="HD6" s="737"/>
      <c r="HE6" s="735" t="s">
        <v>345</v>
      </c>
      <c r="HF6" s="736"/>
      <c r="HG6" s="736"/>
      <c r="HH6" s="735" t="s">
        <v>344</v>
      </c>
      <c r="HI6" s="736"/>
      <c r="HJ6" s="737"/>
      <c r="HK6" s="735" t="s">
        <v>326</v>
      </c>
      <c r="HL6" s="736"/>
      <c r="HM6" s="736"/>
      <c r="HN6" s="735" t="s">
        <v>231</v>
      </c>
      <c r="HO6" s="736"/>
      <c r="HP6" s="737"/>
      <c r="HQ6" s="735" t="s">
        <v>230</v>
      </c>
      <c r="HR6" s="736"/>
      <c r="HS6" s="736"/>
      <c r="HT6" s="735" t="s">
        <v>354</v>
      </c>
      <c r="HU6" s="736"/>
      <c r="HV6" s="737"/>
      <c r="HW6" s="735" t="s">
        <v>355</v>
      </c>
      <c r="HX6" s="736"/>
      <c r="HY6" s="736"/>
      <c r="HZ6" s="735" t="s">
        <v>356</v>
      </c>
      <c r="IA6" s="736"/>
      <c r="IB6" s="737"/>
      <c r="IC6" s="735" t="s">
        <v>357</v>
      </c>
      <c r="ID6" s="736"/>
      <c r="IE6" s="736"/>
      <c r="IF6" s="735" t="s">
        <v>358</v>
      </c>
      <c r="IG6" s="736"/>
      <c r="IH6" s="737"/>
      <c r="II6" s="744" t="s">
        <v>332</v>
      </c>
      <c r="IJ6" s="744"/>
      <c r="IK6" s="744"/>
      <c r="IL6" s="735" t="s">
        <v>335</v>
      </c>
      <c r="IM6" s="736"/>
      <c r="IN6" s="737"/>
      <c r="IO6" s="735" t="s">
        <v>336</v>
      </c>
      <c r="IP6" s="736"/>
      <c r="IQ6" s="736"/>
      <c r="IR6" s="735" t="s">
        <v>331</v>
      </c>
      <c r="IS6" s="736"/>
      <c r="IT6" s="737"/>
      <c r="IU6" s="735" t="s">
        <v>359</v>
      </c>
      <c r="IV6" s="736"/>
      <c r="IW6" s="736"/>
      <c r="IX6" s="735" t="s">
        <v>338</v>
      </c>
      <c r="IY6" s="736"/>
      <c r="IZ6" s="737"/>
      <c r="JA6" s="735" t="s">
        <v>360</v>
      </c>
      <c r="JB6" s="736"/>
      <c r="JC6" s="736"/>
      <c r="JD6" s="735" t="s">
        <v>186</v>
      </c>
      <c r="JE6" s="736"/>
      <c r="JF6" s="737"/>
      <c r="JG6" s="735" t="s">
        <v>361</v>
      </c>
      <c r="JH6" s="736"/>
      <c r="JI6" s="736"/>
      <c r="JJ6" s="735" t="s">
        <v>379</v>
      </c>
      <c r="JK6" s="736"/>
      <c r="JL6" s="737"/>
      <c r="JM6" s="735" t="s">
        <v>500</v>
      </c>
      <c r="JN6" s="736"/>
      <c r="JO6" s="736"/>
      <c r="JP6" s="735"/>
      <c r="JQ6" s="736"/>
      <c r="JR6" s="737"/>
      <c r="JS6" s="735"/>
      <c r="JT6" s="736"/>
      <c r="JU6" s="736"/>
      <c r="JV6" s="735"/>
      <c r="JW6" s="736"/>
      <c r="JX6" s="737"/>
      <c r="JY6" s="735"/>
      <c r="JZ6" s="736"/>
      <c r="KA6" s="736"/>
      <c r="KB6" s="735"/>
      <c r="KC6" s="736"/>
      <c r="KD6" s="737"/>
      <c r="KE6" s="735"/>
      <c r="KF6" s="736"/>
      <c r="KG6" s="736"/>
      <c r="KH6" s="735"/>
      <c r="KI6" s="736"/>
      <c r="KJ6" s="737"/>
      <c r="KK6" s="735"/>
      <c r="KL6" s="736"/>
      <c r="KM6" s="736"/>
      <c r="KN6" s="735"/>
      <c r="KO6" s="736"/>
      <c r="KP6" s="737"/>
      <c r="KQ6" s="744"/>
      <c r="KR6" s="744"/>
      <c r="KS6" s="744"/>
      <c r="KT6" s="740"/>
      <c r="KU6" s="740"/>
    </row>
    <row r="7" spans="1:308" ht="15" customHeight="1">
      <c r="A7" s="721"/>
      <c r="B7" s="724"/>
      <c r="C7" s="724"/>
      <c r="D7" s="730"/>
      <c r="E7" s="727"/>
      <c r="F7" s="738" t="s">
        <v>148</v>
      </c>
      <c r="G7" s="739"/>
      <c r="H7" s="523" t="s">
        <v>362</v>
      </c>
      <c r="I7" s="738" t="s">
        <v>148</v>
      </c>
      <c r="J7" s="739"/>
      <c r="K7" s="523" t="s">
        <v>362</v>
      </c>
      <c r="L7" s="738" t="s">
        <v>148</v>
      </c>
      <c r="M7" s="739"/>
      <c r="N7" s="523" t="s">
        <v>362</v>
      </c>
      <c r="O7" s="738" t="s">
        <v>148</v>
      </c>
      <c r="P7" s="739"/>
      <c r="Q7" s="523" t="s">
        <v>362</v>
      </c>
      <c r="R7" s="738" t="s">
        <v>148</v>
      </c>
      <c r="S7" s="739"/>
      <c r="T7" s="523" t="s">
        <v>362</v>
      </c>
      <c r="U7" s="738" t="s">
        <v>148</v>
      </c>
      <c r="V7" s="739"/>
      <c r="W7" s="523" t="s">
        <v>362</v>
      </c>
      <c r="X7" s="738" t="s">
        <v>148</v>
      </c>
      <c r="Y7" s="739"/>
      <c r="Z7" s="523" t="s">
        <v>362</v>
      </c>
      <c r="AA7" s="738" t="s">
        <v>148</v>
      </c>
      <c r="AB7" s="739"/>
      <c r="AC7" s="523" t="s">
        <v>362</v>
      </c>
      <c r="AD7" s="738" t="s">
        <v>148</v>
      </c>
      <c r="AE7" s="739"/>
      <c r="AF7" s="523" t="s">
        <v>362</v>
      </c>
      <c r="AG7" s="738" t="s">
        <v>148</v>
      </c>
      <c r="AH7" s="739"/>
      <c r="AI7" s="523" t="s">
        <v>362</v>
      </c>
      <c r="AJ7" s="738" t="s">
        <v>148</v>
      </c>
      <c r="AK7" s="739"/>
      <c r="AL7" s="523" t="s">
        <v>362</v>
      </c>
      <c r="AM7" s="738" t="s">
        <v>148</v>
      </c>
      <c r="AN7" s="739"/>
      <c r="AO7" s="523" t="s">
        <v>362</v>
      </c>
      <c r="AP7" s="738" t="s">
        <v>148</v>
      </c>
      <c r="AQ7" s="739"/>
      <c r="AR7" s="523" t="s">
        <v>362</v>
      </c>
      <c r="AS7" s="738" t="s">
        <v>148</v>
      </c>
      <c r="AT7" s="739"/>
      <c r="AU7" s="523" t="s">
        <v>362</v>
      </c>
      <c r="AV7" s="738" t="s">
        <v>148</v>
      </c>
      <c r="AW7" s="739"/>
      <c r="AX7" s="523" t="s">
        <v>362</v>
      </c>
      <c r="AY7" s="738" t="s">
        <v>148</v>
      </c>
      <c r="AZ7" s="739"/>
      <c r="BA7" s="523" t="s">
        <v>362</v>
      </c>
      <c r="BB7" s="738" t="s">
        <v>148</v>
      </c>
      <c r="BC7" s="739"/>
      <c r="BD7" s="523" t="s">
        <v>362</v>
      </c>
      <c r="BE7" s="738" t="s">
        <v>148</v>
      </c>
      <c r="BF7" s="739"/>
      <c r="BG7" s="523" t="s">
        <v>362</v>
      </c>
      <c r="BH7" s="738" t="s">
        <v>148</v>
      </c>
      <c r="BI7" s="739"/>
      <c r="BJ7" s="523" t="s">
        <v>362</v>
      </c>
      <c r="BK7" s="738" t="s">
        <v>148</v>
      </c>
      <c r="BL7" s="739"/>
      <c r="BM7" s="523" t="s">
        <v>362</v>
      </c>
      <c r="BN7" s="738" t="s">
        <v>148</v>
      </c>
      <c r="BO7" s="739"/>
      <c r="BP7" s="523" t="s">
        <v>362</v>
      </c>
      <c r="BQ7" s="738" t="s">
        <v>148</v>
      </c>
      <c r="BR7" s="739"/>
      <c r="BS7" s="523" t="s">
        <v>362</v>
      </c>
      <c r="BT7" s="738" t="s">
        <v>148</v>
      </c>
      <c r="BU7" s="739"/>
      <c r="BV7" s="523" t="s">
        <v>362</v>
      </c>
      <c r="BW7" s="738" t="s">
        <v>148</v>
      </c>
      <c r="BX7" s="739"/>
      <c r="BY7" s="523" t="s">
        <v>362</v>
      </c>
      <c r="BZ7" s="738" t="s">
        <v>148</v>
      </c>
      <c r="CA7" s="739"/>
      <c r="CB7" s="523" t="s">
        <v>362</v>
      </c>
      <c r="CC7" s="738" t="s">
        <v>148</v>
      </c>
      <c r="CD7" s="739"/>
      <c r="CE7" s="523" t="s">
        <v>362</v>
      </c>
      <c r="CF7" s="738" t="s">
        <v>148</v>
      </c>
      <c r="CG7" s="739"/>
      <c r="CH7" s="523" t="s">
        <v>362</v>
      </c>
      <c r="CI7" s="738" t="s">
        <v>148</v>
      </c>
      <c r="CJ7" s="739"/>
      <c r="CK7" s="523" t="s">
        <v>362</v>
      </c>
      <c r="CL7" s="738" t="s">
        <v>148</v>
      </c>
      <c r="CM7" s="739"/>
      <c r="CN7" s="523" t="s">
        <v>362</v>
      </c>
      <c r="CO7" s="738" t="s">
        <v>148</v>
      </c>
      <c r="CP7" s="739"/>
      <c r="CQ7" s="523" t="s">
        <v>362</v>
      </c>
      <c r="CR7" s="738" t="s">
        <v>148</v>
      </c>
      <c r="CS7" s="739"/>
      <c r="CT7" s="523" t="s">
        <v>362</v>
      </c>
      <c r="CU7" s="738" t="s">
        <v>148</v>
      </c>
      <c r="CV7" s="739"/>
      <c r="CW7" s="523" t="s">
        <v>362</v>
      </c>
      <c r="CX7" s="738" t="s">
        <v>148</v>
      </c>
      <c r="CY7" s="739"/>
      <c r="CZ7" s="523" t="s">
        <v>362</v>
      </c>
      <c r="DA7" s="738" t="s">
        <v>148</v>
      </c>
      <c r="DB7" s="739"/>
      <c r="DC7" s="523" t="s">
        <v>362</v>
      </c>
      <c r="DD7" s="738" t="s">
        <v>148</v>
      </c>
      <c r="DE7" s="739"/>
      <c r="DF7" s="523" t="s">
        <v>362</v>
      </c>
      <c r="DG7" s="738" t="s">
        <v>148</v>
      </c>
      <c r="DH7" s="739"/>
      <c r="DI7" s="523" t="s">
        <v>362</v>
      </c>
      <c r="DJ7" s="738" t="s">
        <v>148</v>
      </c>
      <c r="DK7" s="739"/>
      <c r="DL7" s="523" t="s">
        <v>362</v>
      </c>
      <c r="DM7" s="738" t="s">
        <v>148</v>
      </c>
      <c r="DN7" s="739"/>
      <c r="DO7" s="523" t="s">
        <v>362</v>
      </c>
      <c r="DP7" s="738" t="s">
        <v>148</v>
      </c>
      <c r="DQ7" s="739"/>
      <c r="DR7" s="523" t="s">
        <v>362</v>
      </c>
      <c r="DS7" s="738" t="s">
        <v>148</v>
      </c>
      <c r="DT7" s="739"/>
      <c r="DU7" s="523" t="s">
        <v>362</v>
      </c>
      <c r="DV7" s="738" t="s">
        <v>148</v>
      </c>
      <c r="DW7" s="739"/>
      <c r="DX7" s="523" t="s">
        <v>362</v>
      </c>
      <c r="DY7" s="738" t="s">
        <v>148</v>
      </c>
      <c r="DZ7" s="739"/>
      <c r="EA7" s="523" t="s">
        <v>362</v>
      </c>
      <c r="EB7" s="738" t="s">
        <v>148</v>
      </c>
      <c r="EC7" s="739"/>
      <c r="ED7" s="523" t="s">
        <v>362</v>
      </c>
      <c r="EE7" s="738" t="s">
        <v>148</v>
      </c>
      <c r="EF7" s="739"/>
      <c r="EG7" s="523" t="s">
        <v>362</v>
      </c>
      <c r="EH7" s="738" t="s">
        <v>148</v>
      </c>
      <c r="EI7" s="739"/>
      <c r="EJ7" s="523" t="s">
        <v>362</v>
      </c>
      <c r="EK7" s="738" t="s">
        <v>148</v>
      </c>
      <c r="EL7" s="739"/>
      <c r="EM7" s="523" t="s">
        <v>362</v>
      </c>
      <c r="EN7" s="738" t="s">
        <v>148</v>
      </c>
      <c r="EO7" s="739"/>
      <c r="EP7" s="523" t="s">
        <v>362</v>
      </c>
      <c r="EQ7" s="738" t="s">
        <v>148</v>
      </c>
      <c r="ER7" s="739"/>
      <c r="ES7" s="523" t="s">
        <v>362</v>
      </c>
      <c r="ET7" s="738" t="s">
        <v>148</v>
      </c>
      <c r="EU7" s="739"/>
      <c r="EV7" s="523" t="s">
        <v>362</v>
      </c>
      <c r="EW7" s="738" t="s">
        <v>148</v>
      </c>
      <c r="EX7" s="739"/>
      <c r="EY7" s="523" t="s">
        <v>362</v>
      </c>
      <c r="EZ7" s="738" t="s">
        <v>148</v>
      </c>
      <c r="FA7" s="739"/>
      <c r="FB7" s="523" t="s">
        <v>362</v>
      </c>
      <c r="FC7" s="738" t="s">
        <v>148</v>
      </c>
      <c r="FD7" s="739"/>
      <c r="FE7" s="523" t="s">
        <v>362</v>
      </c>
      <c r="FF7" s="738" t="s">
        <v>148</v>
      </c>
      <c r="FG7" s="739"/>
      <c r="FH7" s="523" t="s">
        <v>362</v>
      </c>
      <c r="FI7" s="738" t="s">
        <v>148</v>
      </c>
      <c r="FJ7" s="739"/>
      <c r="FK7" s="523" t="s">
        <v>362</v>
      </c>
      <c r="FL7" s="738" t="s">
        <v>148</v>
      </c>
      <c r="FM7" s="739"/>
      <c r="FN7" s="523" t="s">
        <v>362</v>
      </c>
      <c r="FO7" s="738" t="s">
        <v>148</v>
      </c>
      <c r="FP7" s="739"/>
      <c r="FQ7" s="523" t="s">
        <v>362</v>
      </c>
      <c r="FR7" s="738" t="s">
        <v>148</v>
      </c>
      <c r="FS7" s="739"/>
      <c r="FT7" s="523" t="s">
        <v>362</v>
      </c>
      <c r="FU7" s="738" t="s">
        <v>148</v>
      </c>
      <c r="FV7" s="739"/>
      <c r="FW7" s="523" t="s">
        <v>362</v>
      </c>
      <c r="FX7" s="738" t="s">
        <v>148</v>
      </c>
      <c r="FY7" s="739"/>
      <c r="FZ7" s="523" t="s">
        <v>362</v>
      </c>
      <c r="GA7" s="738" t="s">
        <v>148</v>
      </c>
      <c r="GB7" s="739"/>
      <c r="GC7" s="523" t="s">
        <v>362</v>
      </c>
      <c r="GD7" s="738" t="s">
        <v>148</v>
      </c>
      <c r="GE7" s="739"/>
      <c r="GF7" s="523" t="s">
        <v>362</v>
      </c>
      <c r="GG7" s="738" t="s">
        <v>148</v>
      </c>
      <c r="GH7" s="739"/>
      <c r="GI7" s="523" t="s">
        <v>362</v>
      </c>
      <c r="GJ7" s="738" t="s">
        <v>148</v>
      </c>
      <c r="GK7" s="739"/>
      <c r="GL7" s="523" t="s">
        <v>362</v>
      </c>
      <c r="GM7" s="738" t="s">
        <v>148</v>
      </c>
      <c r="GN7" s="739"/>
      <c r="GO7" s="523" t="s">
        <v>362</v>
      </c>
      <c r="GP7" s="738" t="s">
        <v>148</v>
      </c>
      <c r="GQ7" s="739"/>
      <c r="GR7" s="523" t="s">
        <v>362</v>
      </c>
      <c r="GS7" s="738" t="s">
        <v>148</v>
      </c>
      <c r="GT7" s="739"/>
      <c r="GU7" s="523" t="s">
        <v>362</v>
      </c>
      <c r="GV7" s="738" t="s">
        <v>148</v>
      </c>
      <c r="GW7" s="739"/>
      <c r="GX7" s="523" t="s">
        <v>362</v>
      </c>
      <c r="GY7" s="738" t="s">
        <v>148</v>
      </c>
      <c r="GZ7" s="739"/>
      <c r="HA7" s="523" t="s">
        <v>362</v>
      </c>
      <c r="HB7" s="738" t="s">
        <v>148</v>
      </c>
      <c r="HC7" s="739"/>
      <c r="HD7" s="523" t="s">
        <v>362</v>
      </c>
      <c r="HE7" s="738" t="s">
        <v>148</v>
      </c>
      <c r="HF7" s="739"/>
      <c r="HG7" s="523" t="s">
        <v>362</v>
      </c>
      <c r="HH7" s="738" t="s">
        <v>148</v>
      </c>
      <c r="HI7" s="739"/>
      <c r="HJ7" s="523" t="s">
        <v>362</v>
      </c>
      <c r="HK7" s="738" t="s">
        <v>148</v>
      </c>
      <c r="HL7" s="739"/>
      <c r="HM7" s="523" t="s">
        <v>362</v>
      </c>
      <c r="HN7" s="738" t="s">
        <v>148</v>
      </c>
      <c r="HO7" s="739"/>
      <c r="HP7" s="523" t="s">
        <v>362</v>
      </c>
      <c r="HQ7" s="738" t="s">
        <v>148</v>
      </c>
      <c r="HR7" s="739"/>
      <c r="HS7" s="523" t="s">
        <v>362</v>
      </c>
      <c r="HT7" s="738" t="s">
        <v>148</v>
      </c>
      <c r="HU7" s="739"/>
      <c r="HV7" s="523" t="s">
        <v>362</v>
      </c>
      <c r="HW7" s="738" t="s">
        <v>148</v>
      </c>
      <c r="HX7" s="739"/>
      <c r="HY7" s="523" t="s">
        <v>362</v>
      </c>
      <c r="HZ7" s="738" t="s">
        <v>148</v>
      </c>
      <c r="IA7" s="739"/>
      <c r="IB7" s="523" t="s">
        <v>362</v>
      </c>
      <c r="IC7" s="738" t="s">
        <v>148</v>
      </c>
      <c r="ID7" s="739"/>
      <c r="IE7" s="523" t="s">
        <v>362</v>
      </c>
      <c r="IF7" s="738" t="s">
        <v>148</v>
      </c>
      <c r="IG7" s="739"/>
      <c r="IH7" s="523" t="s">
        <v>362</v>
      </c>
      <c r="II7" s="744" t="s">
        <v>148</v>
      </c>
      <c r="IJ7" s="744"/>
      <c r="IK7" s="524" t="s">
        <v>362</v>
      </c>
      <c r="IL7" s="738" t="s">
        <v>148</v>
      </c>
      <c r="IM7" s="739"/>
      <c r="IN7" s="523" t="s">
        <v>362</v>
      </c>
      <c r="IO7" s="738" t="s">
        <v>148</v>
      </c>
      <c r="IP7" s="739"/>
      <c r="IQ7" s="523" t="s">
        <v>362</v>
      </c>
      <c r="IR7" s="738" t="s">
        <v>148</v>
      </c>
      <c r="IS7" s="739"/>
      <c r="IT7" s="523" t="s">
        <v>362</v>
      </c>
      <c r="IU7" s="738" t="s">
        <v>148</v>
      </c>
      <c r="IV7" s="739"/>
      <c r="IW7" s="523" t="s">
        <v>362</v>
      </c>
      <c r="IX7" s="738" t="s">
        <v>148</v>
      </c>
      <c r="IY7" s="739"/>
      <c r="IZ7" s="523" t="s">
        <v>362</v>
      </c>
      <c r="JA7" s="738" t="s">
        <v>148</v>
      </c>
      <c r="JB7" s="739"/>
      <c r="JC7" s="523" t="s">
        <v>362</v>
      </c>
      <c r="JD7" s="738" t="s">
        <v>148</v>
      </c>
      <c r="JE7" s="739"/>
      <c r="JF7" s="523" t="s">
        <v>362</v>
      </c>
      <c r="JG7" s="738" t="s">
        <v>148</v>
      </c>
      <c r="JH7" s="739"/>
      <c r="JI7" s="523" t="s">
        <v>362</v>
      </c>
      <c r="JJ7" s="738" t="s">
        <v>148</v>
      </c>
      <c r="JK7" s="739"/>
      <c r="JL7" s="523" t="s">
        <v>362</v>
      </c>
      <c r="JM7" s="738" t="s">
        <v>148</v>
      </c>
      <c r="JN7" s="739"/>
      <c r="JO7" s="523" t="s">
        <v>362</v>
      </c>
      <c r="JP7" s="738" t="s">
        <v>148</v>
      </c>
      <c r="JQ7" s="739"/>
      <c r="JR7" s="523" t="s">
        <v>362</v>
      </c>
      <c r="JS7" s="738" t="s">
        <v>148</v>
      </c>
      <c r="JT7" s="739"/>
      <c r="JU7" s="523" t="s">
        <v>362</v>
      </c>
      <c r="JV7" s="738" t="s">
        <v>148</v>
      </c>
      <c r="JW7" s="739"/>
      <c r="JX7" s="523" t="s">
        <v>362</v>
      </c>
      <c r="JY7" s="738" t="s">
        <v>148</v>
      </c>
      <c r="JZ7" s="739"/>
      <c r="KA7" s="523" t="s">
        <v>362</v>
      </c>
      <c r="KB7" s="738" t="s">
        <v>148</v>
      </c>
      <c r="KC7" s="739"/>
      <c r="KD7" s="523" t="s">
        <v>362</v>
      </c>
      <c r="KE7" s="738" t="s">
        <v>148</v>
      </c>
      <c r="KF7" s="739"/>
      <c r="KG7" s="523" t="s">
        <v>362</v>
      </c>
      <c r="KH7" s="738" t="s">
        <v>148</v>
      </c>
      <c r="KI7" s="739"/>
      <c r="KJ7" s="523" t="s">
        <v>362</v>
      </c>
      <c r="KK7" s="738" t="s">
        <v>148</v>
      </c>
      <c r="KL7" s="739"/>
      <c r="KM7" s="523" t="s">
        <v>362</v>
      </c>
      <c r="KN7" s="738" t="s">
        <v>148</v>
      </c>
      <c r="KO7" s="739"/>
      <c r="KP7" s="523" t="s">
        <v>362</v>
      </c>
      <c r="KQ7" s="744" t="s">
        <v>148</v>
      </c>
      <c r="KR7" s="744"/>
      <c r="KS7" s="524" t="s">
        <v>362</v>
      </c>
      <c r="KT7" s="740"/>
      <c r="KU7" s="740"/>
    </row>
    <row r="8" spans="1:308" ht="15" customHeight="1" thickBot="1">
      <c r="A8" s="722"/>
      <c r="B8" s="725"/>
      <c r="C8" s="725"/>
      <c r="D8" s="731"/>
      <c r="E8" s="728"/>
      <c r="F8" s="525" t="s">
        <v>149</v>
      </c>
      <c r="G8" s="525" t="s">
        <v>44</v>
      </c>
      <c r="H8" s="526"/>
      <c r="I8" s="525" t="s">
        <v>149</v>
      </c>
      <c r="J8" s="525" t="s">
        <v>44</v>
      </c>
      <c r="K8" s="526"/>
      <c r="L8" s="525" t="s">
        <v>149</v>
      </c>
      <c r="M8" s="525" t="s">
        <v>44</v>
      </c>
      <c r="N8" s="526"/>
      <c r="O8" s="525" t="s">
        <v>149</v>
      </c>
      <c r="P8" s="525" t="s">
        <v>44</v>
      </c>
      <c r="Q8" s="526"/>
      <c r="R8" s="525" t="s">
        <v>149</v>
      </c>
      <c r="S8" s="525" t="s">
        <v>44</v>
      </c>
      <c r="T8" s="526"/>
      <c r="U8" s="525" t="s">
        <v>149</v>
      </c>
      <c r="V8" s="525" t="s">
        <v>44</v>
      </c>
      <c r="W8" s="526"/>
      <c r="X8" s="525" t="s">
        <v>149</v>
      </c>
      <c r="Y8" s="525" t="s">
        <v>44</v>
      </c>
      <c r="Z8" s="526"/>
      <c r="AA8" s="525" t="s">
        <v>149</v>
      </c>
      <c r="AB8" s="525" t="s">
        <v>44</v>
      </c>
      <c r="AC8" s="526"/>
      <c r="AD8" s="525" t="s">
        <v>149</v>
      </c>
      <c r="AE8" s="525" t="s">
        <v>44</v>
      </c>
      <c r="AF8" s="526"/>
      <c r="AG8" s="525" t="s">
        <v>149</v>
      </c>
      <c r="AH8" s="525" t="s">
        <v>44</v>
      </c>
      <c r="AI8" s="526"/>
      <c r="AJ8" s="525" t="s">
        <v>149</v>
      </c>
      <c r="AK8" s="525" t="s">
        <v>44</v>
      </c>
      <c r="AL8" s="526"/>
      <c r="AM8" s="525" t="s">
        <v>149</v>
      </c>
      <c r="AN8" s="525" t="s">
        <v>44</v>
      </c>
      <c r="AO8" s="526"/>
      <c r="AP8" s="525" t="s">
        <v>149</v>
      </c>
      <c r="AQ8" s="525" t="s">
        <v>44</v>
      </c>
      <c r="AR8" s="526"/>
      <c r="AS8" s="525" t="s">
        <v>149</v>
      </c>
      <c r="AT8" s="525" t="s">
        <v>44</v>
      </c>
      <c r="AU8" s="526"/>
      <c r="AV8" s="525" t="s">
        <v>149</v>
      </c>
      <c r="AW8" s="525" t="s">
        <v>44</v>
      </c>
      <c r="AX8" s="526"/>
      <c r="AY8" s="525" t="s">
        <v>149</v>
      </c>
      <c r="AZ8" s="525" t="s">
        <v>44</v>
      </c>
      <c r="BA8" s="526"/>
      <c r="BB8" s="525" t="s">
        <v>149</v>
      </c>
      <c r="BC8" s="525" t="s">
        <v>44</v>
      </c>
      <c r="BD8" s="526"/>
      <c r="BE8" s="525" t="s">
        <v>149</v>
      </c>
      <c r="BF8" s="525" t="s">
        <v>44</v>
      </c>
      <c r="BG8" s="526"/>
      <c r="BH8" s="525" t="s">
        <v>149</v>
      </c>
      <c r="BI8" s="525" t="s">
        <v>44</v>
      </c>
      <c r="BJ8" s="526"/>
      <c r="BK8" s="525" t="s">
        <v>149</v>
      </c>
      <c r="BL8" s="525" t="s">
        <v>44</v>
      </c>
      <c r="BM8" s="526"/>
      <c r="BN8" s="525" t="s">
        <v>149</v>
      </c>
      <c r="BO8" s="525" t="s">
        <v>44</v>
      </c>
      <c r="BP8" s="526"/>
      <c r="BQ8" s="525" t="s">
        <v>149</v>
      </c>
      <c r="BR8" s="525" t="s">
        <v>44</v>
      </c>
      <c r="BS8" s="526"/>
      <c r="BT8" s="525" t="s">
        <v>149</v>
      </c>
      <c r="BU8" s="525" t="s">
        <v>44</v>
      </c>
      <c r="BV8" s="526"/>
      <c r="BW8" s="525" t="s">
        <v>149</v>
      </c>
      <c r="BX8" s="525" t="s">
        <v>44</v>
      </c>
      <c r="BY8" s="526"/>
      <c r="BZ8" s="525" t="s">
        <v>149</v>
      </c>
      <c r="CA8" s="525" t="s">
        <v>44</v>
      </c>
      <c r="CB8" s="526"/>
      <c r="CC8" s="525" t="s">
        <v>149</v>
      </c>
      <c r="CD8" s="525" t="s">
        <v>44</v>
      </c>
      <c r="CE8" s="526"/>
      <c r="CF8" s="525" t="s">
        <v>149</v>
      </c>
      <c r="CG8" s="525" t="s">
        <v>44</v>
      </c>
      <c r="CH8" s="526"/>
      <c r="CI8" s="525" t="s">
        <v>149</v>
      </c>
      <c r="CJ8" s="525" t="s">
        <v>44</v>
      </c>
      <c r="CK8" s="526"/>
      <c r="CL8" s="525" t="s">
        <v>149</v>
      </c>
      <c r="CM8" s="525" t="s">
        <v>44</v>
      </c>
      <c r="CN8" s="526"/>
      <c r="CO8" s="525" t="s">
        <v>149</v>
      </c>
      <c r="CP8" s="525" t="s">
        <v>44</v>
      </c>
      <c r="CQ8" s="526"/>
      <c r="CR8" s="525" t="s">
        <v>149</v>
      </c>
      <c r="CS8" s="525" t="s">
        <v>44</v>
      </c>
      <c r="CT8" s="526"/>
      <c r="CU8" s="525" t="s">
        <v>149</v>
      </c>
      <c r="CV8" s="525" t="s">
        <v>44</v>
      </c>
      <c r="CW8" s="526"/>
      <c r="CX8" s="525" t="s">
        <v>149</v>
      </c>
      <c r="CY8" s="525" t="s">
        <v>44</v>
      </c>
      <c r="CZ8" s="526"/>
      <c r="DA8" s="525" t="s">
        <v>149</v>
      </c>
      <c r="DB8" s="525" t="s">
        <v>44</v>
      </c>
      <c r="DC8" s="526"/>
      <c r="DD8" s="525" t="s">
        <v>149</v>
      </c>
      <c r="DE8" s="525" t="s">
        <v>44</v>
      </c>
      <c r="DF8" s="526"/>
      <c r="DG8" s="525" t="s">
        <v>149</v>
      </c>
      <c r="DH8" s="525" t="s">
        <v>44</v>
      </c>
      <c r="DI8" s="526"/>
      <c r="DJ8" s="525" t="s">
        <v>149</v>
      </c>
      <c r="DK8" s="525" t="s">
        <v>44</v>
      </c>
      <c r="DL8" s="526"/>
      <c r="DM8" s="525" t="s">
        <v>149</v>
      </c>
      <c r="DN8" s="525" t="s">
        <v>44</v>
      </c>
      <c r="DO8" s="526"/>
      <c r="DP8" s="525" t="s">
        <v>149</v>
      </c>
      <c r="DQ8" s="525" t="s">
        <v>44</v>
      </c>
      <c r="DR8" s="526"/>
      <c r="DS8" s="525" t="s">
        <v>149</v>
      </c>
      <c r="DT8" s="525" t="s">
        <v>44</v>
      </c>
      <c r="DU8" s="526"/>
      <c r="DV8" s="525" t="s">
        <v>149</v>
      </c>
      <c r="DW8" s="525" t="s">
        <v>44</v>
      </c>
      <c r="DX8" s="526"/>
      <c r="DY8" s="525" t="s">
        <v>149</v>
      </c>
      <c r="DZ8" s="525" t="s">
        <v>44</v>
      </c>
      <c r="EA8" s="526"/>
      <c r="EB8" s="525" t="s">
        <v>149</v>
      </c>
      <c r="EC8" s="525" t="s">
        <v>44</v>
      </c>
      <c r="ED8" s="523"/>
      <c r="EE8" s="525" t="s">
        <v>149</v>
      </c>
      <c r="EF8" s="525" t="s">
        <v>44</v>
      </c>
      <c r="EG8" s="526"/>
      <c r="EH8" s="525" t="s">
        <v>149</v>
      </c>
      <c r="EI8" s="525" t="s">
        <v>44</v>
      </c>
      <c r="EJ8" s="526"/>
      <c r="EK8" s="525" t="s">
        <v>149</v>
      </c>
      <c r="EL8" s="525" t="s">
        <v>44</v>
      </c>
      <c r="EM8" s="526"/>
      <c r="EN8" s="525" t="s">
        <v>149</v>
      </c>
      <c r="EO8" s="525" t="s">
        <v>44</v>
      </c>
      <c r="EP8" s="526"/>
      <c r="EQ8" s="525" t="s">
        <v>149</v>
      </c>
      <c r="ER8" s="525" t="s">
        <v>44</v>
      </c>
      <c r="ES8" s="526"/>
      <c r="ET8" s="525" t="s">
        <v>149</v>
      </c>
      <c r="EU8" s="525" t="s">
        <v>44</v>
      </c>
      <c r="EV8" s="526"/>
      <c r="EW8" s="525" t="s">
        <v>149</v>
      </c>
      <c r="EX8" s="525" t="s">
        <v>44</v>
      </c>
      <c r="EY8" s="526"/>
      <c r="EZ8" s="525" t="s">
        <v>149</v>
      </c>
      <c r="FA8" s="525" t="s">
        <v>44</v>
      </c>
      <c r="FB8" s="526"/>
      <c r="FC8" s="525" t="s">
        <v>149</v>
      </c>
      <c r="FD8" s="525" t="s">
        <v>44</v>
      </c>
      <c r="FE8" s="526"/>
      <c r="FF8" s="525" t="s">
        <v>149</v>
      </c>
      <c r="FG8" s="525" t="s">
        <v>44</v>
      </c>
      <c r="FH8" s="526"/>
      <c r="FI8" s="525" t="s">
        <v>149</v>
      </c>
      <c r="FJ8" s="525" t="s">
        <v>44</v>
      </c>
      <c r="FK8" s="526"/>
      <c r="FL8" s="525" t="s">
        <v>149</v>
      </c>
      <c r="FM8" s="525" t="s">
        <v>44</v>
      </c>
      <c r="FN8" s="526"/>
      <c r="FO8" s="525" t="s">
        <v>149</v>
      </c>
      <c r="FP8" s="525" t="s">
        <v>44</v>
      </c>
      <c r="FQ8" s="526"/>
      <c r="FR8" s="525" t="s">
        <v>149</v>
      </c>
      <c r="FS8" s="525" t="s">
        <v>44</v>
      </c>
      <c r="FT8" s="526"/>
      <c r="FU8" s="525" t="s">
        <v>149</v>
      </c>
      <c r="FV8" s="525" t="s">
        <v>44</v>
      </c>
      <c r="FW8" s="526"/>
      <c r="FX8" s="525" t="s">
        <v>149</v>
      </c>
      <c r="FY8" s="525" t="s">
        <v>44</v>
      </c>
      <c r="FZ8" s="526"/>
      <c r="GA8" s="525" t="s">
        <v>149</v>
      </c>
      <c r="GB8" s="525" t="s">
        <v>44</v>
      </c>
      <c r="GC8" s="526"/>
      <c r="GD8" s="525" t="s">
        <v>149</v>
      </c>
      <c r="GE8" s="525" t="s">
        <v>44</v>
      </c>
      <c r="GF8" s="526"/>
      <c r="GG8" s="525" t="s">
        <v>149</v>
      </c>
      <c r="GH8" s="525" t="s">
        <v>44</v>
      </c>
      <c r="GI8" s="526"/>
      <c r="GJ8" s="525" t="s">
        <v>149</v>
      </c>
      <c r="GK8" s="525" t="s">
        <v>44</v>
      </c>
      <c r="GL8" s="526"/>
      <c r="GM8" s="525" t="s">
        <v>149</v>
      </c>
      <c r="GN8" s="525" t="s">
        <v>44</v>
      </c>
      <c r="GO8" s="526"/>
      <c r="GP8" s="525" t="s">
        <v>149</v>
      </c>
      <c r="GQ8" s="525" t="s">
        <v>44</v>
      </c>
      <c r="GR8" s="526"/>
      <c r="GS8" s="525" t="s">
        <v>149</v>
      </c>
      <c r="GT8" s="525" t="s">
        <v>44</v>
      </c>
      <c r="GU8" s="526"/>
      <c r="GV8" s="525" t="s">
        <v>149</v>
      </c>
      <c r="GW8" s="525" t="s">
        <v>44</v>
      </c>
      <c r="GX8" s="526"/>
      <c r="GY8" s="525" t="s">
        <v>149</v>
      </c>
      <c r="GZ8" s="525" t="s">
        <v>44</v>
      </c>
      <c r="HA8" s="526"/>
      <c r="HB8" s="525" t="s">
        <v>149</v>
      </c>
      <c r="HC8" s="525" t="s">
        <v>44</v>
      </c>
      <c r="HD8" s="526"/>
      <c r="HE8" s="525" t="s">
        <v>149</v>
      </c>
      <c r="HF8" s="525" t="s">
        <v>44</v>
      </c>
      <c r="HG8" s="526"/>
      <c r="HH8" s="525" t="s">
        <v>149</v>
      </c>
      <c r="HI8" s="525" t="s">
        <v>44</v>
      </c>
      <c r="HJ8" s="526"/>
      <c r="HK8" s="525" t="s">
        <v>149</v>
      </c>
      <c r="HL8" s="525" t="s">
        <v>44</v>
      </c>
      <c r="HM8" s="526"/>
      <c r="HN8" s="525" t="s">
        <v>149</v>
      </c>
      <c r="HO8" s="525" t="s">
        <v>44</v>
      </c>
      <c r="HP8" s="526"/>
      <c r="HQ8" s="525" t="s">
        <v>149</v>
      </c>
      <c r="HR8" s="525" t="s">
        <v>44</v>
      </c>
      <c r="HS8" s="526"/>
      <c r="HT8" s="525" t="s">
        <v>149</v>
      </c>
      <c r="HU8" s="525" t="s">
        <v>44</v>
      </c>
      <c r="HV8" s="526"/>
      <c r="HW8" s="525" t="s">
        <v>149</v>
      </c>
      <c r="HX8" s="525" t="s">
        <v>44</v>
      </c>
      <c r="HY8" s="526"/>
      <c r="HZ8" s="525" t="s">
        <v>149</v>
      </c>
      <c r="IA8" s="525" t="s">
        <v>44</v>
      </c>
      <c r="IB8" s="526"/>
      <c r="IC8" s="525" t="s">
        <v>149</v>
      </c>
      <c r="ID8" s="525" t="s">
        <v>44</v>
      </c>
      <c r="IE8" s="526"/>
      <c r="IF8" s="525" t="s">
        <v>149</v>
      </c>
      <c r="IG8" s="525" t="s">
        <v>44</v>
      </c>
      <c r="IH8" s="526"/>
      <c r="II8" s="525" t="s">
        <v>149</v>
      </c>
      <c r="IJ8" s="525" t="s">
        <v>44</v>
      </c>
      <c r="IK8" s="526"/>
      <c r="IL8" s="525" t="s">
        <v>149</v>
      </c>
      <c r="IM8" s="525" t="s">
        <v>44</v>
      </c>
      <c r="IN8" s="526"/>
      <c r="IO8" s="525" t="s">
        <v>149</v>
      </c>
      <c r="IP8" s="525" t="s">
        <v>44</v>
      </c>
      <c r="IQ8" s="526"/>
      <c r="IR8" s="525" t="s">
        <v>149</v>
      </c>
      <c r="IS8" s="525" t="s">
        <v>44</v>
      </c>
      <c r="IT8" s="526"/>
      <c r="IU8" s="525" t="s">
        <v>149</v>
      </c>
      <c r="IV8" s="525" t="s">
        <v>44</v>
      </c>
      <c r="IW8" s="526"/>
      <c r="IX8" s="525" t="s">
        <v>149</v>
      </c>
      <c r="IY8" s="525" t="s">
        <v>44</v>
      </c>
      <c r="IZ8" s="526"/>
      <c r="JA8" s="525" t="s">
        <v>149</v>
      </c>
      <c r="JB8" s="525" t="s">
        <v>44</v>
      </c>
      <c r="JC8" s="526"/>
      <c r="JD8" s="525" t="s">
        <v>149</v>
      </c>
      <c r="JE8" s="525" t="s">
        <v>44</v>
      </c>
      <c r="JF8" s="526"/>
      <c r="JG8" s="525" t="s">
        <v>149</v>
      </c>
      <c r="JH8" s="525" t="s">
        <v>44</v>
      </c>
      <c r="JI8" s="526"/>
      <c r="JJ8" s="525" t="s">
        <v>149</v>
      </c>
      <c r="JK8" s="525" t="s">
        <v>44</v>
      </c>
      <c r="JL8" s="526" t="s">
        <v>398</v>
      </c>
      <c r="JM8" s="525" t="s">
        <v>149</v>
      </c>
      <c r="JN8" s="525" t="s">
        <v>44</v>
      </c>
      <c r="JO8" s="526" t="s">
        <v>398</v>
      </c>
      <c r="JP8" s="525" t="s">
        <v>149</v>
      </c>
      <c r="JQ8" s="525" t="s">
        <v>44</v>
      </c>
      <c r="JR8" s="526" t="s">
        <v>398</v>
      </c>
      <c r="JS8" s="525" t="s">
        <v>149</v>
      </c>
      <c r="JT8" s="525" t="s">
        <v>44</v>
      </c>
      <c r="JU8" s="526" t="s">
        <v>398</v>
      </c>
      <c r="JV8" s="525" t="s">
        <v>149</v>
      </c>
      <c r="JW8" s="525" t="s">
        <v>44</v>
      </c>
      <c r="JX8" s="526" t="s">
        <v>398</v>
      </c>
      <c r="JY8" s="525" t="s">
        <v>149</v>
      </c>
      <c r="JZ8" s="525" t="s">
        <v>44</v>
      </c>
      <c r="KA8" s="526" t="s">
        <v>398</v>
      </c>
      <c r="KB8" s="525" t="s">
        <v>149</v>
      </c>
      <c r="KC8" s="525" t="s">
        <v>44</v>
      </c>
      <c r="KD8" s="526" t="s">
        <v>398</v>
      </c>
      <c r="KE8" s="525" t="s">
        <v>149</v>
      </c>
      <c r="KF8" s="525" t="s">
        <v>44</v>
      </c>
      <c r="KG8" s="526" t="s">
        <v>398</v>
      </c>
      <c r="KH8" s="525" t="s">
        <v>149</v>
      </c>
      <c r="KI8" s="525" t="s">
        <v>44</v>
      </c>
      <c r="KJ8" s="526" t="s">
        <v>398</v>
      </c>
      <c r="KK8" s="525" t="s">
        <v>149</v>
      </c>
      <c r="KL8" s="525" t="s">
        <v>44</v>
      </c>
      <c r="KM8" s="526" t="s">
        <v>398</v>
      </c>
      <c r="KN8" s="525" t="s">
        <v>149</v>
      </c>
      <c r="KO8" s="525" t="s">
        <v>44</v>
      </c>
      <c r="KP8" s="526" t="s">
        <v>398</v>
      </c>
      <c r="KQ8" s="525" t="s">
        <v>149</v>
      </c>
      <c r="KR8" s="525" t="s">
        <v>44</v>
      </c>
      <c r="KS8" s="526" t="s">
        <v>398</v>
      </c>
      <c r="KT8" s="740"/>
      <c r="KU8" s="740"/>
    </row>
    <row r="9" spans="1:308" ht="15" customHeight="1">
      <c r="A9" s="270">
        <f>+Report1!A9</f>
        <v>46082</v>
      </c>
      <c r="B9" s="271" t="str">
        <f>+Report1!B9</f>
        <v>Toilet</v>
      </c>
      <c r="C9" s="271" t="str">
        <f>+Report1!C9</f>
        <v>14/15,5</v>
      </c>
      <c r="D9" s="272">
        <f>+Report1!P9</f>
        <v>39.513000000000005</v>
      </c>
      <c r="E9" s="273">
        <f>+Report1!R9</f>
        <v>35.520000000000003</v>
      </c>
      <c r="F9" s="527"/>
      <c r="G9" s="528">
        <f t="shared" ref="G9:G39" si="0">+F9/$E9</f>
        <v>0</v>
      </c>
      <c r="H9" s="529">
        <f>+F9*$H$8</f>
        <v>0</v>
      </c>
      <c r="I9" s="527"/>
      <c r="J9" s="528">
        <f t="shared" ref="J9:J39" si="1">+I9/$E9</f>
        <v>0</v>
      </c>
      <c r="K9" s="529">
        <f>+I9*$H$8</f>
        <v>0</v>
      </c>
      <c r="L9" s="527"/>
      <c r="M9" s="528">
        <f t="shared" ref="M9:M39" si="2">+L9/$E9</f>
        <v>0</v>
      </c>
      <c r="N9" s="529">
        <f>+L9*$H$8</f>
        <v>0</v>
      </c>
      <c r="O9" s="527">
        <v>11.124400000000009</v>
      </c>
      <c r="P9" s="528">
        <f t="shared" ref="P9:P39" si="3">+O9/$E9</f>
        <v>0.31318693693693717</v>
      </c>
      <c r="Q9" s="529">
        <f>+O9*$H$8</f>
        <v>0</v>
      </c>
      <c r="R9" s="527"/>
      <c r="S9" s="528">
        <f t="shared" ref="S9:S39" si="4">+R9/$E9</f>
        <v>0</v>
      </c>
      <c r="T9" s="529">
        <f>+R9*$H$8</f>
        <v>0</v>
      </c>
      <c r="U9" s="527">
        <v>9.4966000000000008</v>
      </c>
      <c r="V9" s="528">
        <f t="shared" ref="V9:V39" si="5">+U9/$E9</f>
        <v>0.26735923423423424</v>
      </c>
      <c r="W9" s="529">
        <f>+U9*$H$8</f>
        <v>0</v>
      </c>
      <c r="X9" s="527"/>
      <c r="Y9" s="528">
        <f t="shared" ref="Y9:Y39" si="6">+X9/$E9</f>
        <v>0</v>
      </c>
      <c r="Z9" s="529">
        <f>+X9*$H$8</f>
        <v>0</v>
      </c>
      <c r="AA9" s="527">
        <v>5.4687500000000071</v>
      </c>
      <c r="AB9" s="528">
        <f t="shared" ref="AB9:AB39" si="7">+AA9/$E9</f>
        <v>0.15396255630630648</v>
      </c>
      <c r="AC9" s="529">
        <f>+AA9*$H$8</f>
        <v>0</v>
      </c>
      <c r="AD9" s="527"/>
      <c r="AE9" s="528">
        <f t="shared" ref="AE9:AE39" si="8">+AD9/$E9</f>
        <v>0</v>
      </c>
      <c r="AF9" s="529">
        <f>+AD9*$H$8</f>
        <v>0</v>
      </c>
      <c r="AG9" s="527"/>
      <c r="AH9" s="528">
        <f t="shared" ref="AH9:AH39" si="9">+AG9/$E9</f>
        <v>0</v>
      </c>
      <c r="AI9" s="529">
        <f>+AG9*$H$8</f>
        <v>0</v>
      </c>
      <c r="AJ9" s="527">
        <v>41.758499999999984</v>
      </c>
      <c r="AK9" s="528">
        <f t="shared" ref="AK9:AK39" si="10">+AJ9/$E9</f>
        <v>1.1756334459459454</v>
      </c>
      <c r="AL9" s="529">
        <f>+AJ9*$H$8</f>
        <v>0</v>
      </c>
      <c r="AM9" s="527"/>
      <c r="AN9" s="528">
        <f t="shared" ref="AN9:AN39" si="11">+AM9/$E9</f>
        <v>0</v>
      </c>
      <c r="AO9" s="529">
        <f>+AM9*$H$8</f>
        <v>0</v>
      </c>
      <c r="AP9" s="527"/>
      <c r="AQ9" s="528">
        <f t="shared" ref="AQ9:AQ39" si="12">+AP9/$E9</f>
        <v>0</v>
      </c>
      <c r="AR9" s="529">
        <f>+AP9*$H$8</f>
        <v>0</v>
      </c>
      <c r="AS9" s="527"/>
      <c r="AT9" s="528">
        <f t="shared" ref="AT9:AT39" si="13">+AS9/$E9</f>
        <v>0</v>
      </c>
      <c r="AU9" s="529">
        <f>+AS9*$H$8</f>
        <v>0</v>
      </c>
      <c r="AV9" s="527"/>
      <c r="AW9" s="528">
        <f t="shared" ref="AW9:AW39" si="14">+AV9/$E9</f>
        <v>0</v>
      </c>
      <c r="AX9" s="529">
        <f>+AV9*$H$8</f>
        <v>0</v>
      </c>
      <c r="AY9" s="527"/>
      <c r="AZ9" s="528">
        <f t="shared" ref="AZ9:AZ39" si="15">+AY9/$E9</f>
        <v>0</v>
      </c>
      <c r="BA9" s="529">
        <f>+AY9*$H$8</f>
        <v>0</v>
      </c>
      <c r="BB9" s="527"/>
      <c r="BC9" s="528">
        <f t="shared" ref="BC9:BC39" si="16">+BB9/$E9</f>
        <v>0</v>
      </c>
      <c r="BD9" s="529">
        <f>+BB9*$H$8</f>
        <v>0</v>
      </c>
      <c r="BE9" s="527"/>
      <c r="BF9" s="528">
        <f t="shared" ref="BF9:BF39" si="17">+BE9/$E9</f>
        <v>0</v>
      </c>
      <c r="BG9" s="529">
        <f>+BE9*$H$8</f>
        <v>0</v>
      </c>
      <c r="BH9" s="527"/>
      <c r="BI9" s="528">
        <f t="shared" ref="BI9:BI39" si="18">+BH9/$E9</f>
        <v>0</v>
      </c>
      <c r="BJ9" s="529">
        <f>+BH9*$H$8</f>
        <v>0</v>
      </c>
      <c r="BK9" s="527"/>
      <c r="BL9" s="528">
        <f t="shared" ref="BL9:BL39" si="19">+BK9/$E9</f>
        <v>0</v>
      </c>
      <c r="BM9" s="529">
        <f>+BK9*$H$8</f>
        <v>0</v>
      </c>
      <c r="BN9" s="527"/>
      <c r="BO9" s="528">
        <f t="shared" ref="BO9:BO39" si="20">+BN9/$E9</f>
        <v>0</v>
      </c>
      <c r="BP9" s="529">
        <f>+BN9*$H$8</f>
        <v>0</v>
      </c>
      <c r="BQ9" s="527"/>
      <c r="BR9" s="528">
        <f t="shared" ref="BR9:BR39" si="21">+BQ9/$E9</f>
        <v>0</v>
      </c>
      <c r="BS9" s="529">
        <f>+BQ9*$H$8</f>
        <v>0</v>
      </c>
      <c r="BT9" s="527"/>
      <c r="BU9" s="528">
        <f t="shared" ref="BU9:BU39" si="22">+BT9/$E9</f>
        <v>0</v>
      </c>
      <c r="BV9" s="529">
        <f>+BT9*$H$8</f>
        <v>0</v>
      </c>
      <c r="BW9" s="527"/>
      <c r="BX9" s="528">
        <f t="shared" ref="BX9:BX39" si="23">+BW9/$E9</f>
        <v>0</v>
      </c>
      <c r="BY9" s="529">
        <f>+BW9*$H$8</f>
        <v>0</v>
      </c>
      <c r="BZ9" s="527"/>
      <c r="CA9" s="528">
        <f t="shared" ref="CA9:CA39" si="24">+BZ9/$E9</f>
        <v>0</v>
      </c>
      <c r="CB9" s="529">
        <f>+BZ9*$H$8</f>
        <v>0</v>
      </c>
      <c r="CC9" s="527"/>
      <c r="CD9" s="528">
        <f t="shared" ref="CD9:CD39" si="25">+CC9/$E9</f>
        <v>0</v>
      </c>
      <c r="CE9" s="529">
        <f>+CC9*$H$8</f>
        <v>0</v>
      </c>
      <c r="CF9" s="527">
        <v>4.5</v>
      </c>
      <c r="CG9" s="528">
        <f t="shared" ref="CG9:CG39" si="26">+CF9/$E9</f>
        <v>0.12668918918918917</v>
      </c>
      <c r="CH9" s="529">
        <f>+CF9*$H$8</f>
        <v>0</v>
      </c>
      <c r="CI9" s="527"/>
      <c r="CJ9" s="528">
        <f t="shared" ref="CJ9:CJ39" si="27">+CI9/$E9</f>
        <v>0</v>
      </c>
      <c r="CK9" s="529">
        <f>+CI9*$H$8</f>
        <v>0</v>
      </c>
      <c r="CL9" s="527"/>
      <c r="CM9" s="528">
        <f t="shared" ref="CM9:CM39" si="28">+CL9/$E9</f>
        <v>0</v>
      </c>
      <c r="CN9" s="529">
        <f>+CL9*$H$8</f>
        <v>0</v>
      </c>
      <c r="CO9" s="527"/>
      <c r="CP9" s="528">
        <f t="shared" ref="CP9:CP39" si="29">+CO9/$E9</f>
        <v>0</v>
      </c>
      <c r="CQ9" s="529">
        <f>+CO9*$H$8</f>
        <v>0</v>
      </c>
      <c r="CR9" s="527"/>
      <c r="CS9" s="528">
        <f t="shared" ref="CS9:CS39" si="30">+CR9/$E9</f>
        <v>0</v>
      </c>
      <c r="CT9" s="529">
        <f>+CR9*$H$8</f>
        <v>0</v>
      </c>
      <c r="CU9" s="527"/>
      <c r="CV9" s="528">
        <f t="shared" ref="CV9:CV39" si="31">+CU9/$E9</f>
        <v>0</v>
      </c>
      <c r="CW9" s="529">
        <f>+CU9*$H$8</f>
        <v>0</v>
      </c>
      <c r="CX9" s="527"/>
      <c r="CY9" s="528">
        <f t="shared" ref="CY9:CY39" si="32">+CX9/$E9</f>
        <v>0</v>
      </c>
      <c r="CZ9" s="529">
        <f>+CX9*$H$8</f>
        <v>0</v>
      </c>
      <c r="DA9" s="527">
        <v>215.56799999999998</v>
      </c>
      <c r="DB9" s="528">
        <f t="shared" ref="DB9:DB39" si="33">+DA9/$E9</f>
        <v>6.0689189189189179</v>
      </c>
      <c r="DC9" s="529">
        <f>+DA9*$H$8</f>
        <v>0</v>
      </c>
      <c r="DD9" s="527"/>
      <c r="DE9" s="528">
        <f t="shared" ref="DE9:DE39" si="34">+DD9/$E9</f>
        <v>0</v>
      </c>
      <c r="DF9" s="529">
        <f>+DD9*$H$8</f>
        <v>0</v>
      </c>
      <c r="DG9" s="527"/>
      <c r="DH9" s="528">
        <f t="shared" ref="DH9:DH39" si="35">+DG9/$E9</f>
        <v>0</v>
      </c>
      <c r="DI9" s="529">
        <v>0</v>
      </c>
      <c r="DJ9" s="527"/>
      <c r="DK9" s="528">
        <f t="shared" ref="DK9:DK39" si="36">+DJ9/$E9</f>
        <v>0</v>
      </c>
      <c r="DL9" s="529">
        <f>+DJ9*$H$8</f>
        <v>0</v>
      </c>
      <c r="DM9" s="527"/>
      <c r="DN9" s="528">
        <f t="shared" ref="DN9:DN39" si="37">+DM9/$E9</f>
        <v>0</v>
      </c>
      <c r="DO9" s="529">
        <f>+DM9*$H$8</f>
        <v>0</v>
      </c>
      <c r="DP9" s="527"/>
      <c r="DQ9" s="528">
        <f t="shared" ref="DQ9:DQ39" si="38">+DP9/$E9</f>
        <v>0</v>
      </c>
      <c r="DR9" s="529">
        <f>+DP9*$H$8</f>
        <v>0</v>
      </c>
      <c r="DS9" s="527"/>
      <c r="DT9" s="528">
        <f t="shared" ref="DT9:DT39" si="39">+DS9/$E9</f>
        <v>0</v>
      </c>
      <c r="DU9" s="529">
        <f>+DS9*$H$8</f>
        <v>0</v>
      </c>
      <c r="DV9" s="527"/>
      <c r="DW9" s="528">
        <f t="shared" ref="DW9:DW39" si="40">+DV9/$E9</f>
        <v>0</v>
      </c>
      <c r="DX9" s="529">
        <f>+DV9*$H$8</f>
        <v>0</v>
      </c>
      <c r="DY9" s="527"/>
      <c r="DZ9" s="528">
        <f t="shared" ref="DZ9:DZ39" si="41">+DY9/$E9</f>
        <v>0</v>
      </c>
      <c r="EA9" s="529">
        <f>+DY9*$H$8</f>
        <v>0</v>
      </c>
      <c r="EB9" s="527"/>
      <c r="EC9" s="528">
        <f t="shared" ref="EC9:EC39" si="42">+EB9/$E9</f>
        <v>0</v>
      </c>
      <c r="ED9" s="529">
        <f>+EB9*$H$8</f>
        <v>0</v>
      </c>
      <c r="EE9" s="527">
        <v>21.802325581395337</v>
      </c>
      <c r="EF9" s="528">
        <f t="shared" ref="EF9:EF39" si="43">+EE9/$E9</f>
        <v>0.61380421118793171</v>
      </c>
      <c r="EG9" s="529">
        <f>+EE9*$H$8</f>
        <v>0</v>
      </c>
      <c r="EH9" s="527">
        <v>253.95000000000005</v>
      </c>
      <c r="EI9" s="528">
        <f t="shared" ref="EI9:EI39" si="44">+EH9/$E9</f>
        <v>7.1494932432432439</v>
      </c>
      <c r="EJ9" s="529">
        <f>+EH9*$H$8</f>
        <v>0</v>
      </c>
      <c r="EK9" s="527">
        <v>1</v>
      </c>
      <c r="EL9" s="528">
        <f t="shared" ref="EL9:EL39" si="45">+EK9/$E9</f>
        <v>2.815315315315315E-2</v>
      </c>
      <c r="EM9" s="529">
        <f>+EK9*$H$8</f>
        <v>0</v>
      </c>
      <c r="EN9" s="527">
        <v>41.444339999999983</v>
      </c>
      <c r="EO9" s="528">
        <f t="shared" ref="EO9:EO39" si="46">+EN9/$E9</f>
        <v>1.1667888513513507</v>
      </c>
      <c r="EP9" s="529">
        <f>+EN9*$H$8</f>
        <v>0</v>
      </c>
      <c r="EQ9" s="527">
        <v>33.591999999999985</v>
      </c>
      <c r="ER9" s="528">
        <f t="shared" ref="ER9:ER39" si="47">+EQ9/$E9</f>
        <v>0.94572072072072022</v>
      </c>
      <c r="ES9" s="529">
        <f>+EQ9*$H$8</f>
        <v>0</v>
      </c>
      <c r="ET9" s="527"/>
      <c r="EU9" s="528">
        <f t="shared" ref="EU9:EU39" si="48">+ET9/$E9</f>
        <v>0</v>
      </c>
      <c r="EV9" s="529">
        <f>+ET9*$H$8</f>
        <v>0</v>
      </c>
      <c r="EW9" s="527"/>
      <c r="EX9" s="528">
        <f t="shared" ref="EX9:EX39" si="49">+EW9/$E9</f>
        <v>0</v>
      </c>
      <c r="EY9" s="529">
        <f>+EW9*$H$8</f>
        <v>0</v>
      </c>
      <c r="EZ9" s="527"/>
      <c r="FA9" s="528">
        <f t="shared" ref="FA9:FA39" si="50">+EZ9/$E9</f>
        <v>0</v>
      </c>
      <c r="FB9" s="529">
        <f>+EZ9*$H$8</f>
        <v>0</v>
      </c>
      <c r="FC9" s="527"/>
      <c r="FD9" s="528">
        <f t="shared" ref="FD9:FD39" si="51">+FC9/$E9</f>
        <v>0</v>
      </c>
      <c r="FE9" s="529">
        <f>+FC9*$H$8</f>
        <v>0</v>
      </c>
      <c r="FF9" s="527"/>
      <c r="FG9" s="528">
        <f t="shared" ref="FG9:FG39" si="52">+FF9/$E9</f>
        <v>0</v>
      </c>
      <c r="FH9" s="529">
        <f>+FF9*$H$8</f>
        <v>0</v>
      </c>
      <c r="FI9" s="527"/>
      <c r="FJ9" s="528">
        <f t="shared" ref="FJ9:FJ39" si="53">+FI9/$E9</f>
        <v>0</v>
      </c>
      <c r="FK9" s="529">
        <f>+FI9*$H$8</f>
        <v>0</v>
      </c>
      <c r="FL9" s="527"/>
      <c r="FM9" s="528">
        <f t="shared" ref="FM9:FM39" si="54">+FL9/$E9</f>
        <v>0</v>
      </c>
      <c r="FN9" s="529">
        <f>+FL9*$H$8</f>
        <v>0</v>
      </c>
      <c r="FO9" s="527"/>
      <c r="FP9" s="528">
        <f t="shared" ref="FP9:FP39" si="55">+FO9/$E9</f>
        <v>0</v>
      </c>
      <c r="FQ9" s="529">
        <f>+FO9*$H$8</f>
        <v>0</v>
      </c>
      <c r="FR9" s="527"/>
      <c r="FS9" s="528">
        <f t="shared" ref="FS9:FS39" si="56">+FR9/$E9</f>
        <v>0</v>
      </c>
      <c r="FT9" s="529">
        <f>+FR9*$H$8</f>
        <v>0</v>
      </c>
      <c r="FU9" s="527"/>
      <c r="FV9" s="528">
        <f t="shared" ref="FV9:FV39" si="57">+FU9/$E9</f>
        <v>0</v>
      </c>
      <c r="FW9" s="529">
        <f>+FU9*$H$8</f>
        <v>0</v>
      </c>
      <c r="FX9" s="527"/>
      <c r="FY9" s="528">
        <f t="shared" ref="FY9:FY39" si="58">+FX9/$E9</f>
        <v>0</v>
      </c>
      <c r="FZ9" s="529">
        <f>+FX9*$H$8</f>
        <v>0</v>
      </c>
      <c r="GA9" s="527"/>
      <c r="GB9" s="528">
        <f t="shared" ref="GB9:GB39" si="59">+GA9/$E9</f>
        <v>0</v>
      </c>
      <c r="GC9" s="529">
        <f>+GA9*$H$8</f>
        <v>0</v>
      </c>
      <c r="GD9" s="527"/>
      <c r="GE9" s="528">
        <f t="shared" ref="GE9:GE39" si="60">+GD9/$E9</f>
        <v>0</v>
      </c>
      <c r="GF9" s="529">
        <f>+GD9*$H$8</f>
        <v>0</v>
      </c>
      <c r="GG9" s="527">
        <v>9.8287308378374743</v>
      </c>
      <c r="GH9" s="528">
        <f t="shared" ref="GH9:GH39" si="61">+GG9/$E9</f>
        <v>0.27670976457875768</v>
      </c>
      <c r="GI9" s="529">
        <f>+GG9*$H$8</f>
        <v>0</v>
      </c>
      <c r="GJ9" s="527">
        <v>9.8287308378374743</v>
      </c>
      <c r="GK9" s="528">
        <f t="shared" ref="GK9:GK29" si="62">+GJ9/$E9</f>
        <v>0.27670976457875768</v>
      </c>
      <c r="GL9" s="529">
        <f>+GJ9*$H$8</f>
        <v>0</v>
      </c>
      <c r="GM9" s="527"/>
      <c r="GN9" s="528">
        <f t="shared" ref="GN9:GN25" si="63">+GM9/$E9</f>
        <v>0</v>
      </c>
      <c r="GO9" s="529">
        <f>+GM9*$H$8</f>
        <v>0</v>
      </c>
      <c r="GP9" s="527">
        <v>26.209948900899931</v>
      </c>
      <c r="GQ9" s="528">
        <f t="shared" ref="GQ9:GQ25" si="64">+GP9/$E9</f>
        <v>0.73789270554335384</v>
      </c>
      <c r="GR9" s="529">
        <f>+GP9*$H$8</f>
        <v>0</v>
      </c>
      <c r="GS9" s="527">
        <v>209.67959120719945</v>
      </c>
      <c r="GT9" s="528">
        <f t="shared" ref="GT9:GT25" si="65">+GS9/$E9</f>
        <v>5.9031416443468308</v>
      </c>
      <c r="GU9" s="529">
        <f>+GS9*$H$8</f>
        <v>0</v>
      </c>
      <c r="GV9" s="527">
        <v>91.734821153149767</v>
      </c>
      <c r="GW9" s="528">
        <f t="shared" ref="GW9:GW28" si="66">+GV9/$E9</f>
        <v>2.5826244694017388</v>
      </c>
      <c r="GX9" s="529">
        <f>+GV9*$H$8</f>
        <v>0</v>
      </c>
      <c r="GY9" s="527"/>
      <c r="GZ9" s="528">
        <f t="shared" ref="GZ9:GZ39" si="67">+GY9/$E9</f>
        <v>0</v>
      </c>
      <c r="HA9" s="529">
        <f>+GY9*$H$8</f>
        <v>0</v>
      </c>
      <c r="HB9" s="527"/>
      <c r="HC9" s="528">
        <f t="shared" ref="HC9:HC39" si="68">+HB9/$E9</f>
        <v>0</v>
      </c>
      <c r="HD9" s="529">
        <f>+HB9*$H$8</f>
        <v>0</v>
      </c>
      <c r="HE9" s="527"/>
      <c r="HF9" s="528">
        <f t="shared" ref="HF9:HF39" si="69">+HE9/$E9</f>
        <v>0</v>
      </c>
      <c r="HG9" s="529">
        <f>+HE9*$H$8</f>
        <v>0</v>
      </c>
      <c r="HH9" s="527"/>
      <c r="HI9" s="528">
        <f t="shared" ref="HI9:HI39" si="70">+HH9/$E9</f>
        <v>0</v>
      </c>
      <c r="HJ9" s="529">
        <f>+HH9*$H$8</f>
        <v>0</v>
      </c>
      <c r="HK9" s="527"/>
      <c r="HL9" s="528">
        <f t="shared" ref="HL9:HL39" si="71">+HK9/$E9</f>
        <v>0</v>
      </c>
      <c r="HM9" s="529">
        <f>+HK9*$H$8</f>
        <v>0</v>
      </c>
      <c r="HN9" s="527">
        <v>592.34484516033854</v>
      </c>
      <c r="HO9" s="528">
        <f t="shared" ref="HO9:HO39" si="72">+HN9/$E9</f>
        <v>16.676375145279799</v>
      </c>
      <c r="HP9" s="529">
        <f>+HN9*$H$8</f>
        <v>0</v>
      </c>
      <c r="HQ9" s="527"/>
      <c r="HR9" s="528">
        <f t="shared" ref="HR9:HR39" si="73">+HQ9/$E9</f>
        <v>0</v>
      </c>
      <c r="HS9" s="529">
        <f>+HQ9*$H$8</f>
        <v>0</v>
      </c>
      <c r="HT9" s="527"/>
      <c r="HU9" s="528">
        <f t="shared" ref="HU9:HU39" si="74">+HT9/$E9</f>
        <v>0</v>
      </c>
      <c r="HV9" s="529">
        <f>+HT9*$H$8</f>
        <v>0</v>
      </c>
      <c r="HW9" s="527"/>
      <c r="HX9" s="528">
        <f t="shared" ref="HX9:HX39" si="75">+HW9/$E9</f>
        <v>0</v>
      </c>
      <c r="HY9" s="529">
        <f>+HW9*$H$8</f>
        <v>0</v>
      </c>
      <c r="HZ9" s="527"/>
      <c r="IA9" s="528">
        <f t="shared" ref="IA9:IA39" si="76">+HZ9/$E9</f>
        <v>0</v>
      </c>
      <c r="IB9" s="529">
        <f>+HZ9*$H$8</f>
        <v>0</v>
      </c>
      <c r="IC9" s="527"/>
      <c r="ID9" s="528">
        <f t="shared" ref="ID9:ID39" si="77">+IC9/$E9</f>
        <v>0</v>
      </c>
      <c r="IE9" s="529">
        <f>+IC9*$H$8</f>
        <v>0</v>
      </c>
      <c r="IF9" s="527"/>
      <c r="IG9" s="528">
        <f t="shared" ref="IG9:IG39" si="78">+IF9/$E9</f>
        <v>0</v>
      </c>
      <c r="IH9" s="529">
        <f>+IF9*$H$8</f>
        <v>0</v>
      </c>
      <c r="II9" s="527">
        <v>18.019339869368704</v>
      </c>
      <c r="IJ9" s="528">
        <f t="shared" ref="IJ9:IJ39" si="79">+II9/$E9</f>
        <v>0.50730123506105584</v>
      </c>
      <c r="IK9" s="529">
        <f>+II9*$H$8</f>
        <v>0</v>
      </c>
      <c r="IL9" s="527"/>
      <c r="IM9" s="528">
        <f t="shared" ref="IM9:IM39" si="80">+IL9/$E9</f>
        <v>0</v>
      </c>
      <c r="IN9" s="529">
        <f>+IL9*$H$8</f>
        <v>0</v>
      </c>
      <c r="IO9" s="527"/>
      <c r="IP9" s="528">
        <f t="shared" ref="IP9:IP39" si="81">+IO9/$E9</f>
        <v>0</v>
      </c>
      <c r="IQ9" s="529">
        <f>+IO9*$H$8</f>
        <v>0</v>
      </c>
      <c r="IR9" s="527">
        <v>36.038679738737407</v>
      </c>
      <c r="IS9" s="528">
        <f t="shared" ref="IS9:IS39" si="82">+IR9/$E9</f>
        <v>1.0146024701221117</v>
      </c>
      <c r="IT9" s="529">
        <f>+IR9*$H$8</f>
        <v>0</v>
      </c>
      <c r="IU9" s="527"/>
      <c r="IV9" s="528">
        <f t="shared" ref="IV9:IV39" si="83">+IU9/$E9</f>
        <v>0</v>
      </c>
      <c r="IW9" s="529">
        <f>+IU9*$H$8</f>
        <v>0</v>
      </c>
      <c r="IX9" s="527"/>
      <c r="IY9" s="528">
        <f t="shared" ref="IY9:IY39" si="84">+IX9/$E9</f>
        <v>0</v>
      </c>
      <c r="IZ9" s="529">
        <f>+IX9*$H$8</f>
        <v>0</v>
      </c>
      <c r="JA9" s="527"/>
      <c r="JB9" s="528">
        <f t="shared" ref="JB9:JB39" si="85">+JA9/$E9</f>
        <v>0</v>
      </c>
      <c r="JC9" s="529">
        <f>+JA9*$H$8</f>
        <v>0</v>
      </c>
      <c r="JD9" s="527"/>
      <c r="JE9" s="528">
        <f t="shared" ref="JE9:JE39" si="86">+JD9/$E9</f>
        <v>0</v>
      </c>
      <c r="JF9" s="529">
        <f>+JD9*$H$8</f>
        <v>0</v>
      </c>
      <c r="JG9" s="527"/>
      <c r="JH9" s="528">
        <f t="shared" ref="JH9:JH39" si="87">+JG9/$E9</f>
        <v>0</v>
      </c>
      <c r="JI9" s="529">
        <f>+JG9*$H$8</f>
        <v>0</v>
      </c>
      <c r="JJ9" s="527">
        <v>16.381218063062459</v>
      </c>
      <c r="JK9" s="529" t="str">
        <f t="shared" ref="JK9:JK39" si="88">IFERROR((JJ9/$L9),"0")</f>
        <v>0</v>
      </c>
      <c r="JL9" s="529" t="str">
        <f t="shared" ref="JL9:JL39" si="89">IFERROR(((JJ9*JL$8)/$L9),"0")</f>
        <v>0</v>
      </c>
      <c r="JM9" s="527">
        <v>13.104974450449966</v>
      </c>
      <c r="JN9" s="529" t="str">
        <f t="shared" ref="JN9:JN39" si="90">IFERROR((JM9/$L9),"0")</f>
        <v>0</v>
      </c>
      <c r="JO9" s="529" t="str">
        <f t="shared" ref="JO9:JO39" si="91">IFERROR(((JM9*JO$8)/$L9),"0")</f>
        <v>0</v>
      </c>
      <c r="JP9" s="527"/>
      <c r="JQ9" s="529" t="str">
        <f t="shared" ref="JQ9:JQ39" si="92">IFERROR((JP9/$L9),"0")</f>
        <v>0</v>
      </c>
      <c r="JR9" s="529" t="str">
        <f t="shared" ref="JR9:JR39" si="93">IFERROR(((JP9*JR$8)/$L9),"0")</f>
        <v>0</v>
      </c>
      <c r="JS9" s="527"/>
      <c r="JT9" s="529" t="str">
        <f t="shared" ref="JT9:JT39" si="94">IFERROR((JS9/$L9),"0")</f>
        <v>0</v>
      </c>
      <c r="JU9" s="529" t="str">
        <f t="shared" ref="JU9:JU39" si="95">IFERROR(((JS9*JU$8)/$L9),"0")</f>
        <v>0</v>
      </c>
      <c r="JV9" s="527"/>
      <c r="JW9" s="529" t="str">
        <f t="shared" ref="JW9:JW39" si="96">IFERROR((JV9/$L9),"0")</f>
        <v>0</v>
      </c>
      <c r="JX9" s="529" t="str">
        <f t="shared" ref="JX9:JX39" si="97">IFERROR(((JV9*JX$8)/$L9),"0")</f>
        <v>0</v>
      </c>
      <c r="JY9" s="527"/>
      <c r="JZ9" s="529" t="str">
        <f t="shared" ref="JZ9:JZ39" si="98">IFERROR((JY9/$L9),"0")</f>
        <v>0</v>
      </c>
      <c r="KA9" s="529" t="str">
        <f t="shared" ref="KA9:KA39" si="99">IFERROR(((JY9*KA$8)/$L9),"0")</f>
        <v>0</v>
      </c>
      <c r="KB9" s="527"/>
      <c r="KC9" s="529" t="str">
        <f t="shared" ref="KC9:KC39" si="100">IFERROR((KB9/$L9),"0")</f>
        <v>0</v>
      </c>
      <c r="KD9" s="529" t="str">
        <f t="shared" ref="KD9:KD39" si="101">IFERROR(((KB9*KD$8)/$L9),"0")</f>
        <v>0</v>
      </c>
      <c r="KE9" s="527"/>
      <c r="KF9" s="529" t="str">
        <f t="shared" ref="KF9:KF39" si="102">IFERROR((KE9/$L9),"0")</f>
        <v>0</v>
      </c>
      <c r="KG9" s="529" t="str">
        <f t="shared" ref="KG9:KG39" si="103">IFERROR(((KE9*KG$8)/$L9),"0")</f>
        <v>0</v>
      </c>
      <c r="KH9" s="527"/>
      <c r="KI9" s="529" t="str">
        <f t="shared" ref="KI9:KI39" si="104">IFERROR((KH9/$L9),"0")</f>
        <v>0</v>
      </c>
      <c r="KJ9" s="529" t="str">
        <f t="shared" ref="KJ9:KJ39" si="105">IFERROR(((KH9*KJ$8)/$L9),"0")</f>
        <v>0</v>
      </c>
      <c r="KK9" s="527"/>
      <c r="KL9" s="529" t="str">
        <f t="shared" ref="KL9:KL39" si="106">IFERROR((KK9/$L9),"0")</f>
        <v>0</v>
      </c>
      <c r="KM9" s="529" t="str">
        <f t="shared" ref="KM9:KM39" si="107">IFERROR(((KK9*KM$8)/$L9),"0")</f>
        <v>0</v>
      </c>
      <c r="KN9" s="527"/>
      <c r="KO9" s="529" t="str">
        <f t="shared" ref="KO9:KO39" si="108">IFERROR((KN9/$L9),"0")</f>
        <v>0</v>
      </c>
      <c r="KP9" s="529" t="str">
        <f t="shared" ref="KP9:KP39" si="109">IFERROR(((KN9*KP$8)/$L9),"0")</f>
        <v>0</v>
      </c>
      <c r="KQ9" s="527"/>
      <c r="KR9" s="529" t="str">
        <f t="shared" ref="KR9:KR39" si="110">IFERROR((KQ9/$L9),"0")</f>
        <v>0</v>
      </c>
      <c r="KS9" s="529" t="str">
        <f t="shared" ref="KS9:KS39" si="111">IFERROR(((KQ9*KS$8)/$L9),"0")</f>
        <v>0</v>
      </c>
      <c r="KT9" s="529">
        <f>H9+K9+N9+Q9+T9+W9+Z9+AC9+AF9+AI9+AL9+AO9+AR9+AU9+AX9+BA9+BD9+BG9+BJ9+BM9+BP9+BS9+BV9+BY9+CB9+CE9+CH9+CK9+CN9+CQ9+CT9+CW9+CZ9+DC9+DF9+DI9+DL9+DO9+DR9+DU9+DX9+EA9+ED9+EG9+EJ9+EM9+EP9+ES9+EV9+EY9+FB9+FE9+FH9+FK9+FN9+FQ9+FT9+FW9+FZ9+GC9</f>
        <v>0</v>
      </c>
      <c r="KU9" s="529">
        <f>GF9+GI9+GL9+GO9+GR9+GU9+GX9+HA9+HD9+HG9+HJ9+HM9+HP9+HS9+HV9+HY9+IB9+IE9+IH9+IK9+IN9+IQ9+IT9+IW9+IZ9+JC9+JF9+JI9+JL9+JO9+JR9+JU9+JX9++KA9+KD9+KG9+KJ9++KM9+KP9+KS9</f>
        <v>0</v>
      </c>
      <c r="KV9" s="268">
        <f>+F9+I9+L9+O9+R9+U9+X9+AA9+AD9+AG9+AJ9+AM9+AP9+AS9+AV9+AY9+BB9+BE9+BH9+BK9+BN9+BQ9+BT9+BW9+BZ9+CC9+CF9+CI9+CL9+CO9+CR9+CU9+CX9+DA9+DD9+DJ9+DM9+DP9+DS9+DV9+DY9+EB9+GG9+GJ9+GM9+GP9+GS9+HN9+II9+IR9+GV9+IU9++HT9+HW9+HZ9+IC9+JA9+JJ9+JM9+HB9+EE9+GD9+EH9+EN9+EQ9+EK9</f>
        <v>1662.8757958002766</v>
      </c>
    </row>
    <row r="10" spans="1:308" ht="15" customHeight="1">
      <c r="A10" s="270">
        <f>+A9+1</f>
        <v>46083</v>
      </c>
      <c r="B10" s="271" t="str">
        <f>+Report1!B10</f>
        <v>Toilet</v>
      </c>
      <c r="C10" s="271" t="str">
        <f>+Report1!C10</f>
        <v>15,5</v>
      </c>
      <c r="D10" s="272">
        <f>+Report1!P10</f>
        <v>24.8813</v>
      </c>
      <c r="E10" s="273">
        <f>+Report1!R10</f>
        <v>28.408000000000001</v>
      </c>
      <c r="F10" s="527"/>
      <c r="G10" s="528">
        <f t="shared" si="0"/>
        <v>0</v>
      </c>
      <c r="H10" s="529">
        <f t="shared" ref="H10:H39" si="112">+F10*$H$8</f>
        <v>0</v>
      </c>
      <c r="I10" s="527"/>
      <c r="J10" s="528">
        <f t="shared" si="1"/>
        <v>0</v>
      </c>
      <c r="K10" s="529">
        <f t="shared" ref="K10:K39" si="113">+I10*$H$8</f>
        <v>0</v>
      </c>
      <c r="L10" s="527"/>
      <c r="M10" s="528">
        <f t="shared" si="2"/>
        <v>0</v>
      </c>
      <c r="N10" s="529">
        <f t="shared" ref="N10:N39" si="114">+L10*$H$8</f>
        <v>0</v>
      </c>
      <c r="O10" s="527">
        <v>12.003999999999991</v>
      </c>
      <c r="P10" s="528">
        <f t="shared" si="3"/>
        <v>0.42255702618980534</v>
      </c>
      <c r="Q10" s="529">
        <f t="shared" ref="Q10:Q39" si="115">+O10*$H$8</f>
        <v>0</v>
      </c>
      <c r="R10" s="527"/>
      <c r="S10" s="528">
        <f t="shared" si="4"/>
        <v>0</v>
      </c>
      <c r="T10" s="529">
        <f t="shared" ref="T10:T39" si="116">+R10*$H$8</f>
        <v>0</v>
      </c>
      <c r="U10" s="527">
        <v>7.6885000000000048</v>
      </c>
      <c r="V10" s="528">
        <f t="shared" si="5"/>
        <v>0.27064559279076333</v>
      </c>
      <c r="W10" s="529">
        <f t="shared" ref="W10:W39" si="117">+U10*$H$8</f>
        <v>0</v>
      </c>
      <c r="X10" s="527"/>
      <c r="Y10" s="528">
        <f t="shared" si="6"/>
        <v>0</v>
      </c>
      <c r="Z10" s="529">
        <f t="shared" ref="Z10:Z39" si="118">+X10*$H$8</f>
        <v>0</v>
      </c>
      <c r="AA10" s="527">
        <v>6.25</v>
      </c>
      <c r="AB10" s="528">
        <f t="shared" si="7"/>
        <v>0.22000844832441566</v>
      </c>
      <c r="AC10" s="529">
        <f t="shared" ref="AC10:AC39" si="119">+AA10*$H$8</f>
        <v>0</v>
      </c>
      <c r="AD10" s="527"/>
      <c r="AE10" s="528">
        <f t="shared" si="8"/>
        <v>0</v>
      </c>
      <c r="AF10" s="529">
        <f t="shared" ref="AF10:AF39" si="120">+AD10*$H$8</f>
        <v>0</v>
      </c>
      <c r="AG10" s="527"/>
      <c r="AH10" s="528">
        <f t="shared" si="9"/>
        <v>0</v>
      </c>
      <c r="AI10" s="529">
        <f t="shared" ref="AI10:AI39" si="121">+AG10*$H$8</f>
        <v>0</v>
      </c>
      <c r="AJ10" s="527">
        <v>44.058699999999988</v>
      </c>
      <c r="AK10" s="528">
        <f t="shared" si="10"/>
        <v>1.5509257955505487</v>
      </c>
      <c r="AL10" s="529">
        <f t="shared" ref="AL10:AL39" si="122">+AJ10*$H$8</f>
        <v>0</v>
      </c>
      <c r="AM10" s="527"/>
      <c r="AN10" s="528">
        <f t="shared" si="11"/>
        <v>0</v>
      </c>
      <c r="AO10" s="529">
        <f t="shared" ref="AO10:AO39" si="123">+AM10*$H$8</f>
        <v>0</v>
      </c>
      <c r="AP10" s="527"/>
      <c r="AQ10" s="528">
        <f t="shared" si="12"/>
        <v>0</v>
      </c>
      <c r="AR10" s="529">
        <f t="shared" ref="AR10:AR39" si="124">+AP10*$H$8</f>
        <v>0</v>
      </c>
      <c r="AS10" s="527"/>
      <c r="AT10" s="528">
        <f t="shared" si="13"/>
        <v>0</v>
      </c>
      <c r="AU10" s="529">
        <f t="shared" ref="AU10:AU39" si="125">+AS10*$H$8</f>
        <v>0</v>
      </c>
      <c r="AV10" s="527"/>
      <c r="AW10" s="528">
        <f t="shared" si="14"/>
        <v>0</v>
      </c>
      <c r="AX10" s="529">
        <f t="shared" ref="AX10:AX39" si="126">+AV10*$H$8</f>
        <v>0</v>
      </c>
      <c r="AY10" s="527"/>
      <c r="AZ10" s="528">
        <f t="shared" si="15"/>
        <v>0</v>
      </c>
      <c r="BA10" s="529">
        <f t="shared" ref="BA10:BA39" si="127">+AY10*$H$8</f>
        <v>0</v>
      </c>
      <c r="BB10" s="527"/>
      <c r="BC10" s="528">
        <f t="shared" si="16"/>
        <v>0</v>
      </c>
      <c r="BD10" s="529">
        <f t="shared" ref="BD10:BD39" si="128">+BB10*$H$8</f>
        <v>0</v>
      </c>
      <c r="BE10" s="527"/>
      <c r="BF10" s="528">
        <f t="shared" si="17"/>
        <v>0</v>
      </c>
      <c r="BG10" s="529">
        <f t="shared" ref="BG10:BG39" si="129">+BE10*$H$8</f>
        <v>0</v>
      </c>
      <c r="BH10" s="527"/>
      <c r="BI10" s="528">
        <f t="shared" si="18"/>
        <v>0</v>
      </c>
      <c r="BJ10" s="529">
        <f t="shared" ref="BJ10:BJ39" si="130">+BH10*$H$8</f>
        <v>0</v>
      </c>
      <c r="BK10" s="527"/>
      <c r="BL10" s="528">
        <f t="shared" si="19"/>
        <v>0</v>
      </c>
      <c r="BM10" s="529">
        <f t="shared" ref="BM10:BM39" si="131">+BK10*$H$8</f>
        <v>0</v>
      </c>
      <c r="BN10" s="527"/>
      <c r="BO10" s="528">
        <f t="shared" si="20"/>
        <v>0</v>
      </c>
      <c r="BP10" s="529">
        <f t="shared" ref="BP10:BP39" si="132">+BN10*$H$8</f>
        <v>0</v>
      </c>
      <c r="BQ10" s="527"/>
      <c r="BR10" s="528">
        <f t="shared" si="21"/>
        <v>0</v>
      </c>
      <c r="BS10" s="529">
        <f t="shared" ref="BS10:BS39" si="133">+BQ10*$H$8</f>
        <v>0</v>
      </c>
      <c r="BT10" s="527"/>
      <c r="BU10" s="528">
        <f t="shared" si="22"/>
        <v>0</v>
      </c>
      <c r="BV10" s="529">
        <f t="shared" ref="BV10:BV39" si="134">+BT10*$H$8</f>
        <v>0</v>
      </c>
      <c r="BW10" s="527"/>
      <c r="BX10" s="528">
        <f t="shared" si="23"/>
        <v>0</v>
      </c>
      <c r="BY10" s="529">
        <f t="shared" ref="BY10:BY39" si="135">+BW10*$H$8</f>
        <v>0</v>
      </c>
      <c r="BZ10" s="527"/>
      <c r="CA10" s="528">
        <f t="shared" si="24"/>
        <v>0</v>
      </c>
      <c r="CB10" s="529">
        <f t="shared" ref="CB10:CB39" si="136">+BZ10*$H$8</f>
        <v>0</v>
      </c>
      <c r="CC10" s="527"/>
      <c r="CD10" s="528">
        <f t="shared" si="25"/>
        <v>0</v>
      </c>
      <c r="CE10" s="529">
        <f t="shared" ref="CE10:CE39" si="137">+CC10*$H$8</f>
        <v>0</v>
      </c>
      <c r="CF10" s="527">
        <v>4.5</v>
      </c>
      <c r="CG10" s="528">
        <f t="shared" si="26"/>
        <v>0.15840608279357926</v>
      </c>
      <c r="CH10" s="529">
        <f t="shared" ref="CH10:CH39" si="138">+CF10*$H$8</f>
        <v>0</v>
      </c>
      <c r="CI10" s="527"/>
      <c r="CJ10" s="528">
        <f t="shared" si="27"/>
        <v>0</v>
      </c>
      <c r="CK10" s="529">
        <f t="shared" ref="CK10:CK39" si="139">+CI10*$H$8</f>
        <v>0</v>
      </c>
      <c r="CL10" s="527"/>
      <c r="CM10" s="528">
        <f t="shared" si="28"/>
        <v>0</v>
      </c>
      <c r="CN10" s="529">
        <f t="shared" ref="CN10:CN39" si="140">+CL10*$H$8</f>
        <v>0</v>
      </c>
      <c r="CO10" s="527"/>
      <c r="CP10" s="528">
        <f t="shared" si="29"/>
        <v>0</v>
      </c>
      <c r="CQ10" s="529">
        <f t="shared" ref="CQ10:CQ39" si="141">+CO10*$H$8</f>
        <v>0</v>
      </c>
      <c r="CR10" s="527"/>
      <c r="CS10" s="528">
        <f t="shared" si="30"/>
        <v>0</v>
      </c>
      <c r="CT10" s="529">
        <f t="shared" ref="CT10:CT39" si="142">+CR10*$H$8</f>
        <v>0</v>
      </c>
      <c r="CU10" s="527"/>
      <c r="CV10" s="528">
        <f t="shared" si="31"/>
        <v>0</v>
      </c>
      <c r="CW10" s="529">
        <f t="shared" ref="CW10:CW39" si="143">+CU10*$H$8</f>
        <v>0</v>
      </c>
      <c r="CX10" s="527"/>
      <c r="CY10" s="528">
        <f t="shared" si="32"/>
        <v>0</v>
      </c>
      <c r="CZ10" s="529">
        <f t="shared" ref="CZ10:CZ39" si="144">+CX10*$H$8</f>
        <v>0</v>
      </c>
      <c r="DA10" s="527">
        <v>203.49423255813963</v>
      </c>
      <c r="DB10" s="528">
        <f t="shared" si="33"/>
        <v>7.1632720556934535</v>
      </c>
      <c r="DC10" s="529">
        <f t="shared" ref="DC10:DC39" si="145">+DA10*$H$8</f>
        <v>0</v>
      </c>
      <c r="DD10" s="527"/>
      <c r="DE10" s="528">
        <f t="shared" si="34"/>
        <v>0</v>
      </c>
      <c r="DF10" s="529">
        <f t="shared" ref="DF10:DF39" si="146">+DD10*$H$8</f>
        <v>0</v>
      </c>
      <c r="DG10" s="527"/>
      <c r="DH10" s="528">
        <f t="shared" si="35"/>
        <v>0</v>
      </c>
      <c r="DI10" s="529">
        <v>0</v>
      </c>
      <c r="DJ10" s="527"/>
      <c r="DK10" s="528">
        <f t="shared" si="36"/>
        <v>0</v>
      </c>
      <c r="DL10" s="529">
        <f t="shared" ref="DL10:DL39" si="147">+DJ10*$H$8</f>
        <v>0</v>
      </c>
      <c r="DM10" s="527"/>
      <c r="DN10" s="528">
        <f t="shared" si="37"/>
        <v>0</v>
      </c>
      <c r="DO10" s="529">
        <f t="shared" ref="DO10:DO39" si="148">+DM10*$H$8</f>
        <v>0</v>
      </c>
      <c r="DP10" s="527"/>
      <c r="DQ10" s="528">
        <f t="shared" si="38"/>
        <v>0</v>
      </c>
      <c r="DR10" s="529">
        <f t="shared" ref="DR10:DR39" si="149">+DP10*$H$8</f>
        <v>0</v>
      </c>
      <c r="DS10" s="527"/>
      <c r="DT10" s="528">
        <f t="shared" si="39"/>
        <v>0</v>
      </c>
      <c r="DU10" s="529">
        <f t="shared" ref="DU10:DU39" si="150">+DS10*$H$8</f>
        <v>0</v>
      </c>
      <c r="DV10" s="527"/>
      <c r="DW10" s="528">
        <f t="shared" si="40"/>
        <v>0</v>
      </c>
      <c r="DX10" s="529">
        <f t="shared" ref="DX10:DX39" si="151">+DV10*$H$8</f>
        <v>0</v>
      </c>
      <c r="DY10" s="527"/>
      <c r="DZ10" s="528">
        <f t="shared" si="41"/>
        <v>0</v>
      </c>
      <c r="EA10" s="529">
        <f t="shared" ref="EA10:EA39" si="152">+DY10*$H$8</f>
        <v>0</v>
      </c>
      <c r="EB10" s="527"/>
      <c r="EC10" s="528">
        <f t="shared" si="42"/>
        <v>0</v>
      </c>
      <c r="ED10" s="529">
        <f t="shared" ref="ED10:ED39" si="153">+EB10*$H$8</f>
        <v>0</v>
      </c>
      <c r="EE10" s="527">
        <v>21.802325581395337</v>
      </c>
      <c r="EF10" s="528">
        <f t="shared" si="43"/>
        <v>0.76747133136424017</v>
      </c>
      <c r="EG10" s="529">
        <f t="shared" ref="EG10:EG39" si="154">+EE10*$H$8</f>
        <v>0</v>
      </c>
      <c r="EH10" s="527">
        <v>234.82352941176487</v>
      </c>
      <c r="EI10" s="528">
        <f t="shared" si="44"/>
        <v>8.266105653751227</v>
      </c>
      <c r="EJ10" s="529">
        <f t="shared" ref="EJ10:EJ39" si="155">+EH10*$H$8</f>
        <v>0</v>
      </c>
      <c r="EK10" s="527">
        <v>1</v>
      </c>
      <c r="EL10" s="528">
        <f t="shared" si="45"/>
        <v>3.5201351731906506E-2</v>
      </c>
      <c r="EM10" s="529">
        <f t="shared" ref="EM10:EM39" si="156">+EK10*$H$8</f>
        <v>0</v>
      </c>
      <c r="EN10" s="527">
        <v>12.197822926829531</v>
      </c>
      <c r="EO10" s="528">
        <f t="shared" si="46"/>
        <v>0.42937985521083954</v>
      </c>
      <c r="EP10" s="529">
        <f t="shared" ref="EP10:EP39" si="157">+EN10*$H$8</f>
        <v>0</v>
      </c>
      <c r="EQ10" s="527">
        <v>29.647802325581324</v>
      </c>
      <c r="ER10" s="528">
        <f t="shared" si="47"/>
        <v>1.0436427177408238</v>
      </c>
      <c r="ES10" s="529">
        <f t="shared" ref="ES10:ES39" si="158">+EQ10*$H$8</f>
        <v>0</v>
      </c>
      <c r="ET10" s="527"/>
      <c r="EU10" s="528">
        <f t="shared" si="48"/>
        <v>0</v>
      </c>
      <c r="EV10" s="529">
        <f t="shared" ref="EV10:EV39" si="159">+ET10*$H$8</f>
        <v>0</v>
      </c>
      <c r="EW10" s="527"/>
      <c r="EX10" s="528">
        <f t="shared" si="49"/>
        <v>0</v>
      </c>
      <c r="EY10" s="529">
        <f t="shared" ref="EY10:EY39" si="160">+EW10*$H$8</f>
        <v>0</v>
      </c>
      <c r="EZ10" s="527"/>
      <c r="FA10" s="528">
        <f t="shared" si="50"/>
        <v>0</v>
      </c>
      <c r="FB10" s="529">
        <f t="shared" ref="FB10:FB39" si="161">+EZ10*$H$8</f>
        <v>0</v>
      </c>
      <c r="FC10" s="527"/>
      <c r="FD10" s="528">
        <f t="shared" si="51"/>
        <v>0</v>
      </c>
      <c r="FE10" s="529">
        <f t="shared" ref="FE10:FE39" si="162">+FC10*$H$8</f>
        <v>0</v>
      </c>
      <c r="FF10" s="527"/>
      <c r="FG10" s="528">
        <f t="shared" si="52"/>
        <v>0</v>
      </c>
      <c r="FH10" s="529">
        <f t="shared" ref="FH10:FH39" si="163">+FF10*$H$8</f>
        <v>0</v>
      </c>
      <c r="FI10" s="527"/>
      <c r="FJ10" s="528">
        <f t="shared" si="53"/>
        <v>0</v>
      </c>
      <c r="FK10" s="529">
        <f t="shared" ref="FK10:FK39" si="164">+FI10*$H$8</f>
        <v>0</v>
      </c>
      <c r="FL10" s="527"/>
      <c r="FM10" s="528">
        <f t="shared" si="54"/>
        <v>0</v>
      </c>
      <c r="FN10" s="529">
        <f t="shared" ref="FN10:FN39" si="165">+FL10*$H$8</f>
        <v>0</v>
      </c>
      <c r="FO10" s="527"/>
      <c r="FP10" s="528">
        <f t="shared" si="55"/>
        <v>0</v>
      </c>
      <c r="FQ10" s="529">
        <f t="shared" ref="FQ10:FQ39" si="166">+FO10*$H$8</f>
        <v>0</v>
      </c>
      <c r="FR10" s="527"/>
      <c r="FS10" s="528">
        <f t="shared" si="56"/>
        <v>0</v>
      </c>
      <c r="FT10" s="529">
        <f t="shared" ref="FT10:FT39" si="167">+FR10*$H$8</f>
        <v>0</v>
      </c>
      <c r="FU10" s="527"/>
      <c r="FV10" s="528">
        <f t="shared" si="57"/>
        <v>0</v>
      </c>
      <c r="FW10" s="529">
        <f t="shared" ref="FW10:FW39" si="168">+FU10*$H$8</f>
        <v>0</v>
      </c>
      <c r="FX10" s="527"/>
      <c r="FY10" s="528">
        <f t="shared" si="58"/>
        <v>0</v>
      </c>
      <c r="FZ10" s="529">
        <f t="shared" ref="FZ10:FZ39" si="169">+FX10*$H$8</f>
        <v>0</v>
      </c>
      <c r="GA10" s="527"/>
      <c r="GB10" s="528">
        <f t="shared" si="59"/>
        <v>0</v>
      </c>
      <c r="GC10" s="529">
        <f t="shared" ref="GC10:GC39" si="170">+GA10*$H$8</f>
        <v>0</v>
      </c>
      <c r="GD10" s="527"/>
      <c r="GE10" s="528">
        <f t="shared" si="60"/>
        <v>0</v>
      </c>
      <c r="GF10" s="529">
        <f t="shared" ref="GF10:GF39" si="171">+GD10*$H$8</f>
        <v>0</v>
      </c>
      <c r="GG10" s="527">
        <v>10.404261712196709</v>
      </c>
      <c r="GH10" s="528">
        <f t="shared" si="61"/>
        <v>0.36624407604184411</v>
      </c>
      <c r="GI10" s="529">
        <f t="shared" ref="GI10:GI39" si="172">+GG10*$H$8</f>
        <v>0</v>
      </c>
      <c r="GJ10" s="527">
        <v>10.404261712196709</v>
      </c>
      <c r="GK10" s="528">
        <f t="shared" si="62"/>
        <v>0.36624407604184411</v>
      </c>
      <c r="GL10" s="529">
        <f t="shared" ref="GL10:GL29" si="173">+GJ10*$H$8</f>
        <v>0</v>
      </c>
      <c r="GM10" s="527"/>
      <c r="GN10" s="528">
        <f t="shared" si="63"/>
        <v>0</v>
      </c>
      <c r="GO10" s="529">
        <f t="shared" ref="GO10:GO25" si="174">+GM10*$H$8</f>
        <v>0</v>
      </c>
      <c r="GP10" s="527">
        <v>15.606392568295064</v>
      </c>
      <c r="GQ10" s="528">
        <f t="shared" si="64"/>
        <v>0.54936611406276625</v>
      </c>
      <c r="GR10" s="529">
        <f t="shared" ref="GR10:GR25" si="175">+GP10*$H$8</f>
        <v>0</v>
      </c>
      <c r="GS10" s="527">
        <v>190.74479805693966</v>
      </c>
      <c r="GT10" s="528">
        <f t="shared" si="65"/>
        <v>6.7144747274338092</v>
      </c>
      <c r="GU10" s="529">
        <f t="shared" ref="GU10:GU25" si="176">+GS10*$H$8</f>
        <v>0</v>
      </c>
      <c r="GV10" s="527">
        <v>76.29791922277586</v>
      </c>
      <c r="GW10" s="528">
        <f t="shared" si="66"/>
        <v>2.6857898909735236</v>
      </c>
      <c r="GX10" s="529">
        <f t="shared" ref="GX10:GX28" si="177">+GV10*$H$8</f>
        <v>0</v>
      </c>
      <c r="GY10" s="527"/>
      <c r="GZ10" s="528">
        <f t="shared" si="67"/>
        <v>0</v>
      </c>
      <c r="HA10" s="529">
        <f t="shared" ref="HA10:HA39" si="178">+GY10*$H$8</f>
        <v>0</v>
      </c>
      <c r="HB10" s="527"/>
      <c r="HC10" s="528">
        <f t="shared" si="68"/>
        <v>0</v>
      </c>
      <c r="HD10" s="529">
        <f t="shared" ref="HD10:HD39" si="179">+HB10*$H$8</f>
        <v>0</v>
      </c>
      <c r="HE10" s="527"/>
      <c r="HF10" s="528">
        <f t="shared" si="69"/>
        <v>0</v>
      </c>
      <c r="HG10" s="529">
        <f t="shared" ref="HG10:HG39" si="180">+HE10*$H$8</f>
        <v>0</v>
      </c>
      <c r="HH10" s="527"/>
      <c r="HI10" s="528">
        <f t="shared" si="70"/>
        <v>0</v>
      </c>
      <c r="HJ10" s="529">
        <f t="shared" ref="HJ10:HJ39" si="181">+HH10*$H$8</f>
        <v>0</v>
      </c>
      <c r="HK10" s="527"/>
      <c r="HL10" s="528">
        <f t="shared" si="71"/>
        <v>0</v>
      </c>
      <c r="HM10" s="529">
        <f t="shared" ref="HM10:HM39" si="182">+HK10*$H$8</f>
        <v>0</v>
      </c>
      <c r="HN10" s="527">
        <v>588.88121291033372</v>
      </c>
      <c r="HO10" s="528">
        <f t="shared" si="72"/>
        <v>20.729414703968377</v>
      </c>
      <c r="HP10" s="529">
        <f t="shared" ref="HP10:HP39" si="183">+HN10*$H$8</f>
        <v>0</v>
      </c>
      <c r="HQ10" s="527"/>
      <c r="HR10" s="528">
        <f t="shared" si="73"/>
        <v>0</v>
      </c>
      <c r="HS10" s="529">
        <f t="shared" ref="HS10:HS39" si="184">+HQ10*$H$8</f>
        <v>0</v>
      </c>
      <c r="HT10" s="527"/>
      <c r="HU10" s="528">
        <f t="shared" si="74"/>
        <v>0</v>
      </c>
      <c r="HV10" s="529">
        <f t="shared" ref="HV10:HV39" si="185">+HT10*$H$8</f>
        <v>0</v>
      </c>
      <c r="HW10" s="527"/>
      <c r="HX10" s="528">
        <f t="shared" si="75"/>
        <v>0</v>
      </c>
      <c r="HY10" s="529">
        <f t="shared" ref="HY10:HY39" si="186">+HW10*$H$8</f>
        <v>0</v>
      </c>
      <c r="HZ10" s="527"/>
      <c r="IA10" s="528">
        <f t="shared" si="76"/>
        <v>0</v>
      </c>
      <c r="IB10" s="529">
        <f t="shared" ref="IB10:IB39" si="187">+HZ10*$H$8</f>
        <v>0</v>
      </c>
      <c r="IC10" s="527"/>
      <c r="ID10" s="528">
        <f t="shared" si="77"/>
        <v>0</v>
      </c>
      <c r="IE10" s="529">
        <f t="shared" ref="IE10:IE39" si="188">+IC10*$H$8</f>
        <v>0</v>
      </c>
      <c r="IF10" s="527"/>
      <c r="IG10" s="528">
        <f t="shared" si="78"/>
        <v>0</v>
      </c>
      <c r="IH10" s="529">
        <f t="shared" ref="IH10:IH39" si="189">+IF10*$H$8</f>
        <v>0</v>
      </c>
      <c r="II10" s="527">
        <v>13.872348949595612</v>
      </c>
      <c r="IJ10" s="528">
        <f t="shared" si="79"/>
        <v>0.48832543472245887</v>
      </c>
      <c r="IK10" s="529">
        <f t="shared" ref="IK10:IK39" si="190">+II10*$H$8</f>
        <v>0</v>
      </c>
      <c r="IL10" s="527"/>
      <c r="IM10" s="528">
        <f t="shared" si="80"/>
        <v>0</v>
      </c>
      <c r="IN10" s="529">
        <f t="shared" ref="IN10:IN39" si="191">+IL10*$H$8</f>
        <v>0</v>
      </c>
      <c r="IO10" s="527"/>
      <c r="IP10" s="528">
        <f t="shared" si="81"/>
        <v>0</v>
      </c>
      <c r="IQ10" s="529">
        <f t="shared" ref="IQ10:IQ39" si="192">+IO10*$H$8</f>
        <v>0</v>
      </c>
      <c r="IR10" s="527">
        <v>34.680872373989033</v>
      </c>
      <c r="IS10" s="528">
        <f t="shared" si="82"/>
        <v>1.2208135868061472</v>
      </c>
      <c r="IT10" s="529">
        <f t="shared" ref="IT10:IT39" si="193">+IR10*$H$8</f>
        <v>0</v>
      </c>
      <c r="IU10" s="527"/>
      <c r="IV10" s="528">
        <f t="shared" si="83"/>
        <v>0</v>
      </c>
      <c r="IW10" s="529">
        <f t="shared" ref="IW10:IW39" si="194">+IU10*$H$8</f>
        <v>0</v>
      </c>
      <c r="IX10" s="527"/>
      <c r="IY10" s="528">
        <f t="shared" si="84"/>
        <v>0</v>
      </c>
      <c r="IZ10" s="529">
        <f t="shared" ref="IZ10:IZ39" si="195">+IX10*$H$8</f>
        <v>0</v>
      </c>
      <c r="JA10" s="527"/>
      <c r="JB10" s="528">
        <f t="shared" si="85"/>
        <v>0</v>
      </c>
      <c r="JC10" s="529">
        <f t="shared" ref="JC10:JC39" si="196">+JA10*$H$8</f>
        <v>0</v>
      </c>
      <c r="JD10" s="527"/>
      <c r="JE10" s="528">
        <f t="shared" si="86"/>
        <v>0</v>
      </c>
      <c r="JF10" s="529">
        <f t="shared" ref="JF10:JF39" si="197">+JD10*$H$8</f>
        <v>0</v>
      </c>
      <c r="JG10" s="527"/>
      <c r="JH10" s="528">
        <f t="shared" si="87"/>
        <v>0</v>
      </c>
      <c r="JI10" s="529">
        <f t="shared" ref="JI10:JI39" si="198">+JG10*$H$8</f>
        <v>0</v>
      </c>
      <c r="JJ10" s="527">
        <v>13.872348949595612</v>
      </c>
      <c r="JK10" s="529" t="str">
        <f t="shared" si="88"/>
        <v>0</v>
      </c>
      <c r="JL10" s="529" t="str">
        <f t="shared" si="89"/>
        <v>0</v>
      </c>
      <c r="JM10" s="527"/>
      <c r="JN10" s="529" t="str">
        <f t="shared" si="90"/>
        <v>0</v>
      </c>
      <c r="JO10" s="529" t="str">
        <f t="shared" si="91"/>
        <v>0</v>
      </c>
      <c r="JP10" s="527"/>
      <c r="JQ10" s="529" t="str">
        <f t="shared" si="92"/>
        <v>0</v>
      </c>
      <c r="JR10" s="529" t="str">
        <f t="shared" si="93"/>
        <v>0</v>
      </c>
      <c r="JS10" s="527"/>
      <c r="JT10" s="529" t="str">
        <f t="shared" si="94"/>
        <v>0</v>
      </c>
      <c r="JU10" s="529" t="str">
        <f t="shared" si="95"/>
        <v>0</v>
      </c>
      <c r="JV10" s="527"/>
      <c r="JW10" s="529" t="str">
        <f t="shared" si="96"/>
        <v>0</v>
      </c>
      <c r="JX10" s="529" t="str">
        <f t="shared" si="97"/>
        <v>0</v>
      </c>
      <c r="JY10" s="527"/>
      <c r="JZ10" s="529" t="str">
        <f t="shared" si="98"/>
        <v>0</v>
      </c>
      <c r="KA10" s="529" t="str">
        <f t="shared" si="99"/>
        <v>0</v>
      </c>
      <c r="KB10" s="527"/>
      <c r="KC10" s="529" t="str">
        <f t="shared" si="100"/>
        <v>0</v>
      </c>
      <c r="KD10" s="529" t="str">
        <f t="shared" si="101"/>
        <v>0</v>
      </c>
      <c r="KE10" s="527"/>
      <c r="KF10" s="529" t="str">
        <f t="shared" si="102"/>
        <v>0</v>
      </c>
      <c r="KG10" s="529" t="str">
        <f t="shared" si="103"/>
        <v>0</v>
      </c>
      <c r="KH10" s="527"/>
      <c r="KI10" s="529" t="str">
        <f t="shared" si="104"/>
        <v>0</v>
      </c>
      <c r="KJ10" s="529" t="str">
        <f t="shared" si="105"/>
        <v>0</v>
      </c>
      <c r="KK10" s="527"/>
      <c r="KL10" s="529" t="str">
        <f t="shared" si="106"/>
        <v>0</v>
      </c>
      <c r="KM10" s="529" t="str">
        <f t="shared" si="107"/>
        <v>0</v>
      </c>
      <c r="KN10" s="527"/>
      <c r="KO10" s="529" t="str">
        <f t="shared" si="108"/>
        <v>0</v>
      </c>
      <c r="KP10" s="529" t="str">
        <f t="shared" si="109"/>
        <v>0</v>
      </c>
      <c r="KQ10" s="527"/>
      <c r="KR10" s="529" t="str">
        <f t="shared" si="110"/>
        <v>0</v>
      </c>
      <c r="KS10" s="529" t="str">
        <f t="shared" si="111"/>
        <v>0</v>
      </c>
      <c r="KT10" s="529">
        <f>H10+K10+N10+Q10+T10+W10+Z10+AC10+AF10+AI10+AL10+AO10+AR10+AU10+AX10+BA10+BD10+BG10+BJ10+BM10+BP10+BS10+BV10+BY10+CB10+CE10+CH10+CK10+CN10+CQ10+CT10+CW10+CZ10+DC10+DF10+DI10+DL10+DO10+DR10+DU10+DX10+EA10+ED10+EG10+EJ10+EM10+EP10+ES10+EV10+EY10+FB10+FE10+FH10+FK10+FN10+FQ10+FT10+FW10+FZ10+GC10</f>
        <v>0</v>
      </c>
      <c r="KU10" s="529">
        <f>GF10+GI10+GL10+GO10+GR10+GU10+GX10+HA10+HD10+HG10+HJ10+HM10+HP10+HS10+HV10+HY10+IB10+IE10+IH10+IK10+IN10+IQ10+IT10+IW10+IZ10+JC10+JF10+JI10+JL10+JO10+JR10+JU10+JX10++KA10+KD10+KG10+KJ10++KM10+KP10+KS10</f>
        <v>0</v>
      </c>
      <c r="KV10" s="268">
        <f t="shared" ref="KV10:KV41" si="199">+F10+I10+L10+O10+R10+U10+X10+AA10+AD10+AG10+AJ10+AM10+AP10+AS10+AV10+AY10+BB10+BE10+BH10+BK10+BN10+BQ10+BT10+BW10+BZ10+CC10+CF10+CI10+CL10+CO10+CR10+CU10+CX10+DA10+DD10+DJ10+DM10+DP10+DS10+DV10+DY10+EB10+GG10+GJ10+GM10+GP10+GS10+HN10+II10+IR10+GV10+IU10++HT10+HW10+HZ10+IC10+JA10+JJ10+JM10+HB10+EE10+GD10+EH10+EN10+EQ10+EK10</f>
        <v>1532.2313292596286</v>
      </c>
    </row>
    <row r="11" spans="1:308" ht="15" customHeight="1">
      <c r="A11" s="270">
        <f t="shared" ref="A11:A39" si="200">+A10+1</f>
        <v>46084</v>
      </c>
      <c r="B11" s="271" t="str">
        <f>+Report1!B11</f>
        <v>Toilet</v>
      </c>
      <c r="C11" s="271" t="str">
        <f>+Report1!C11</f>
        <v>15,5/14</v>
      </c>
      <c r="D11" s="272">
        <f>+Report1!P11</f>
        <v>43.93</v>
      </c>
      <c r="E11" s="273">
        <f>+Report1!R11</f>
        <v>40.793999999999997</v>
      </c>
      <c r="F11" s="527"/>
      <c r="G11" s="528">
        <f t="shared" si="0"/>
        <v>0</v>
      </c>
      <c r="H11" s="529">
        <f t="shared" si="112"/>
        <v>0</v>
      </c>
      <c r="I11" s="527"/>
      <c r="J11" s="528">
        <f t="shared" si="1"/>
        <v>0</v>
      </c>
      <c r="K11" s="529">
        <f t="shared" si="113"/>
        <v>0</v>
      </c>
      <c r="L11" s="527"/>
      <c r="M11" s="528">
        <f t="shared" si="2"/>
        <v>0</v>
      </c>
      <c r="N11" s="529">
        <f t="shared" si="114"/>
        <v>0</v>
      </c>
      <c r="O11" s="527">
        <v>12.000000000000028</v>
      </c>
      <c r="P11" s="528">
        <f t="shared" si="3"/>
        <v>0.29416090601559125</v>
      </c>
      <c r="Q11" s="529">
        <f t="shared" si="115"/>
        <v>0</v>
      </c>
      <c r="R11" s="527"/>
      <c r="S11" s="528">
        <f t="shared" si="4"/>
        <v>0</v>
      </c>
      <c r="T11" s="529">
        <f t="shared" si="116"/>
        <v>0</v>
      </c>
      <c r="U11" s="527">
        <v>7.6875</v>
      </c>
      <c r="V11" s="528">
        <f t="shared" si="5"/>
        <v>0.18844683041623769</v>
      </c>
      <c r="W11" s="529">
        <f t="shared" si="117"/>
        <v>0</v>
      </c>
      <c r="X11" s="527"/>
      <c r="Y11" s="528">
        <f t="shared" si="6"/>
        <v>0</v>
      </c>
      <c r="Z11" s="529">
        <f t="shared" si="118"/>
        <v>0</v>
      </c>
      <c r="AA11" s="527">
        <v>4.6874999999999858</v>
      </c>
      <c r="AB11" s="528">
        <f t="shared" si="7"/>
        <v>0.11490660391233971</v>
      </c>
      <c r="AC11" s="529">
        <f t="shared" si="119"/>
        <v>0</v>
      </c>
      <c r="AD11" s="527"/>
      <c r="AE11" s="528">
        <f t="shared" si="8"/>
        <v>0</v>
      </c>
      <c r="AF11" s="529">
        <f t="shared" si="120"/>
        <v>0</v>
      </c>
      <c r="AG11" s="527"/>
      <c r="AH11" s="528">
        <f t="shared" si="9"/>
        <v>0</v>
      </c>
      <c r="AI11" s="529">
        <f t="shared" si="121"/>
        <v>0</v>
      </c>
      <c r="AJ11" s="527">
        <v>29.375</v>
      </c>
      <c r="AK11" s="528">
        <f t="shared" si="10"/>
        <v>0.72008138451733106</v>
      </c>
      <c r="AL11" s="529">
        <f t="shared" si="122"/>
        <v>0</v>
      </c>
      <c r="AM11" s="527"/>
      <c r="AN11" s="528">
        <f t="shared" si="11"/>
        <v>0</v>
      </c>
      <c r="AO11" s="529">
        <f t="shared" si="123"/>
        <v>0</v>
      </c>
      <c r="AP11" s="527"/>
      <c r="AQ11" s="528">
        <f t="shared" si="12"/>
        <v>0</v>
      </c>
      <c r="AR11" s="529">
        <f t="shared" si="124"/>
        <v>0</v>
      </c>
      <c r="AS11" s="527"/>
      <c r="AT11" s="528">
        <f t="shared" si="13"/>
        <v>0</v>
      </c>
      <c r="AU11" s="529">
        <f t="shared" si="125"/>
        <v>0</v>
      </c>
      <c r="AV11" s="527"/>
      <c r="AW11" s="528">
        <f t="shared" si="14"/>
        <v>0</v>
      </c>
      <c r="AX11" s="529">
        <f t="shared" si="126"/>
        <v>0</v>
      </c>
      <c r="AY11" s="527"/>
      <c r="AZ11" s="528">
        <f t="shared" si="15"/>
        <v>0</v>
      </c>
      <c r="BA11" s="529">
        <f t="shared" si="127"/>
        <v>0</v>
      </c>
      <c r="BB11" s="527"/>
      <c r="BC11" s="528">
        <f t="shared" si="16"/>
        <v>0</v>
      </c>
      <c r="BD11" s="529">
        <f t="shared" si="128"/>
        <v>0</v>
      </c>
      <c r="BE11" s="527"/>
      <c r="BF11" s="528">
        <f t="shared" si="17"/>
        <v>0</v>
      </c>
      <c r="BG11" s="529">
        <f t="shared" si="129"/>
        <v>0</v>
      </c>
      <c r="BH11" s="527"/>
      <c r="BI11" s="528">
        <f t="shared" si="18"/>
        <v>0</v>
      </c>
      <c r="BJ11" s="529">
        <f t="shared" si="130"/>
        <v>0</v>
      </c>
      <c r="BK11" s="527"/>
      <c r="BL11" s="528">
        <f t="shared" si="19"/>
        <v>0</v>
      </c>
      <c r="BM11" s="529">
        <f t="shared" si="131"/>
        <v>0</v>
      </c>
      <c r="BN11" s="527"/>
      <c r="BO11" s="528">
        <f t="shared" si="20"/>
        <v>0</v>
      </c>
      <c r="BP11" s="529">
        <f t="shared" si="132"/>
        <v>0</v>
      </c>
      <c r="BQ11" s="527"/>
      <c r="BR11" s="528">
        <f t="shared" si="21"/>
        <v>0</v>
      </c>
      <c r="BS11" s="529">
        <f t="shared" si="133"/>
        <v>0</v>
      </c>
      <c r="BT11" s="527"/>
      <c r="BU11" s="528">
        <f t="shared" si="22"/>
        <v>0</v>
      </c>
      <c r="BV11" s="529">
        <f t="shared" si="134"/>
        <v>0</v>
      </c>
      <c r="BW11" s="527"/>
      <c r="BX11" s="528">
        <f t="shared" si="23"/>
        <v>0</v>
      </c>
      <c r="BY11" s="529">
        <f t="shared" si="135"/>
        <v>0</v>
      </c>
      <c r="BZ11" s="527"/>
      <c r="CA11" s="528">
        <f t="shared" si="24"/>
        <v>0</v>
      </c>
      <c r="CB11" s="529">
        <f t="shared" si="136"/>
        <v>0</v>
      </c>
      <c r="CC11" s="527"/>
      <c r="CD11" s="528">
        <f t="shared" si="25"/>
        <v>0</v>
      </c>
      <c r="CE11" s="529">
        <f t="shared" si="137"/>
        <v>0</v>
      </c>
      <c r="CF11" s="527">
        <v>4.5</v>
      </c>
      <c r="CG11" s="528">
        <f t="shared" si="26"/>
        <v>0.11031033975584646</v>
      </c>
      <c r="CH11" s="529">
        <f t="shared" si="138"/>
        <v>0</v>
      </c>
      <c r="CI11" s="527"/>
      <c r="CJ11" s="528">
        <f t="shared" si="27"/>
        <v>0</v>
      </c>
      <c r="CK11" s="529">
        <f t="shared" si="139"/>
        <v>0</v>
      </c>
      <c r="CL11" s="527"/>
      <c r="CM11" s="528">
        <f t="shared" si="28"/>
        <v>0</v>
      </c>
      <c r="CN11" s="529">
        <f t="shared" si="140"/>
        <v>0</v>
      </c>
      <c r="CO11" s="527"/>
      <c r="CP11" s="528">
        <f t="shared" si="29"/>
        <v>0</v>
      </c>
      <c r="CQ11" s="529">
        <f t="shared" si="141"/>
        <v>0</v>
      </c>
      <c r="CR11" s="527"/>
      <c r="CS11" s="528">
        <f t="shared" si="30"/>
        <v>0</v>
      </c>
      <c r="CT11" s="529">
        <f t="shared" si="142"/>
        <v>0</v>
      </c>
      <c r="CU11" s="527"/>
      <c r="CV11" s="528">
        <f t="shared" si="31"/>
        <v>0</v>
      </c>
      <c r="CW11" s="529">
        <f t="shared" si="143"/>
        <v>0</v>
      </c>
      <c r="CX11" s="527"/>
      <c r="CY11" s="528">
        <f t="shared" si="32"/>
        <v>0</v>
      </c>
      <c r="CZ11" s="529">
        <f t="shared" si="144"/>
        <v>0</v>
      </c>
      <c r="DA11" s="527">
        <v>232.55813953488359</v>
      </c>
      <c r="DB11" s="528">
        <f t="shared" si="33"/>
        <v>5.7007927522401243</v>
      </c>
      <c r="DC11" s="529">
        <f t="shared" si="145"/>
        <v>0</v>
      </c>
      <c r="DD11" s="527"/>
      <c r="DE11" s="528">
        <f t="shared" si="34"/>
        <v>0</v>
      </c>
      <c r="DF11" s="529">
        <f t="shared" si="146"/>
        <v>0</v>
      </c>
      <c r="DG11" s="527"/>
      <c r="DH11" s="528">
        <f t="shared" si="35"/>
        <v>0</v>
      </c>
      <c r="DI11" s="529">
        <v>0</v>
      </c>
      <c r="DJ11" s="527"/>
      <c r="DK11" s="528">
        <f t="shared" si="36"/>
        <v>0</v>
      </c>
      <c r="DL11" s="529">
        <f t="shared" si="147"/>
        <v>0</v>
      </c>
      <c r="DM11" s="527"/>
      <c r="DN11" s="528">
        <f t="shared" si="37"/>
        <v>0</v>
      </c>
      <c r="DO11" s="529">
        <f t="shared" si="148"/>
        <v>0</v>
      </c>
      <c r="DP11" s="527"/>
      <c r="DQ11" s="528">
        <f t="shared" si="38"/>
        <v>0</v>
      </c>
      <c r="DR11" s="529">
        <f t="shared" si="149"/>
        <v>0</v>
      </c>
      <c r="DS11" s="527"/>
      <c r="DT11" s="528">
        <f t="shared" si="39"/>
        <v>0</v>
      </c>
      <c r="DU11" s="529">
        <f t="shared" si="150"/>
        <v>0</v>
      </c>
      <c r="DV11" s="527"/>
      <c r="DW11" s="528">
        <f t="shared" si="40"/>
        <v>0</v>
      </c>
      <c r="DX11" s="529">
        <f t="shared" si="151"/>
        <v>0</v>
      </c>
      <c r="DY11" s="527"/>
      <c r="DZ11" s="528">
        <f t="shared" si="41"/>
        <v>0</v>
      </c>
      <c r="EA11" s="529">
        <f t="shared" si="152"/>
        <v>0</v>
      </c>
      <c r="EB11" s="527"/>
      <c r="EC11" s="528">
        <f t="shared" si="42"/>
        <v>0</v>
      </c>
      <c r="ED11" s="529">
        <f t="shared" si="153"/>
        <v>0</v>
      </c>
      <c r="EE11" s="527">
        <v>21.802325581395337</v>
      </c>
      <c r="EF11" s="528">
        <f t="shared" si="43"/>
        <v>0.5344493205225116</v>
      </c>
      <c r="EG11" s="529">
        <f t="shared" si="154"/>
        <v>0</v>
      </c>
      <c r="EH11" s="527">
        <v>258.30588235294113</v>
      </c>
      <c r="EI11" s="528">
        <f t="shared" si="44"/>
        <v>6.3319576985081421</v>
      </c>
      <c r="EJ11" s="529">
        <f t="shared" si="155"/>
        <v>0</v>
      </c>
      <c r="EK11" s="527">
        <v>1</v>
      </c>
      <c r="EL11" s="528">
        <f t="shared" si="45"/>
        <v>2.4513408834632548E-2</v>
      </c>
      <c r="EM11" s="529">
        <f t="shared" si="156"/>
        <v>0</v>
      </c>
      <c r="EN11" s="527">
        <v>42.68292682926824</v>
      </c>
      <c r="EO11" s="528">
        <f t="shared" si="46"/>
        <v>1.0463040356245585</v>
      </c>
      <c r="EP11" s="529">
        <f t="shared" si="157"/>
        <v>0</v>
      </c>
      <c r="EQ11" s="527">
        <v>44.476744186046631</v>
      </c>
      <c r="ER11" s="528">
        <f t="shared" si="47"/>
        <v>1.0902766138659272</v>
      </c>
      <c r="ES11" s="529">
        <f t="shared" si="158"/>
        <v>0</v>
      </c>
      <c r="ET11" s="527"/>
      <c r="EU11" s="528">
        <f t="shared" si="48"/>
        <v>0</v>
      </c>
      <c r="EV11" s="529">
        <f t="shared" si="159"/>
        <v>0</v>
      </c>
      <c r="EW11" s="527"/>
      <c r="EX11" s="528">
        <f t="shared" si="49"/>
        <v>0</v>
      </c>
      <c r="EY11" s="529">
        <f t="shared" si="160"/>
        <v>0</v>
      </c>
      <c r="EZ11" s="527"/>
      <c r="FA11" s="528">
        <f t="shared" si="50"/>
        <v>0</v>
      </c>
      <c r="FB11" s="529">
        <f t="shared" si="161"/>
        <v>0</v>
      </c>
      <c r="FC11" s="527"/>
      <c r="FD11" s="528">
        <f t="shared" si="51"/>
        <v>0</v>
      </c>
      <c r="FE11" s="529">
        <f t="shared" si="162"/>
        <v>0</v>
      </c>
      <c r="FF11" s="527"/>
      <c r="FG11" s="528">
        <f t="shared" si="52"/>
        <v>0</v>
      </c>
      <c r="FH11" s="529">
        <f t="shared" si="163"/>
        <v>0</v>
      </c>
      <c r="FI11" s="527"/>
      <c r="FJ11" s="528">
        <f t="shared" si="53"/>
        <v>0</v>
      </c>
      <c r="FK11" s="529">
        <f t="shared" si="164"/>
        <v>0</v>
      </c>
      <c r="FL11" s="527"/>
      <c r="FM11" s="528">
        <f t="shared" si="54"/>
        <v>0</v>
      </c>
      <c r="FN11" s="529">
        <f t="shared" si="165"/>
        <v>0</v>
      </c>
      <c r="FO11" s="527"/>
      <c r="FP11" s="528">
        <f t="shared" si="55"/>
        <v>0</v>
      </c>
      <c r="FQ11" s="529">
        <f t="shared" si="166"/>
        <v>0</v>
      </c>
      <c r="FR11" s="527"/>
      <c r="FS11" s="528">
        <f t="shared" si="56"/>
        <v>0</v>
      </c>
      <c r="FT11" s="529">
        <f t="shared" si="167"/>
        <v>0</v>
      </c>
      <c r="FU11" s="527"/>
      <c r="FV11" s="528">
        <f t="shared" si="57"/>
        <v>0</v>
      </c>
      <c r="FW11" s="529">
        <f t="shared" si="168"/>
        <v>0</v>
      </c>
      <c r="FX11" s="527"/>
      <c r="FY11" s="528">
        <f t="shared" si="58"/>
        <v>0</v>
      </c>
      <c r="FZ11" s="529">
        <f t="shared" si="169"/>
        <v>0</v>
      </c>
      <c r="GA11" s="527"/>
      <c r="GB11" s="528">
        <f t="shared" si="59"/>
        <v>0</v>
      </c>
      <c r="GC11" s="529">
        <f t="shared" si="170"/>
        <v>0</v>
      </c>
      <c r="GD11" s="527"/>
      <c r="GE11" s="528">
        <f t="shared" si="60"/>
        <v>0</v>
      </c>
      <c r="GF11" s="529">
        <f t="shared" si="171"/>
        <v>0</v>
      </c>
      <c r="GG11" s="527">
        <v>11.252100323757224</v>
      </c>
      <c r="GH11" s="528">
        <f t="shared" si="61"/>
        <v>0.27582733548456206</v>
      </c>
      <c r="GI11" s="529">
        <f t="shared" si="172"/>
        <v>0</v>
      </c>
      <c r="GJ11" s="527">
        <v>11.252100323757224</v>
      </c>
      <c r="GK11" s="528">
        <f t="shared" si="62"/>
        <v>0.27582733548456206</v>
      </c>
      <c r="GL11" s="529">
        <f t="shared" si="173"/>
        <v>0</v>
      </c>
      <c r="GM11" s="527"/>
      <c r="GN11" s="528">
        <f t="shared" si="63"/>
        <v>0</v>
      </c>
      <c r="GO11" s="529">
        <f t="shared" si="174"/>
        <v>0</v>
      </c>
      <c r="GP11" s="527">
        <v>31.505880906520225</v>
      </c>
      <c r="GQ11" s="528">
        <f t="shared" si="64"/>
        <v>0.77231653935677369</v>
      </c>
      <c r="GR11" s="529">
        <f t="shared" si="175"/>
        <v>0</v>
      </c>
      <c r="GS11" s="527">
        <v>166.5310847916069</v>
      </c>
      <c r="GT11" s="528">
        <f t="shared" si="65"/>
        <v>4.0822445651715178</v>
      </c>
      <c r="GU11" s="529">
        <f t="shared" si="176"/>
        <v>0</v>
      </c>
      <c r="GV11" s="527">
        <v>121.52268349657801</v>
      </c>
      <c r="GW11" s="528">
        <f t="shared" si="66"/>
        <v>2.97893522323327</v>
      </c>
      <c r="GX11" s="529">
        <f t="shared" si="177"/>
        <v>0</v>
      </c>
      <c r="GY11" s="527"/>
      <c r="GZ11" s="528">
        <f t="shared" si="67"/>
        <v>0</v>
      </c>
      <c r="HA11" s="529">
        <f t="shared" si="178"/>
        <v>0</v>
      </c>
      <c r="HB11" s="527"/>
      <c r="HC11" s="528">
        <f t="shared" si="68"/>
        <v>0</v>
      </c>
      <c r="HD11" s="529">
        <f t="shared" si="179"/>
        <v>0</v>
      </c>
      <c r="HE11" s="527"/>
      <c r="HF11" s="528">
        <f t="shared" si="69"/>
        <v>0</v>
      </c>
      <c r="HG11" s="529">
        <f t="shared" si="180"/>
        <v>0</v>
      </c>
      <c r="HH11" s="527"/>
      <c r="HI11" s="528">
        <f t="shared" si="70"/>
        <v>0</v>
      </c>
      <c r="HJ11" s="529">
        <f t="shared" si="181"/>
        <v>0</v>
      </c>
      <c r="HK11" s="527"/>
      <c r="HL11" s="528">
        <f t="shared" si="71"/>
        <v>0</v>
      </c>
      <c r="HM11" s="529">
        <f t="shared" si="182"/>
        <v>0</v>
      </c>
      <c r="HN11" s="527">
        <v>584.20904880947501</v>
      </c>
      <c r="HO11" s="528">
        <f t="shared" si="72"/>
        <v>14.320955258358461</v>
      </c>
      <c r="HP11" s="529">
        <f t="shared" si="183"/>
        <v>0</v>
      </c>
      <c r="HQ11" s="527"/>
      <c r="HR11" s="528">
        <f t="shared" si="73"/>
        <v>0</v>
      </c>
      <c r="HS11" s="529">
        <f t="shared" si="184"/>
        <v>0</v>
      </c>
      <c r="HT11" s="527"/>
      <c r="HU11" s="528">
        <f t="shared" si="74"/>
        <v>0</v>
      </c>
      <c r="HV11" s="529">
        <f t="shared" si="185"/>
        <v>0</v>
      </c>
      <c r="HW11" s="527"/>
      <c r="HX11" s="528">
        <f t="shared" si="75"/>
        <v>0</v>
      </c>
      <c r="HY11" s="529">
        <f t="shared" si="186"/>
        <v>0</v>
      </c>
      <c r="HZ11" s="527"/>
      <c r="IA11" s="528">
        <f t="shared" si="76"/>
        <v>0</v>
      </c>
      <c r="IB11" s="529">
        <f t="shared" si="187"/>
        <v>0</v>
      </c>
      <c r="IC11" s="527"/>
      <c r="ID11" s="528">
        <f t="shared" si="77"/>
        <v>0</v>
      </c>
      <c r="IE11" s="529">
        <f t="shared" si="188"/>
        <v>0</v>
      </c>
      <c r="IF11" s="527"/>
      <c r="IG11" s="528">
        <f t="shared" si="78"/>
        <v>0</v>
      </c>
      <c r="IH11" s="529">
        <f t="shared" si="189"/>
        <v>0</v>
      </c>
      <c r="II11" s="527">
        <v>24.75462071226589</v>
      </c>
      <c r="IJ11" s="528">
        <f t="shared" si="79"/>
        <v>0.60682013806603652</v>
      </c>
      <c r="IK11" s="529">
        <f t="shared" si="190"/>
        <v>0</v>
      </c>
      <c r="IL11" s="527"/>
      <c r="IM11" s="528">
        <f t="shared" si="80"/>
        <v>0</v>
      </c>
      <c r="IN11" s="529">
        <f t="shared" si="191"/>
        <v>0</v>
      </c>
      <c r="IO11" s="527"/>
      <c r="IP11" s="528">
        <f t="shared" si="81"/>
        <v>0</v>
      </c>
      <c r="IQ11" s="529">
        <f t="shared" si="192"/>
        <v>0</v>
      </c>
      <c r="IR11" s="527">
        <v>45.008401295028897</v>
      </c>
      <c r="IS11" s="528">
        <f t="shared" si="82"/>
        <v>1.1033093419382483</v>
      </c>
      <c r="IT11" s="529">
        <f t="shared" si="193"/>
        <v>0</v>
      </c>
      <c r="IU11" s="527"/>
      <c r="IV11" s="528">
        <f t="shared" si="83"/>
        <v>0</v>
      </c>
      <c r="IW11" s="529">
        <f t="shared" si="194"/>
        <v>0</v>
      </c>
      <c r="IX11" s="527"/>
      <c r="IY11" s="528">
        <f t="shared" si="84"/>
        <v>0</v>
      </c>
      <c r="IZ11" s="529">
        <f t="shared" si="195"/>
        <v>0</v>
      </c>
      <c r="JA11" s="527"/>
      <c r="JB11" s="528">
        <f t="shared" si="85"/>
        <v>0</v>
      </c>
      <c r="JC11" s="529">
        <f t="shared" si="196"/>
        <v>0</v>
      </c>
      <c r="JD11" s="527"/>
      <c r="JE11" s="528">
        <f t="shared" si="86"/>
        <v>0</v>
      </c>
      <c r="JF11" s="529">
        <f t="shared" si="197"/>
        <v>0</v>
      </c>
      <c r="JG11" s="527"/>
      <c r="JH11" s="528">
        <f t="shared" si="87"/>
        <v>0</v>
      </c>
      <c r="JI11" s="529">
        <f t="shared" si="198"/>
        <v>0</v>
      </c>
      <c r="JJ11" s="527">
        <v>22.504200647514448</v>
      </c>
      <c r="JK11" s="529" t="str">
        <f t="shared" si="88"/>
        <v>0</v>
      </c>
      <c r="JL11" s="529" t="str">
        <f t="shared" si="89"/>
        <v>0</v>
      </c>
      <c r="JM11" s="527"/>
      <c r="JN11" s="529" t="str">
        <f t="shared" si="90"/>
        <v>0</v>
      </c>
      <c r="JO11" s="529" t="str">
        <f t="shared" si="91"/>
        <v>0</v>
      </c>
      <c r="JP11" s="527"/>
      <c r="JQ11" s="529" t="str">
        <f t="shared" si="92"/>
        <v>0</v>
      </c>
      <c r="JR11" s="529" t="str">
        <f t="shared" si="93"/>
        <v>0</v>
      </c>
      <c r="JS11" s="527"/>
      <c r="JT11" s="529" t="str">
        <f t="shared" si="94"/>
        <v>0</v>
      </c>
      <c r="JU11" s="529" t="str">
        <f t="shared" si="95"/>
        <v>0</v>
      </c>
      <c r="JV11" s="527"/>
      <c r="JW11" s="529" t="str">
        <f t="shared" si="96"/>
        <v>0</v>
      </c>
      <c r="JX11" s="529" t="str">
        <f t="shared" si="97"/>
        <v>0</v>
      </c>
      <c r="JY11" s="527"/>
      <c r="JZ11" s="529" t="str">
        <f t="shared" si="98"/>
        <v>0</v>
      </c>
      <c r="KA11" s="529" t="str">
        <f t="shared" si="99"/>
        <v>0</v>
      </c>
      <c r="KB11" s="527"/>
      <c r="KC11" s="529" t="str">
        <f t="shared" si="100"/>
        <v>0</v>
      </c>
      <c r="KD11" s="529" t="str">
        <f t="shared" si="101"/>
        <v>0</v>
      </c>
      <c r="KE11" s="527"/>
      <c r="KF11" s="529" t="str">
        <f t="shared" si="102"/>
        <v>0</v>
      </c>
      <c r="KG11" s="529" t="str">
        <f t="shared" si="103"/>
        <v>0</v>
      </c>
      <c r="KH11" s="527"/>
      <c r="KI11" s="529" t="str">
        <f t="shared" si="104"/>
        <v>0</v>
      </c>
      <c r="KJ11" s="529" t="str">
        <f t="shared" si="105"/>
        <v>0</v>
      </c>
      <c r="KK11" s="527"/>
      <c r="KL11" s="529" t="str">
        <f t="shared" si="106"/>
        <v>0</v>
      </c>
      <c r="KM11" s="529" t="str">
        <f t="shared" si="107"/>
        <v>0</v>
      </c>
      <c r="KN11" s="527"/>
      <c r="KO11" s="529" t="str">
        <f t="shared" si="108"/>
        <v>0</v>
      </c>
      <c r="KP11" s="529" t="str">
        <f t="shared" si="109"/>
        <v>0</v>
      </c>
      <c r="KQ11" s="527"/>
      <c r="KR11" s="529" t="str">
        <f t="shared" si="110"/>
        <v>0</v>
      </c>
      <c r="KS11" s="529" t="str">
        <f t="shared" si="111"/>
        <v>0</v>
      </c>
      <c r="KT11" s="529">
        <f t="shared" ref="KT11:KT41" si="201">H11+K11+N11+Q11+T11+W11+Z11+AC11+AF11+AI11+AL11+AO11+AR11+AU11+AX11+BA11+BD11+BG11+BJ11+BM11+BP11+BS11+BV11+BY11+CB11+CE11+CH11+CK11+CN11+CQ11+CT11+CW11+CZ11+DC11+DF11+DI11+DL11+DO11+DR11+DU11+DX11+EA11+ED11+EG11+EJ11+EM11+EP11+ES11+EV11+EY11+FB11+FE11+FH11+FK11+FN11+FQ11+FT11+FW11+FZ11+GC11</f>
        <v>0</v>
      </c>
      <c r="KU11" s="529">
        <f t="shared" ref="KU11:KU41" si="202">GF11+GI11+GL11+GO11+GR11+GU11+GX11+HA11+HD11+HG11+HJ11+HM11+HP11+HS11+HV11+HY11+IB11+IE11+IH11+IK11+IN11+IQ11+IT11+IW11+IZ11+JC11+JF11+JI11+JL11+JO11+JR11+JU11+JX11++KA11+KD11+KG11+KJ11++KM11+KP11+KS11</f>
        <v>0</v>
      </c>
      <c r="KV11" s="268">
        <f t="shared" si="199"/>
        <v>1677.6161397910391</v>
      </c>
    </row>
    <row r="12" spans="1:308" ht="15" customHeight="1">
      <c r="A12" s="270">
        <f t="shared" si="200"/>
        <v>46085</v>
      </c>
      <c r="B12" s="271" t="str">
        <f>+Report1!B12</f>
        <v>Toilet</v>
      </c>
      <c r="C12" s="271" t="str">
        <f>+Report1!C12</f>
        <v>14/15,5</v>
      </c>
      <c r="D12" s="272">
        <f>+Report1!P12</f>
        <v>38.302</v>
      </c>
      <c r="E12" s="273">
        <f>+Report1!R12</f>
        <v>38.091999999999999</v>
      </c>
      <c r="F12" s="527"/>
      <c r="G12" s="528">
        <f t="shared" si="0"/>
        <v>0</v>
      </c>
      <c r="H12" s="529">
        <f t="shared" si="112"/>
        <v>0</v>
      </c>
      <c r="I12" s="527"/>
      <c r="J12" s="528">
        <f t="shared" si="1"/>
        <v>0</v>
      </c>
      <c r="K12" s="529">
        <f t="shared" si="113"/>
        <v>0</v>
      </c>
      <c r="L12" s="527"/>
      <c r="M12" s="528">
        <f t="shared" si="2"/>
        <v>0</v>
      </c>
      <c r="N12" s="529">
        <f t="shared" si="114"/>
        <v>0</v>
      </c>
      <c r="O12" s="527">
        <v>12</v>
      </c>
      <c r="P12" s="528">
        <f t="shared" si="3"/>
        <v>0.31502677727606848</v>
      </c>
      <c r="Q12" s="529">
        <f t="shared" si="115"/>
        <v>0</v>
      </c>
      <c r="R12" s="527"/>
      <c r="S12" s="528">
        <f t="shared" si="4"/>
        <v>0</v>
      </c>
      <c r="T12" s="529">
        <f t="shared" si="116"/>
        <v>0</v>
      </c>
      <c r="U12" s="527">
        <v>7.6875</v>
      </c>
      <c r="V12" s="528">
        <f t="shared" si="5"/>
        <v>0.20181402919248137</v>
      </c>
      <c r="W12" s="529">
        <f t="shared" si="117"/>
        <v>0</v>
      </c>
      <c r="X12" s="527"/>
      <c r="Y12" s="528">
        <f t="shared" si="6"/>
        <v>0</v>
      </c>
      <c r="Z12" s="529">
        <f t="shared" si="118"/>
        <v>0</v>
      </c>
      <c r="AA12" s="527">
        <v>4.6874999999999858</v>
      </c>
      <c r="AB12" s="528">
        <f t="shared" si="7"/>
        <v>0.12305733487346388</v>
      </c>
      <c r="AC12" s="529">
        <f t="shared" si="119"/>
        <v>0</v>
      </c>
      <c r="AD12" s="527"/>
      <c r="AE12" s="528">
        <f t="shared" si="8"/>
        <v>0</v>
      </c>
      <c r="AF12" s="529">
        <f t="shared" si="120"/>
        <v>0</v>
      </c>
      <c r="AG12" s="527"/>
      <c r="AH12" s="528">
        <f t="shared" si="9"/>
        <v>0</v>
      </c>
      <c r="AI12" s="529">
        <f t="shared" si="121"/>
        <v>0</v>
      </c>
      <c r="AJ12" s="527">
        <v>29.375</v>
      </c>
      <c r="AK12" s="528">
        <f t="shared" si="10"/>
        <v>0.7711592985403759</v>
      </c>
      <c r="AL12" s="529">
        <f t="shared" si="122"/>
        <v>0</v>
      </c>
      <c r="AM12" s="527"/>
      <c r="AN12" s="528">
        <f t="shared" si="11"/>
        <v>0</v>
      </c>
      <c r="AO12" s="529">
        <f t="shared" si="123"/>
        <v>0</v>
      </c>
      <c r="AP12" s="527"/>
      <c r="AQ12" s="528">
        <f t="shared" si="12"/>
        <v>0</v>
      </c>
      <c r="AR12" s="529">
        <f t="shared" si="124"/>
        <v>0</v>
      </c>
      <c r="AS12" s="527"/>
      <c r="AT12" s="528">
        <f t="shared" si="13"/>
        <v>0</v>
      </c>
      <c r="AU12" s="529">
        <f t="shared" si="125"/>
        <v>0</v>
      </c>
      <c r="AV12" s="527"/>
      <c r="AW12" s="528">
        <f t="shared" si="14"/>
        <v>0</v>
      </c>
      <c r="AX12" s="529">
        <f t="shared" si="126"/>
        <v>0</v>
      </c>
      <c r="AY12" s="527"/>
      <c r="AZ12" s="528">
        <f t="shared" si="15"/>
        <v>0</v>
      </c>
      <c r="BA12" s="529">
        <f t="shared" si="127"/>
        <v>0</v>
      </c>
      <c r="BB12" s="527"/>
      <c r="BC12" s="528">
        <f t="shared" si="16"/>
        <v>0</v>
      </c>
      <c r="BD12" s="529">
        <f t="shared" si="128"/>
        <v>0</v>
      </c>
      <c r="BE12" s="527"/>
      <c r="BF12" s="528">
        <f t="shared" si="17"/>
        <v>0</v>
      </c>
      <c r="BG12" s="529">
        <f t="shared" si="129"/>
        <v>0</v>
      </c>
      <c r="BH12" s="527"/>
      <c r="BI12" s="528">
        <f t="shared" si="18"/>
        <v>0</v>
      </c>
      <c r="BJ12" s="529">
        <f t="shared" si="130"/>
        <v>0</v>
      </c>
      <c r="BK12" s="527"/>
      <c r="BL12" s="528">
        <f t="shared" si="19"/>
        <v>0</v>
      </c>
      <c r="BM12" s="529">
        <f t="shared" si="131"/>
        <v>0</v>
      </c>
      <c r="BN12" s="527"/>
      <c r="BO12" s="528">
        <f t="shared" si="20"/>
        <v>0</v>
      </c>
      <c r="BP12" s="529">
        <f t="shared" si="132"/>
        <v>0</v>
      </c>
      <c r="BQ12" s="527"/>
      <c r="BR12" s="528">
        <f t="shared" si="21"/>
        <v>0</v>
      </c>
      <c r="BS12" s="529">
        <f t="shared" si="133"/>
        <v>0</v>
      </c>
      <c r="BT12" s="527"/>
      <c r="BU12" s="528">
        <f t="shared" si="22"/>
        <v>0</v>
      </c>
      <c r="BV12" s="529">
        <f t="shared" si="134"/>
        <v>0</v>
      </c>
      <c r="BW12" s="527"/>
      <c r="BX12" s="528">
        <f t="shared" si="23"/>
        <v>0</v>
      </c>
      <c r="BY12" s="529">
        <f t="shared" si="135"/>
        <v>0</v>
      </c>
      <c r="BZ12" s="527"/>
      <c r="CA12" s="528">
        <f t="shared" si="24"/>
        <v>0</v>
      </c>
      <c r="CB12" s="529">
        <f t="shared" si="136"/>
        <v>0</v>
      </c>
      <c r="CC12" s="527"/>
      <c r="CD12" s="528">
        <f t="shared" si="25"/>
        <v>0</v>
      </c>
      <c r="CE12" s="529">
        <f t="shared" si="137"/>
        <v>0</v>
      </c>
      <c r="CF12" s="527">
        <v>4.5</v>
      </c>
      <c r="CG12" s="528">
        <f t="shared" si="26"/>
        <v>0.11813504147852567</v>
      </c>
      <c r="CH12" s="529">
        <f t="shared" si="138"/>
        <v>0</v>
      </c>
      <c r="CI12" s="527"/>
      <c r="CJ12" s="528">
        <f t="shared" si="27"/>
        <v>0</v>
      </c>
      <c r="CK12" s="529">
        <f t="shared" si="139"/>
        <v>0</v>
      </c>
      <c r="CL12" s="527"/>
      <c r="CM12" s="528">
        <f t="shared" si="28"/>
        <v>0</v>
      </c>
      <c r="CN12" s="529">
        <f t="shared" si="140"/>
        <v>0</v>
      </c>
      <c r="CO12" s="527"/>
      <c r="CP12" s="528">
        <f t="shared" si="29"/>
        <v>0</v>
      </c>
      <c r="CQ12" s="529">
        <f t="shared" si="141"/>
        <v>0</v>
      </c>
      <c r="CR12" s="527"/>
      <c r="CS12" s="528">
        <f t="shared" si="30"/>
        <v>0</v>
      </c>
      <c r="CT12" s="529">
        <f t="shared" si="142"/>
        <v>0</v>
      </c>
      <c r="CU12" s="527"/>
      <c r="CV12" s="528">
        <f t="shared" si="31"/>
        <v>0</v>
      </c>
      <c r="CW12" s="529">
        <f t="shared" si="143"/>
        <v>0</v>
      </c>
      <c r="CX12" s="527"/>
      <c r="CY12" s="528">
        <f t="shared" si="32"/>
        <v>0</v>
      </c>
      <c r="CZ12" s="529">
        <f t="shared" si="144"/>
        <v>0</v>
      </c>
      <c r="DA12" s="527">
        <v>261.62790697674416</v>
      </c>
      <c r="DB12" s="528">
        <f t="shared" si="33"/>
        <v>6.8683163650305623</v>
      </c>
      <c r="DC12" s="529">
        <f t="shared" si="145"/>
        <v>0</v>
      </c>
      <c r="DD12" s="527"/>
      <c r="DE12" s="528">
        <f t="shared" si="34"/>
        <v>0</v>
      </c>
      <c r="DF12" s="529">
        <f t="shared" si="146"/>
        <v>0</v>
      </c>
      <c r="DG12" s="527"/>
      <c r="DH12" s="528">
        <f t="shared" si="35"/>
        <v>0</v>
      </c>
      <c r="DI12" s="529">
        <v>0</v>
      </c>
      <c r="DJ12" s="527"/>
      <c r="DK12" s="528">
        <f t="shared" si="36"/>
        <v>0</v>
      </c>
      <c r="DL12" s="529">
        <f t="shared" si="147"/>
        <v>0</v>
      </c>
      <c r="DM12" s="527"/>
      <c r="DN12" s="528">
        <f t="shared" si="37"/>
        <v>0</v>
      </c>
      <c r="DO12" s="529">
        <f t="shared" si="148"/>
        <v>0</v>
      </c>
      <c r="DP12" s="527"/>
      <c r="DQ12" s="528">
        <f t="shared" si="38"/>
        <v>0</v>
      </c>
      <c r="DR12" s="529">
        <f t="shared" si="149"/>
        <v>0</v>
      </c>
      <c r="DS12" s="527"/>
      <c r="DT12" s="528">
        <f t="shared" si="39"/>
        <v>0</v>
      </c>
      <c r="DU12" s="529">
        <f t="shared" si="150"/>
        <v>0</v>
      </c>
      <c r="DV12" s="527"/>
      <c r="DW12" s="528">
        <f t="shared" si="40"/>
        <v>0</v>
      </c>
      <c r="DX12" s="529">
        <f t="shared" si="151"/>
        <v>0</v>
      </c>
      <c r="DY12" s="527"/>
      <c r="DZ12" s="528">
        <f t="shared" si="41"/>
        <v>0</v>
      </c>
      <c r="EA12" s="529">
        <f t="shared" si="152"/>
        <v>0</v>
      </c>
      <c r="EB12" s="527"/>
      <c r="EC12" s="528">
        <f t="shared" si="42"/>
        <v>0</v>
      </c>
      <c r="ED12" s="529">
        <f t="shared" si="153"/>
        <v>0</v>
      </c>
      <c r="EE12" s="527">
        <v>21.802325581395337</v>
      </c>
      <c r="EF12" s="528">
        <f t="shared" si="43"/>
        <v>0.57235969708587986</v>
      </c>
      <c r="EG12" s="529">
        <f t="shared" si="154"/>
        <v>0</v>
      </c>
      <c r="EH12" s="527">
        <v>234.82352941176464</v>
      </c>
      <c r="EI12" s="528">
        <f t="shared" si="44"/>
        <v>6.164641641598358</v>
      </c>
      <c r="EJ12" s="529">
        <f t="shared" si="155"/>
        <v>0</v>
      </c>
      <c r="EK12" s="527">
        <v>1</v>
      </c>
      <c r="EL12" s="528">
        <f t="shared" si="45"/>
        <v>2.6252231439672372E-2</v>
      </c>
      <c r="EM12" s="529">
        <f t="shared" si="156"/>
        <v>0</v>
      </c>
      <c r="EN12" s="527">
        <v>36.585365853658573</v>
      </c>
      <c r="EO12" s="528">
        <f t="shared" si="46"/>
        <v>0.96044749169533161</v>
      </c>
      <c r="EP12" s="529">
        <f t="shared" si="157"/>
        <v>0</v>
      </c>
      <c r="EQ12" s="527">
        <v>34.593023255813932</v>
      </c>
      <c r="ER12" s="528">
        <f t="shared" si="47"/>
        <v>0.90814405270959608</v>
      </c>
      <c r="ES12" s="529">
        <f t="shared" si="158"/>
        <v>0</v>
      </c>
      <c r="ET12" s="527"/>
      <c r="EU12" s="528">
        <f t="shared" si="48"/>
        <v>0</v>
      </c>
      <c r="EV12" s="529">
        <f t="shared" si="159"/>
        <v>0</v>
      </c>
      <c r="EW12" s="527"/>
      <c r="EX12" s="528">
        <f t="shared" si="49"/>
        <v>0</v>
      </c>
      <c r="EY12" s="529">
        <f t="shared" si="160"/>
        <v>0</v>
      </c>
      <c r="EZ12" s="527"/>
      <c r="FA12" s="528">
        <f t="shared" si="50"/>
        <v>0</v>
      </c>
      <c r="FB12" s="529">
        <f t="shared" si="161"/>
        <v>0</v>
      </c>
      <c r="FC12" s="527"/>
      <c r="FD12" s="528">
        <f t="shared" si="51"/>
        <v>0</v>
      </c>
      <c r="FE12" s="529">
        <f t="shared" si="162"/>
        <v>0</v>
      </c>
      <c r="FF12" s="527"/>
      <c r="FG12" s="528">
        <f t="shared" si="52"/>
        <v>0</v>
      </c>
      <c r="FH12" s="529">
        <f t="shared" si="163"/>
        <v>0</v>
      </c>
      <c r="FI12" s="527"/>
      <c r="FJ12" s="528">
        <f t="shared" si="53"/>
        <v>0</v>
      </c>
      <c r="FK12" s="529">
        <f t="shared" si="164"/>
        <v>0</v>
      </c>
      <c r="FL12" s="527"/>
      <c r="FM12" s="528">
        <f t="shared" si="54"/>
        <v>0</v>
      </c>
      <c r="FN12" s="529">
        <f t="shared" si="165"/>
        <v>0</v>
      </c>
      <c r="FO12" s="527"/>
      <c r="FP12" s="528">
        <f t="shared" si="55"/>
        <v>0</v>
      </c>
      <c r="FQ12" s="529">
        <f t="shared" si="166"/>
        <v>0</v>
      </c>
      <c r="FR12" s="527"/>
      <c r="FS12" s="528">
        <f t="shared" si="56"/>
        <v>0</v>
      </c>
      <c r="FT12" s="529">
        <f t="shared" si="167"/>
        <v>0</v>
      </c>
      <c r="FU12" s="527"/>
      <c r="FV12" s="528">
        <f t="shared" si="57"/>
        <v>0</v>
      </c>
      <c r="FW12" s="529">
        <f t="shared" si="168"/>
        <v>0</v>
      </c>
      <c r="FX12" s="527"/>
      <c r="FY12" s="528">
        <f t="shared" si="58"/>
        <v>0</v>
      </c>
      <c r="FZ12" s="529">
        <f t="shared" si="169"/>
        <v>0</v>
      </c>
      <c r="GA12" s="527"/>
      <c r="GB12" s="528">
        <f t="shared" si="59"/>
        <v>0</v>
      </c>
      <c r="GC12" s="529">
        <f t="shared" si="170"/>
        <v>0</v>
      </c>
      <c r="GD12" s="527"/>
      <c r="GE12" s="528">
        <f t="shared" si="60"/>
        <v>0</v>
      </c>
      <c r="GF12" s="529">
        <f t="shared" si="171"/>
        <v>0</v>
      </c>
      <c r="GG12" s="527">
        <v>12.633530963512419</v>
      </c>
      <c r="GH12" s="528">
        <f t="shared" si="61"/>
        <v>0.33165837875439513</v>
      </c>
      <c r="GI12" s="529">
        <f t="shared" si="172"/>
        <v>0</v>
      </c>
      <c r="GJ12" s="527">
        <v>12.633530963512419</v>
      </c>
      <c r="GK12" s="528">
        <f t="shared" si="62"/>
        <v>0.33165837875439513</v>
      </c>
      <c r="GL12" s="529">
        <f t="shared" si="173"/>
        <v>0</v>
      </c>
      <c r="GM12" s="527"/>
      <c r="GN12" s="528">
        <f t="shared" si="63"/>
        <v>0</v>
      </c>
      <c r="GO12" s="529">
        <f t="shared" si="174"/>
        <v>0</v>
      </c>
      <c r="GP12" s="527">
        <v>35.37388669783477</v>
      </c>
      <c r="GQ12" s="528">
        <f t="shared" si="64"/>
        <v>0.92864346051230628</v>
      </c>
      <c r="GR12" s="529">
        <f t="shared" si="175"/>
        <v>0</v>
      </c>
      <c r="GS12" s="527">
        <v>176.86943348917384</v>
      </c>
      <c r="GT12" s="528">
        <f t="shared" si="65"/>
        <v>4.6432173025615313</v>
      </c>
      <c r="GU12" s="529">
        <f t="shared" si="176"/>
        <v>0</v>
      </c>
      <c r="GV12" s="527">
        <v>116.22848486431425</v>
      </c>
      <c r="GW12" s="528">
        <f t="shared" si="66"/>
        <v>3.0512570845404352</v>
      </c>
      <c r="GX12" s="529">
        <f t="shared" si="177"/>
        <v>0</v>
      </c>
      <c r="GY12" s="527"/>
      <c r="GZ12" s="528">
        <f t="shared" si="67"/>
        <v>0</v>
      </c>
      <c r="HA12" s="529">
        <f t="shared" si="178"/>
        <v>0</v>
      </c>
      <c r="HB12" s="527"/>
      <c r="HC12" s="528">
        <f t="shared" si="68"/>
        <v>0</v>
      </c>
      <c r="HD12" s="529">
        <f t="shared" si="179"/>
        <v>0</v>
      </c>
      <c r="HE12" s="527"/>
      <c r="HF12" s="528">
        <f t="shared" si="69"/>
        <v>0</v>
      </c>
      <c r="HG12" s="529">
        <f t="shared" si="180"/>
        <v>0</v>
      </c>
      <c r="HH12" s="527"/>
      <c r="HI12" s="528">
        <f t="shared" si="70"/>
        <v>0</v>
      </c>
      <c r="HJ12" s="529">
        <f t="shared" si="181"/>
        <v>0</v>
      </c>
      <c r="HK12" s="527"/>
      <c r="HL12" s="528">
        <f t="shared" si="71"/>
        <v>0</v>
      </c>
      <c r="HM12" s="529">
        <f t="shared" si="182"/>
        <v>0</v>
      </c>
      <c r="HN12" s="527">
        <v>864.1335179042494</v>
      </c>
      <c r="HO12" s="528">
        <f t="shared" si="72"/>
        <v>22.685433106800627</v>
      </c>
      <c r="HP12" s="529">
        <f t="shared" si="183"/>
        <v>0</v>
      </c>
      <c r="HQ12" s="527"/>
      <c r="HR12" s="528">
        <f t="shared" si="73"/>
        <v>0</v>
      </c>
      <c r="HS12" s="529">
        <f t="shared" si="184"/>
        <v>0</v>
      </c>
      <c r="HT12" s="527"/>
      <c r="HU12" s="528">
        <f t="shared" si="74"/>
        <v>0</v>
      </c>
      <c r="HV12" s="529">
        <f t="shared" si="185"/>
        <v>0</v>
      </c>
      <c r="HW12" s="527"/>
      <c r="HX12" s="528">
        <f t="shared" si="75"/>
        <v>0</v>
      </c>
      <c r="HY12" s="529">
        <f t="shared" si="186"/>
        <v>0</v>
      </c>
      <c r="HZ12" s="527"/>
      <c r="IA12" s="528">
        <f t="shared" si="76"/>
        <v>0</v>
      </c>
      <c r="IB12" s="529">
        <f t="shared" si="187"/>
        <v>0</v>
      </c>
      <c r="IC12" s="527"/>
      <c r="ID12" s="528">
        <f t="shared" si="77"/>
        <v>0</v>
      </c>
      <c r="IE12" s="529">
        <f t="shared" si="188"/>
        <v>0</v>
      </c>
      <c r="IF12" s="527"/>
      <c r="IG12" s="528">
        <f t="shared" si="78"/>
        <v>0</v>
      </c>
      <c r="IH12" s="529">
        <f t="shared" si="189"/>
        <v>0</v>
      </c>
      <c r="II12" s="527">
        <v>25.267061927024837</v>
      </c>
      <c r="IJ12" s="528">
        <f t="shared" si="79"/>
        <v>0.66331675750879027</v>
      </c>
      <c r="IK12" s="529">
        <f t="shared" si="190"/>
        <v>0</v>
      </c>
      <c r="IL12" s="527"/>
      <c r="IM12" s="528">
        <f t="shared" si="80"/>
        <v>0</v>
      </c>
      <c r="IN12" s="529">
        <f t="shared" si="191"/>
        <v>0</v>
      </c>
      <c r="IO12" s="527"/>
      <c r="IP12" s="528">
        <f t="shared" si="81"/>
        <v>0</v>
      </c>
      <c r="IQ12" s="529">
        <f t="shared" si="192"/>
        <v>0</v>
      </c>
      <c r="IR12" s="527">
        <v>40.427299083239738</v>
      </c>
      <c r="IS12" s="528">
        <f t="shared" si="82"/>
        <v>1.0613068120140643</v>
      </c>
      <c r="IT12" s="529">
        <f t="shared" si="193"/>
        <v>0</v>
      </c>
      <c r="IU12" s="527"/>
      <c r="IV12" s="528">
        <f t="shared" si="83"/>
        <v>0</v>
      </c>
      <c r="IW12" s="529">
        <f t="shared" si="194"/>
        <v>0</v>
      </c>
      <c r="IX12" s="527"/>
      <c r="IY12" s="528">
        <f t="shared" si="84"/>
        <v>0</v>
      </c>
      <c r="IZ12" s="529">
        <f t="shared" si="195"/>
        <v>0</v>
      </c>
      <c r="JA12" s="527"/>
      <c r="JB12" s="528">
        <f t="shared" si="85"/>
        <v>0</v>
      </c>
      <c r="JC12" s="529">
        <f t="shared" si="196"/>
        <v>0</v>
      </c>
      <c r="JD12" s="527"/>
      <c r="JE12" s="528">
        <f t="shared" si="86"/>
        <v>0</v>
      </c>
      <c r="JF12" s="529">
        <f t="shared" si="197"/>
        <v>0</v>
      </c>
      <c r="JG12" s="527"/>
      <c r="JH12" s="528">
        <f t="shared" si="87"/>
        <v>0</v>
      </c>
      <c r="JI12" s="529">
        <f t="shared" si="198"/>
        <v>0</v>
      </c>
      <c r="JJ12" s="527">
        <v>25.267061927024837</v>
      </c>
      <c r="JK12" s="529" t="str">
        <f t="shared" si="88"/>
        <v>0</v>
      </c>
      <c r="JL12" s="529" t="str">
        <f t="shared" si="89"/>
        <v>0</v>
      </c>
      <c r="JM12" s="527"/>
      <c r="JN12" s="529" t="str">
        <f t="shared" si="90"/>
        <v>0</v>
      </c>
      <c r="JO12" s="529" t="str">
        <f t="shared" si="91"/>
        <v>0</v>
      </c>
      <c r="JP12" s="527"/>
      <c r="JQ12" s="529" t="str">
        <f t="shared" si="92"/>
        <v>0</v>
      </c>
      <c r="JR12" s="529" t="str">
        <f t="shared" si="93"/>
        <v>0</v>
      </c>
      <c r="JS12" s="527"/>
      <c r="JT12" s="529" t="str">
        <f t="shared" si="94"/>
        <v>0</v>
      </c>
      <c r="JU12" s="529" t="str">
        <f t="shared" si="95"/>
        <v>0</v>
      </c>
      <c r="JV12" s="527"/>
      <c r="JW12" s="529" t="str">
        <f t="shared" si="96"/>
        <v>0</v>
      </c>
      <c r="JX12" s="529" t="str">
        <f t="shared" si="97"/>
        <v>0</v>
      </c>
      <c r="JY12" s="527"/>
      <c r="JZ12" s="529" t="str">
        <f t="shared" si="98"/>
        <v>0</v>
      </c>
      <c r="KA12" s="529" t="str">
        <f t="shared" si="99"/>
        <v>0</v>
      </c>
      <c r="KB12" s="527"/>
      <c r="KC12" s="529" t="str">
        <f t="shared" si="100"/>
        <v>0</v>
      </c>
      <c r="KD12" s="529" t="str">
        <f t="shared" si="101"/>
        <v>0</v>
      </c>
      <c r="KE12" s="527"/>
      <c r="KF12" s="529" t="str">
        <f t="shared" si="102"/>
        <v>0</v>
      </c>
      <c r="KG12" s="529" t="str">
        <f t="shared" si="103"/>
        <v>0</v>
      </c>
      <c r="KH12" s="527"/>
      <c r="KI12" s="529" t="str">
        <f t="shared" si="104"/>
        <v>0</v>
      </c>
      <c r="KJ12" s="529" t="str">
        <f t="shared" si="105"/>
        <v>0</v>
      </c>
      <c r="KK12" s="527"/>
      <c r="KL12" s="529" t="str">
        <f t="shared" si="106"/>
        <v>0</v>
      </c>
      <c r="KM12" s="529" t="str">
        <f t="shared" si="107"/>
        <v>0</v>
      </c>
      <c r="KN12" s="527"/>
      <c r="KO12" s="529" t="str">
        <f t="shared" si="108"/>
        <v>0</v>
      </c>
      <c r="KP12" s="529" t="str">
        <f t="shared" si="109"/>
        <v>0</v>
      </c>
      <c r="KQ12" s="527"/>
      <c r="KR12" s="529" t="str">
        <f t="shared" si="110"/>
        <v>0</v>
      </c>
      <c r="KS12" s="529" t="str">
        <f t="shared" si="111"/>
        <v>0</v>
      </c>
      <c r="KT12" s="529">
        <f t="shared" si="201"/>
        <v>0</v>
      </c>
      <c r="KU12" s="529">
        <f t="shared" si="202"/>
        <v>0</v>
      </c>
      <c r="KV12" s="268">
        <f t="shared" si="199"/>
        <v>1957.5159588992628</v>
      </c>
    </row>
    <row r="13" spans="1:308" ht="15" customHeight="1">
      <c r="A13" s="270">
        <f t="shared" si="200"/>
        <v>46086</v>
      </c>
      <c r="B13" s="271" t="str">
        <f>+Report1!B13</f>
        <v>Toilet</v>
      </c>
      <c r="C13" s="271" t="str">
        <f>+Report1!C13</f>
        <v>15,5/13,5</v>
      </c>
      <c r="D13" s="272">
        <f>+Report1!P13</f>
        <v>42.480000000000004</v>
      </c>
      <c r="E13" s="273">
        <f>+Report1!R13</f>
        <v>43.31</v>
      </c>
      <c r="F13" s="527"/>
      <c r="G13" s="528">
        <f t="shared" si="0"/>
        <v>0</v>
      </c>
      <c r="H13" s="529">
        <f t="shared" si="112"/>
        <v>0</v>
      </c>
      <c r="I13" s="527"/>
      <c r="J13" s="528">
        <f t="shared" si="1"/>
        <v>0</v>
      </c>
      <c r="K13" s="529">
        <f t="shared" si="113"/>
        <v>0</v>
      </c>
      <c r="L13" s="527"/>
      <c r="M13" s="528">
        <f t="shared" si="2"/>
        <v>0</v>
      </c>
      <c r="N13" s="529">
        <f t="shared" si="114"/>
        <v>0</v>
      </c>
      <c r="O13" s="527">
        <v>11.999999999999972</v>
      </c>
      <c r="P13" s="528">
        <f t="shared" si="3"/>
        <v>0.27707226968367515</v>
      </c>
      <c r="Q13" s="529">
        <f t="shared" si="115"/>
        <v>0</v>
      </c>
      <c r="R13" s="527"/>
      <c r="S13" s="528">
        <f t="shared" si="4"/>
        <v>0</v>
      </c>
      <c r="T13" s="529">
        <f t="shared" si="116"/>
        <v>0</v>
      </c>
      <c r="U13" s="527">
        <v>7.6875</v>
      </c>
      <c r="V13" s="528">
        <f t="shared" si="5"/>
        <v>0.17749942276610481</v>
      </c>
      <c r="W13" s="529">
        <f t="shared" si="117"/>
        <v>0</v>
      </c>
      <c r="X13" s="527"/>
      <c r="Y13" s="528">
        <f t="shared" si="6"/>
        <v>0</v>
      </c>
      <c r="Z13" s="529">
        <f t="shared" si="118"/>
        <v>0</v>
      </c>
      <c r="AA13" s="527">
        <v>4.6874999999999858</v>
      </c>
      <c r="AB13" s="528">
        <f t="shared" si="7"/>
        <v>0.10823135534518553</v>
      </c>
      <c r="AC13" s="529">
        <f t="shared" si="119"/>
        <v>0</v>
      </c>
      <c r="AD13" s="527"/>
      <c r="AE13" s="528">
        <f t="shared" si="8"/>
        <v>0</v>
      </c>
      <c r="AF13" s="529">
        <f t="shared" si="120"/>
        <v>0</v>
      </c>
      <c r="AG13" s="527"/>
      <c r="AH13" s="528">
        <f t="shared" si="9"/>
        <v>0</v>
      </c>
      <c r="AI13" s="529">
        <f t="shared" si="121"/>
        <v>0</v>
      </c>
      <c r="AJ13" s="527">
        <v>29.375</v>
      </c>
      <c r="AK13" s="528">
        <f t="shared" si="10"/>
        <v>0.67824982682983137</v>
      </c>
      <c r="AL13" s="529">
        <f t="shared" si="122"/>
        <v>0</v>
      </c>
      <c r="AM13" s="527"/>
      <c r="AN13" s="528">
        <f t="shared" si="11"/>
        <v>0</v>
      </c>
      <c r="AO13" s="529">
        <f t="shared" si="123"/>
        <v>0</v>
      </c>
      <c r="AP13" s="527"/>
      <c r="AQ13" s="528">
        <f t="shared" si="12"/>
        <v>0</v>
      </c>
      <c r="AR13" s="529">
        <f t="shared" si="124"/>
        <v>0</v>
      </c>
      <c r="AS13" s="527"/>
      <c r="AT13" s="528">
        <f t="shared" si="13"/>
        <v>0</v>
      </c>
      <c r="AU13" s="529">
        <f t="shared" si="125"/>
        <v>0</v>
      </c>
      <c r="AV13" s="527"/>
      <c r="AW13" s="528">
        <f t="shared" si="14"/>
        <v>0</v>
      </c>
      <c r="AX13" s="529">
        <f t="shared" si="126"/>
        <v>0</v>
      </c>
      <c r="AY13" s="527"/>
      <c r="AZ13" s="528">
        <f t="shared" si="15"/>
        <v>0</v>
      </c>
      <c r="BA13" s="529">
        <f t="shared" si="127"/>
        <v>0</v>
      </c>
      <c r="BB13" s="527"/>
      <c r="BC13" s="528">
        <f t="shared" si="16"/>
        <v>0</v>
      </c>
      <c r="BD13" s="529">
        <f t="shared" si="128"/>
        <v>0</v>
      </c>
      <c r="BE13" s="527"/>
      <c r="BF13" s="528">
        <f t="shared" si="17"/>
        <v>0</v>
      </c>
      <c r="BG13" s="529">
        <f t="shared" si="129"/>
        <v>0</v>
      </c>
      <c r="BH13" s="527"/>
      <c r="BI13" s="528">
        <f t="shared" si="18"/>
        <v>0</v>
      </c>
      <c r="BJ13" s="529">
        <f t="shared" si="130"/>
        <v>0</v>
      </c>
      <c r="BK13" s="527"/>
      <c r="BL13" s="528">
        <f t="shared" si="19"/>
        <v>0</v>
      </c>
      <c r="BM13" s="529">
        <f t="shared" si="131"/>
        <v>0</v>
      </c>
      <c r="BN13" s="527"/>
      <c r="BO13" s="528">
        <f t="shared" si="20"/>
        <v>0</v>
      </c>
      <c r="BP13" s="529">
        <f t="shared" si="132"/>
        <v>0</v>
      </c>
      <c r="BQ13" s="527"/>
      <c r="BR13" s="528">
        <f t="shared" si="21"/>
        <v>0</v>
      </c>
      <c r="BS13" s="529">
        <f t="shared" si="133"/>
        <v>0</v>
      </c>
      <c r="BT13" s="527"/>
      <c r="BU13" s="528">
        <f t="shared" si="22"/>
        <v>0</v>
      </c>
      <c r="BV13" s="529">
        <f t="shared" si="134"/>
        <v>0</v>
      </c>
      <c r="BW13" s="527"/>
      <c r="BX13" s="528">
        <f t="shared" si="23"/>
        <v>0</v>
      </c>
      <c r="BY13" s="529">
        <f t="shared" si="135"/>
        <v>0</v>
      </c>
      <c r="BZ13" s="527"/>
      <c r="CA13" s="528">
        <f t="shared" si="24"/>
        <v>0</v>
      </c>
      <c r="CB13" s="529">
        <f t="shared" si="136"/>
        <v>0</v>
      </c>
      <c r="CC13" s="527"/>
      <c r="CD13" s="528">
        <f t="shared" si="25"/>
        <v>0</v>
      </c>
      <c r="CE13" s="529">
        <f t="shared" si="137"/>
        <v>0</v>
      </c>
      <c r="CF13" s="527">
        <v>4.5</v>
      </c>
      <c r="CG13" s="528">
        <f t="shared" si="26"/>
        <v>0.10390210113137843</v>
      </c>
      <c r="CH13" s="529">
        <f t="shared" si="138"/>
        <v>0</v>
      </c>
      <c r="CI13" s="527"/>
      <c r="CJ13" s="528">
        <f t="shared" si="27"/>
        <v>0</v>
      </c>
      <c r="CK13" s="529">
        <f t="shared" si="139"/>
        <v>0</v>
      </c>
      <c r="CL13" s="527"/>
      <c r="CM13" s="528">
        <f t="shared" si="28"/>
        <v>0</v>
      </c>
      <c r="CN13" s="529">
        <f t="shared" si="140"/>
        <v>0</v>
      </c>
      <c r="CO13" s="527"/>
      <c r="CP13" s="528">
        <f t="shared" si="29"/>
        <v>0</v>
      </c>
      <c r="CQ13" s="529">
        <f t="shared" si="141"/>
        <v>0</v>
      </c>
      <c r="CR13" s="527"/>
      <c r="CS13" s="528">
        <f t="shared" si="30"/>
        <v>0</v>
      </c>
      <c r="CT13" s="529">
        <f t="shared" si="142"/>
        <v>0</v>
      </c>
      <c r="CU13" s="527"/>
      <c r="CV13" s="528">
        <f t="shared" si="31"/>
        <v>0</v>
      </c>
      <c r="CW13" s="529">
        <f t="shared" si="143"/>
        <v>0</v>
      </c>
      <c r="CX13" s="527"/>
      <c r="CY13" s="528">
        <f t="shared" si="32"/>
        <v>0</v>
      </c>
      <c r="CZ13" s="529">
        <f t="shared" si="144"/>
        <v>0</v>
      </c>
      <c r="DA13" s="527">
        <v>218.0232558139536</v>
      </c>
      <c r="DB13" s="528">
        <f t="shared" si="33"/>
        <v>5.0340165276830655</v>
      </c>
      <c r="DC13" s="529">
        <f t="shared" si="145"/>
        <v>0</v>
      </c>
      <c r="DD13" s="527"/>
      <c r="DE13" s="528">
        <f t="shared" si="34"/>
        <v>0</v>
      </c>
      <c r="DF13" s="529">
        <f t="shared" si="146"/>
        <v>0</v>
      </c>
      <c r="DG13" s="527"/>
      <c r="DH13" s="528">
        <f t="shared" si="35"/>
        <v>0</v>
      </c>
      <c r="DI13" s="529">
        <v>0</v>
      </c>
      <c r="DJ13" s="527"/>
      <c r="DK13" s="528">
        <f t="shared" si="36"/>
        <v>0</v>
      </c>
      <c r="DL13" s="529">
        <f t="shared" si="147"/>
        <v>0</v>
      </c>
      <c r="DM13" s="527"/>
      <c r="DN13" s="528">
        <f t="shared" si="37"/>
        <v>0</v>
      </c>
      <c r="DO13" s="529">
        <f t="shared" si="148"/>
        <v>0</v>
      </c>
      <c r="DP13" s="527"/>
      <c r="DQ13" s="528">
        <f t="shared" si="38"/>
        <v>0</v>
      </c>
      <c r="DR13" s="529">
        <f t="shared" si="149"/>
        <v>0</v>
      </c>
      <c r="DS13" s="527"/>
      <c r="DT13" s="528">
        <f t="shared" si="39"/>
        <v>0</v>
      </c>
      <c r="DU13" s="529">
        <f t="shared" si="150"/>
        <v>0</v>
      </c>
      <c r="DV13" s="527"/>
      <c r="DW13" s="528">
        <f t="shared" si="40"/>
        <v>0</v>
      </c>
      <c r="DX13" s="529">
        <f t="shared" si="151"/>
        <v>0</v>
      </c>
      <c r="DY13" s="527"/>
      <c r="DZ13" s="528">
        <f t="shared" si="41"/>
        <v>0</v>
      </c>
      <c r="EA13" s="529">
        <f t="shared" si="152"/>
        <v>0</v>
      </c>
      <c r="EB13" s="527"/>
      <c r="EC13" s="528">
        <f t="shared" si="42"/>
        <v>0</v>
      </c>
      <c r="ED13" s="529">
        <f t="shared" si="153"/>
        <v>0</v>
      </c>
      <c r="EE13" s="527">
        <v>21.802325581395337</v>
      </c>
      <c r="EF13" s="528">
        <f t="shared" si="43"/>
        <v>0.50340165276830606</v>
      </c>
      <c r="EG13" s="529">
        <f t="shared" si="154"/>
        <v>0</v>
      </c>
      <c r="EH13" s="527">
        <v>234.82352941176487</v>
      </c>
      <c r="EI13" s="528">
        <f t="shared" si="44"/>
        <v>5.4219240224374241</v>
      </c>
      <c r="EJ13" s="529">
        <f t="shared" si="155"/>
        <v>0</v>
      </c>
      <c r="EK13" s="527">
        <v>0</v>
      </c>
      <c r="EL13" s="528">
        <f t="shared" si="45"/>
        <v>0</v>
      </c>
      <c r="EM13" s="529">
        <f t="shared" si="156"/>
        <v>0</v>
      </c>
      <c r="EN13" s="527">
        <v>30.487804878048792</v>
      </c>
      <c r="EO13" s="528">
        <f t="shared" si="46"/>
        <v>0.70394377460283519</v>
      </c>
      <c r="EP13" s="529">
        <f t="shared" si="157"/>
        <v>0</v>
      </c>
      <c r="EQ13" s="527">
        <v>39.534883720930281</v>
      </c>
      <c r="ER13" s="528">
        <f t="shared" si="47"/>
        <v>0.91283499701986326</v>
      </c>
      <c r="ES13" s="529">
        <f t="shared" si="158"/>
        <v>0</v>
      </c>
      <c r="ET13" s="527"/>
      <c r="EU13" s="528">
        <f t="shared" si="48"/>
        <v>0</v>
      </c>
      <c r="EV13" s="529">
        <f t="shared" si="159"/>
        <v>0</v>
      </c>
      <c r="EW13" s="527"/>
      <c r="EX13" s="528">
        <f t="shared" si="49"/>
        <v>0</v>
      </c>
      <c r="EY13" s="529">
        <f t="shared" si="160"/>
        <v>0</v>
      </c>
      <c r="EZ13" s="527"/>
      <c r="FA13" s="528">
        <f t="shared" si="50"/>
        <v>0</v>
      </c>
      <c r="FB13" s="529">
        <f t="shared" si="161"/>
        <v>0</v>
      </c>
      <c r="FC13" s="527"/>
      <c r="FD13" s="528">
        <f t="shared" si="51"/>
        <v>0</v>
      </c>
      <c r="FE13" s="529">
        <f t="shared" si="162"/>
        <v>0</v>
      </c>
      <c r="FF13" s="527"/>
      <c r="FG13" s="528">
        <f t="shared" si="52"/>
        <v>0</v>
      </c>
      <c r="FH13" s="529">
        <f t="shared" si="163"/>
        <v>0</v>
      </c>
      <c r="FI13" s="527"/>
      <c r="FJ13" s="528">
        <f t="shared" si="53"/>
        <v>0</v>
      </c>
      <c r="FK13" s="529">
        <f t="shared" si="164"/>
        <v>0</v>
      </c>
      <c r="FL13" s="527"/>
      <c r="FM13" s="528">
        <f t="shared" si="54"/>
        <v>0</v>
      </c>
      <c r="FN13" s="529">
        <f t="shared" si="165"/>
        <v>0</v>
      </c>
      <c r="FO13" s="527"/>
      <c r="FP13" s="528">
        <f t="shared" si="55"/>
        <v>0</v>
      </c>
      <c r="FQ13" s="529">
        <f t="shared" si="166"/>
        <v>0</v>
      </c>
      <c r="FR13" s="527"/>
      <c r="FS13" s="528">
        <f t="shared" si="56"/>
        <v>0</v>
      </c>
      <c r="FT13" s="529">
        <f t="shared" si="167"/>
        <v>0</v>
      </c>
      <c r="FU13" s="527"/>
      <c r="FV13" s="528">
        <f t="shared" si="57"/>
        <v>0</v>
      </c>
      <c r="FW13" s="529">
        <f t="shared" si="168"/>
        <v>0</v>
      </c>
      <c r="FX13" s="527"/>
      <c r="FY13" s="528">
        <f t="shared" si="58"/>
        <v>0</v>
      </c>
      <c r="FZ13" s="529">
        <f t="shared" si="169"/>
        <v>0</v>
      </c>
      <c r="GA13" s="527"/>
      <c r="GB13" s="528">
        <f t="shared" si="59"/>
        <v>0</v>
      </c>
      <c r="GC13" s="529">
        <f t="shared" si="170"/>
        <v>0</v>
      </c>
      <c r="GD13" s="527"/>
      <c r="GE13" s="528">
        <f t="shared" si="60"/>
        <v>0</v>
      </c>
      <c r="GF13" s="529">
        <f t="shared" si="171"/>
        <v>0</v>
      </c>
      <c r="GG13" s="527">
        <v>13.392744545798479</v>
      </c>
      <c r="GH13" s="528">
        <f t="shared" si="61"/>
        <v>0.30922984404983789</v>
      </c>
      <c r="GI13" s="529">
        <f t="shared" si="172"/>
        <v>0</v>
      </c>
      <c r="GJ13" s="527">
        <v>13.392744545798479</v>
      </c>
      <c r="GK13" s="528">
        <f t="shared" si="62"/>
        <v>0.30922984404983789</v>
      </c>
      <c r="GL13" s="529">
        <f t="shared" si="173"/>
        <v>0</v>
      </c>
      <c r="GM13" s="527"/>
      <c r="GN13" s="528">
        <f t="shared" si="63"/>
        <v>0</v>
      </c>
      <c r="GO13" s="529">
        <f t="shared" si="174"/>
        <v>0</v>
      </c>
      <c r="GP13" s="527">
        <v>31.249737273529782</v>
      </c>
      <c r="GQ13" s="528">
        <f t="shared" si="64"/>
        <v>0.721536302782955</v>
      </c>
      <c r="GR13" s="529">
        <f t="shared" si="175"/>
        <v>0</v>
      </c>
      <c r="GS13" s="527">
        <v>133.92744545798479</v>
      </c>
      <c r="GT13" s="528">
        <f t="shared" si="65"/>
        <v>3.0922984404983787</v>
      </c>
      <c r="GU13" s="529">
        <f t="shared" si="176"/>
        <v>0</v>
      </c>
      <c r="GV13" s="527">
        <v>80.356467274790873</v>
      </c>
      <c r="GW13" s="528">
        <f t="shared" si="66"/>
        <v>1.8553790642990273</v>
      </c>
      <c r="GX13" s="529">
        <f t="shared" si="177"/>
        <v>0</v>
      </c>
      <c r="GY13" s="527"/>
      <c r="GZ13" s="528">
        <f t="shared" si="67"/>
        <v>0</v>
      </c>
      <c r="HA13" s="529">
        <f t="shared" si="178"/>
        <v>0</v>
      </c>
      <c r="HB13" s="527"/>
      <c r="HC13" s="528">
        <f t="shared" si="68"/>
        <v>0</v>
      </c>
      <c r="HD13" s="529">
        <f t="shared" si="179"/>
        <v>0</v>
      </c>
      <c r="HE13" s="527"/>
      <c r="HF13" s="528">
        <f t="shared" si="69"/>
        <v>0</v>
      </c>
      <c r="HG13" s="529">
        <f t="shared" si="180"/>
        <v>0</v>
      </c>
      <c r="HH13" s="527"/>
      <c r="HI13" s="528">
        <f t="shared" si="70"/>
        <v>0</v>
      </c>
      <c r="HJ13" s="529">
        <f t="shared" si="181"/>
        <v>0</v>
      </c>
      <c r="HK13" s="527"/>
      <c r="HL13" s="528">
        <f t="shared" si="71"/>
        <v>0</v>
      </c>
      <c r="HM13" s="529">
        <f t="shared" si="182"/>
        <v>0</v>
      </c>
      <c r="HN13" s="527">
        <v>674.1014754718567</v>
      </c>
      <c r="HO13" s="528">
        <f t="shared" si="72"/>
        <v>15.564568817175171</v>
      </c>
      <c r="HP13" s="529">
        <f t="shared" si="183"/>
        <v>0</v>
      </c>
      <c r="HQ13" s="527"/>
      <c r="HR13" s="528">
        <f t="shared" si="73"/>
        <v>0</v>
      </c>
      <c r="HS13" s="529">
        <f t="shared" si="184"/>
        <v>0</v>
      </c>
      <c r="HT13" s="527"/>
      <c r="HU13" s="528">
        <f t="shared" si="74"/>
        <v>0</v>
      </c>
      <c r="HV13" s="529">
        <f t="shared" si="185"/>
        <v>0</v>
      </c>
      <c r="HW13" s="527"/>
      <c r="HX13" s="528">
        <f t="shared" si="75"/>
        <v>0</v>
      </c>
      <c r="HY13" s="529">
        <f t="shared" si="186"/>
        <v>0</v>
      </c>
      <c r="HZ13" s="527"/>
      <c r="IA13" s="528">
        <f t="shared" si="76"/>
        <v>0</v>
      </c>
      <c r="IB13" s="529">
        <f t="shared" si="187"/>
        <v>0</v>
      </c>
      <c r="IC13" s="527"/>
      <c r="ID13" s="528">
        <f t="shared" si="77"/>
        <v>0</v>
      </c>
      <c r="IE13" s="529">
        <f t="shared" si="188"/>
        <v>0</v>
      </c>
      <c r="IF13" s="527"/>
      <c r="IG13" s="528">
        <f t="shared" si="78"/>
        <v>0</v>
      </c>
      <c r="IH13" s="529">
        <f t="shared" si="189"/>
        <v>0</v>
      </c>
      <c r="II13" s="527">
        <v>22.32124090966413</v>
      </c>
      <c r="IJ13" s="528">
        <f t="shared" si="79"/>
        <v>0.51538307341639644</v>
      </c>
      <c r="IK13" s="529">
        <f t="shared" si="190"/>
        <v>0</v>
      </c>
      <c r="IL13" s="527"/>
      <c r="IM13" s="528">
        <f t="shared" si="80"/>
        <v>0</v>
      </c>
      <c r="IN13" s="529">
        <f t="shared" si="191"/>
        <v>0</v>
      </c>
      <c r="IO13" s="527"/>
      <c r="IP13" s="528">
        <f t="shared" si="81"/>
        <v>0</v>
      </c>
      <c r="IQ13" s="529">
        <f t="shared" si="192"/>
        <v>0</v>
      </c>
      <c r="IR13" s="527">
        <v>42.410357728361845</v>
      </c>
      <c r="IS13" s="528">
        <f t="shared" si="82"/>
        <v>0.97922783949115311</v>
      </c>
      <c r="IT13" s="529">
        <f t="shared" si="193"/>
        <v>0</v>
      </c>
      <c r="IU13" s="527"/>
      <c r="IV13" s="528">
        <f t="shared" si="83"/>
        <v>0</v>
      </c>
      <c r="IW13" s="529">
        <f t="shared" si="194"/>
        <v>0</v>
      </c>
      <c r="IX13" s="527"/>
      <c r="IY13" s="528">
        <f t="shared" si="84"/>
        <v>0</v>
      </c>
      <c r="IZ13" s="529">
        <f t="shared" si="195"/>
        <v>0</v>
      </c>
      <c r="JA13" s="527"/>
      <c r="JB13" s="528">
        <f t="shared" si="85"/>
        <v>0</v>
      </c>
      <c r="JC13" s="529">
        <f t="shared" si="196"/>
        <v>0</v>
      </c>
      <c r="JD13" s="527"/>
      <c r="JE13" s="528">
        <f t="shared" si="86"/>
        <v>0</v>
      </c>
      <c r="JF13" s="529">
        <f t="shared" si="197"/>
        <v>0</v>
      </c>
      <c r="JG13" s="527"/>
      <c r="JH13" s="528">
        <f t="shared" si="87"/>
        <v>0</v>
      </c>
      <c r="JI13" s="529">
        <f t="shared" si="198"/>
        <v>0</v>
      </c>
      <c r="JJ13" s="527">
        <v>22.32124090966413</v>
      </c>
      <c r="JK13" s="529" t="str">
        <f t="shared" si="88"/>
        <v>0</v>
      </c>
      <c r="JL13" s="529" t="str">
        <f t="shared" si="89"/>
        <v>0</v>
      </c>
      <c r="JM13" s="527"/>
      <c r="JN13" s="529" t="str">
        <f t="shared" si="90"/>
        <v>0</v>
      </c>
      <c r="JO13" s="529" t="str">
        <f t="shared" si="91"/>
        <v>0</v>
      </c>
      <c r="JP13" s="527"/>
      <c r="JQ13" s="529" t="str">
        <f t="shared" si="92"/>
        <v>0</v>
      </c>
      <c r="JR13" s="529" t="str">
        <f t="shared" si="93"/>
        <v>0</v>
      </c>
      <c r="JS13" s="527"/>
      <c r="JT13" s="529" t="str">
        <f t="shared" si="94"/>
        <v>0</v>
      </c>
      <c r="JU13" s="529" t="str">
        <f t="shared" si="95"/>
        <v>0</v>
      </c>
      <c r="JV13" s="527"/>
      <c r="JW13" s="529" t="str">
        <f t="shared" si="96"/>
        <v>0</v>
      </c>
      <c r="JX13" s="529" t="str">
        <f t="shared" si="97"/>
        <v>0</v>
      </c>
      <c r="JY13" s="527"/>
      <c r="JZ13" s="529" t="str">
        <f t="shared" si="98"/>
        <v>0</v>
      </c>
      <c r="KA13" s="529" t="str">
        <f t="shared" si="99"/>
        <v>0</v>
      </c>
      <c r="KB13" s="527"/>
      <c r="KC13" s="529" t="str">
        <f t="shared" si="100"/>
        <v>0</v>
      </c>
      <c r="KD13" s="529" t="str">
        <f t="shared" si="101"/>
        <v>0</v>
      </c>
      <c r="KE13" s="527"/>
      <c r="KF13" s="529" t="str">
        <f t="shared" si="102"/>
        <v>0</v>
      </c>
      <c r="KG13" s="529" t="str">
        <f t="shared" si="103"/>
        <v>0</v>
      </c>
      <c r="KH13" s="527"/>
      <c r="KI13" s="529" t="str">
        <f t="shared" si="104"/>
        <v>0</v>
      </c>
      <c r="KJ13" s="529" t="str">
        <f t="shared" si="105"/>
        <v>0</v>
      </c>
      <c r="KK13" s="527"/>
      <c r="KL13" s="529" t="str">
        <f t="shared" si="106"/>
        <v>0</v>
      </c>
      <c r="KM13" s="529" t="str">
        <f t="shared" si="107"/>
        <v>0</v>
      </c>
      <c r="KN13" s="527"/>
      <c r="KO13" s="529" t="str">
        <f t="shared" si="108"/>
        <v>0</v>
      </c>
      <c r="KP13" s="529" t="str">
        <f t="shared" si="109"/>
        <v>0</v>
      </c>
      <c r="KQ13" s="527"/>
      <c r="KR13" s="529" t="str">
        <f t="shared" si="110"/>
        <v>0</v>
      </c>
      <c r="KS13" s="529" t="str">
        <f t="shared" si="111"/>
        <v>0</v>
      </c>
      <c r="KT13" s="529">
        <f t="shared" si="201"/>
        <v>0</v>
      </c>
      <c r="KU13" s="529">
        <f t="shared" si="202"/>
        <v>0</v>
      </c>
      <c r="KV13" s="268">
        <f t="shared" si="199"/>
        <v>1636.3952535235419</v>
      </c>
    </row>
    <row r="14" spans="1:308" ht="15" customHeight="1">
      <c r="A14" s="270">
        <f t="shared" si="200"/>
        <v>46087</v>
      </c>
      <c r="B14" s="271" t="str">
        <f>+Report1!B14</f>
        <v>Toilet</v>
      </c>
      <c r="C14" s="271" t="str">
        <f>+Report1!C14</f>
        <v>13,5/20/14</v>
      </c>
      <c r="D14" s="272">
        <f>+Report1!P14</f>
        <v>26.557000000000002</v>
      </c>
      <c r="E14" s="273">
        <f>+Report1!R14</f>
        <v>26.603000000000002</v>
      </c>
      <c r="F14" s="527"/>
      <c r="G14" s="528">
        <f t="shared" si="0"/>
        <v>0</v>
      </c>
      <c r="H14" s="529">
        <f t="shared" si="112"/>
        <v>0</v>
      </c>
      <c r="I14" s="527"/>
      <c r="J14" s="528">
        <f t="shared" si="1"/>
        <v>0</v>
      </c>
      <c r="K14" s="529">
        <f t="shared" si="113"/>
        <v>0</v>
      </c>
      <c r="L14" s="527"/>
      <c r="M14" s="528">
        <f t="shared" si="2"/>
        <v>0</v>
      </c>
      <c r="N14" s="529">
        <f t="shared" si="114"/>
        <v>0</v>
      </c>
      <c r="O14" s="527">
        <v>6.0000000000000284</v>
      </c>
      <c r="P14" s="528">
        <f t="shared" si="3"/>
        <v>0.22553847310453815</v>
      </c>
      <c r="Q14" s="529">
        <f t="shared" si="115"/>
        <v>0</v>
      </c>
      <c r="R14" s="527"/>
      <c r="S14" s="528">
        <f t="shared" si="4"/>
        <v>0</v>
      </c>
      <c r="T14" s="529">
        <f t="shared" si="116"/>
        <v>0</v>
      </c>
      <c r="U14" s="527">
        <v>5.1249999999999716</v>
      </c>
      <c r="V14" s="528">
        <f t="shared" si="5"/>
        <v>0.19264744577679102</v>
      </c>
      <c r="W14" s="529">
        <f t="shared" si="117"/>
        <v>0</v>
      </c>
      <c r="X14" s="527"/>
      <c r="Y14" s="528">
        <f t="shared" si="6"/>
        <v>0</v>
      </c>
      <c r="Z14" s="529">
        <f t="shared" si="118"/>
        <v>0</v>
      </c>
      <c r="AA14" s="527">
        <v>4.6874999999999858</v>
      </c>
      <c r="AB14" s="528">
        <f t="shared" si="7"/>
        <v>0.17620193211291904</v>
      </c>
      <c r="AC14" s="529">
        <f t="shared" si="119"/>
        <v>0</v>
      </c>
      <c r="AD14" s="527"/>
      <c r="AE14" s="528">
        <f t="shared" si="8"/>
        <v>0</v>
      </c>
      <c r="AF14" s="529">
        <f t="shared" si="120"/>
        <v>0</v>
      </c>
      <c r="AG14" s="527"/>
      <c r="AH14" s="528">
        <f t="shared" si="9"/>
        <v>0</v>
      </c>
      <c r="AI14" s="529">
        <f t="shared" si="121"/>
        <v>0</v>
      </c>
      <c r="AJ14" s="527">
        <v>44.0625</v>
      </c>
      <c r="AK14" s="528">
        <f t="shared" si="10"/>
        <v>1.6562981618614441</v>
      </c>
      <c r="AL14" s="529">
        <f t="shared" si="122"/>
        <v>0</v>
      </c>
      <c r="AM14" s="527"/>
      <c r="AN14" s="528">
        <f t="shared" si="11"/>
        <v>0</v>
      </c>
      <c r="AO14" s="529">
        <f t="shared" si="123"/>
        <v>0</v>
      </c>
      <c r="AP14" s="527"/>
      <c r="AQ14" s="528">
        <f t="shared" si="12"/>
        <v>0</v>
      </c>
      <c r="AR14" s="529">
        <f t="shared" si="124"/>
        <v>0</v>
      </c>
      <c r="AS14" s="527"/>
      <c r="AT14" s="528">
        <f t="shared" si="13"/>
        <v>0</v>
      </c>
      <c r="AU14" s="529">
        <f t="shared" si="125"/>
        <v>0</v>
      </c>
      <c r="AV14" s="527"/>
      <c r="AW14" s="528">
        <f t="shared" si="14"/>
        <v>0</v>
      </c>
      <c r="AX14" s="529">
        <f t="shared" si="126"/>
        <v>0</v>
      </c>
      <c r="AY14" s="527"/>
      <c r="AZ14" s="528">
        <f t="shared" si="15"/>
        <v>0</v>
      </c>
      <c r="BA14" s="529">
        <f t="shared" si="127"/>
        <v>0</v>
      </c>
      <c r="BB14" s="527"/>
      <c r="BC14" s="528">
        <f t="shared" si="16"/>
        <v>0</v>
      </c>
      <c r="BD14" s="529">
        <f t="shared" si="128"/>
        <v>0</v>
      </c>
      <c r="BE14" s="527"/>
      <c r="BF14" s="528">
        <f t="shared" si="17"/>
        <v>0</v>
      </c>
      <c r="BG14" s="529">
        <f t="shared" si="129"/>
        <v>0</v>
      </c>
      <c r="BH14" s="527"/>
      <c r="BI14" s="528">
        <f t="shared" si="18"/>
        <v>0</v>
      </c>
      <c r="BJ14" s="529">
        <f t="shared" si="130"/>
        <v>0</v>
      </c>
      <c r="BK14" s="527"/>
      <c r="BL14" s="528">
        <f t="shared" si="19"/>
        <v>0</v>
      </c>
      <c r="BM14" s="529">
        <f t="shared" si="131"/>
        <v>0</v>
      </c>
      <c r="BN14" s="527"/>
      <c r="BO14" s="528">
        <f t="shared" si="20"/>
        <v>0</v>
      </c>
      <c r="BP14" s="529">
        <f t="shared" si="132"/>
        <v>0</v>
      </c>
      <c r="BQ14" s="527"/>
      <c r="BR14" s="528">
        <f t="shared" si="21"/>
        <v>0</v>
      </c>
      <c r="BS14" s="529">
        <f t="shared" si="133"/>
        <v>0</v>
      </c>
      <c r="BT14" s="527"/>
      <c r="BU14" s="528">
        <f t="shared" si="22"/>
        <v>0</v>
      </c>
      <c r="BV14" s="529">
        <f t="shared" si="134"/>
        <v>0</v>
      </c>
      <c r="BW14" s="527"/>
      <c r="BX14" s="528">
        <f t="shared" si="23"/>
        <v>0</v>
      </c>
      <c r="BY14" s="529">
        <f t="shared" si="135"/>
        <v>0</v>
      </c>
      <c r="BZ14" s="527"/>
      <c r="CA14" s="528">
        <f t="shared" si="24"/>
        <v>0</v>
      </c>
      <c r="CB14" s="529">
        <f t="shared" si="136"/>
        <v>0</v>
      </c>
      <c r="CC14" s="527"/>
      <c r="CD14" s="528">
        <f t="shared" si="25"/>
        <v>0</v>
      </c>
      <c r="CE14" s="529">
        <f t="shared" si="137"/>
        <v>0</v>
      </c>
      <c r="CF14" s="527">
        <v>2</v>
      </c>
      <c r="CG14" s="528">
        <f t="shared" si="26"/>
        <v>7.5179491034845683E-2</v>
      </c>
      <c r="CH14" s="529">
        <f t="shared" si="138"/>
        <v>0</v>
      </c>
      <c r="CI14" s="527"/>
      <c r="CJ14" s="528">
        <f t="shared" si="27"/>
        <v>0</v>
      </c>
      <c r="CK14" s="529">
        <f t="shared" si="139"/>
        <v>0</v>
      </c>
      <c r="CL14" s="527"/>
      <c r="CM14" s="528">
        <f t="shared" si="28"/>
        <v>0</v>
      </c>
      <c r="CN14" s="529">
        <f t="shared" si="140"/>
        <v>0</v>
      </c>
      <c r="CO14" s="527"/>
      <c r="CP14" s="528">
        <f t="shared" si="29"/>
        <v>0</v>
      </c>
      <c r="CQ14" s="529">
        <f t="shared" si="141"/>
        <v>0</v>
      </c>
      <c r="CR14" s="527"/>
      <c r="CS14" s="528">
        <f t="shared" si="30"/>
        <v>0</v>
      </c>
      <c r="CT14" s="529">
        <f t="shared" si="142"/>
        <v>0</v>
      </c>
      <c r="CU14" s="527"/>
      <c r="CV14" s="528">
        <f t="shared" si="31"/>
        <v>0</v>
      </c>
      <c r="CW14" s="529">
        <f t="shared" si="143"/>
        <v>0</v>
      </c>
      <c r="CX14" s="527"/>
      <c r="CY14" s="528">
        <f t="shared" si="32"/>
        <v>0</v>
      </c>
      <c r="CZ14" s="529">
        <f t="shared" si="144"/>
        <v>0</v>
      </c>
      <c r="DA14" s="527">
        <v>130.81395348837191</v>
      </c>
      <c r="DB14" s="528">
        <f t="shared" si="33"/>
        <v>4.9172632217558885</v>
      </c>
      <c r="DC14" s="529">
        <f t="shared" si="145"/>
        <v>0</v>
      </c>
      <c r="DD14" s="527"/>
      <c r="DE14" s="528">
        <f t="shared" si="34"/>
        <v>0</v>
      </c>
      <c r="DF14" s="529">
        <f t="shared" si="146"/>
        <v>0</v>
      </c>
      <c r="DG14" s="527"/>
      <c r="DH14" s="528">
        <f t="shared" si="35"/>
        <v>0</v>
      </c>
      <c r="DI14" s="529">
        <f t="shared" ref="DI14:DI39" si="203">+DG14*$H$8</f>
        <v>0</v>
      </c>
      <c r="DJ14" s="527"/>
      <c r="DK14" s="528">
        <f t="shared" si="36"/>
        <v>0</v>
      </c>
      <c r="DL14" s="529">
        <f t="shared" si="147"/>
        <v>0</v>
      </c>
      <c r="DM14" s="527"/>
      <c r="DN14" s="528">
        <f t="shared" si="37"/>
        <v>0</v>
      </c>
      <c r="DO14" s="529">
        <f t="shared" si="148"/>
        <v>0</v>
      </c>
      <c r="DP14" s="527"/>
      <c r="DQ14" s="528">
        <f t="shared" si="38"/>
        <v>0</v>
      </c>
      <c r="DR14" s="529">
        <f t="shared" si="149"/>
        <v>0</v>
      </c>
      <c r="DS14" s="527"/>
      <c r="DT14" s="528">
        <f t="shared" si="39"/>
        <v>0</v>
      </c>
      <c r="DU14" s="529">
        <f t="shared" si="150"/>
        <v>0</v>
      </c>
      <c r="DV14" s="527"/>
      <c r="DW14" s="528">
        <f t="shared" si="40"/>
        <v>0</v>
      </c>
      <c r="DX14" s="529">
        <f t="shared" si="151"/>
        <v>0</v>
      </c>
      <c r="DY14" s="527"/>
      <c r="DZ14" s="528">
        <f t="shared" si="41"/>
        <v>0</v>
      </c>
      <c r="EA14" s="529">
        <f t="shared" si="152"/>
        <v>0</v>
      </c>
      <c r="EB14" s="527"/>
      <c r="EC14" s="528">
        <f t="shared" si="42"/>
        <v>0</v>
      </c>
      <c r="ED14" s="529">
        <f t="shared" si="153"/>
        <v>0</v>
      </c>
      <c r="EE14" s="527">
        <v>14.534883720930225</v>
      </c>
      <c r="EF14" s="528">
        <f t="shared" si="43"/>
        <v>0.5463625801950992</v>
      </c>
      <c r="EG14" s="529">
        <f t="shared" si="154"/>
        <v>0</v>
      </c>
      <c r="EH14" s="527">
        <v>176.11764705882342</v>
      </c>
      <c r="EI14" s="528">
        <f t="shared" si="44"/>
        <v>6.6202175340684661</v>
      </c>
      <c r="EJ14" s="529">
        <f t="shared" si="155"/>
        <v>0</v>
      </c>
      <c r="EK14" s="527">
        <v>0</v>
      </c>
      <c r="EL14" s="528">
        <f t="shared" si="45"/>
        <v>0</v>
      </c>
      <c r="EM14" s="529">
        <f t="shared" si="156"/>
        <v>0</v>
      </c>
      <c r="EN14" s="527">
        <v>30.487804878048735</v>
      </c>
      <c r="EO14" s="528">
        <f t="shared" si="46"/>
        <v>1.1460288267506948</v>
      </c>
      <c r="EP14" s="529">
        <f t="shared" si="157"/>
        <v>0</v>
      </c>
      <c r="EQ14" s="527">
        <v>24.709302325581348</v>
      </c>
      <c r="ER14" s="528">
        <f t="shared" si="47"/>
        <v>0.9288163863316673</v>
      </c>
      <c r="ES14" s="529">
        <f t="shared" si="158"/>
        <v>0</v>
      </c>
      <c r="ET14" s="527"/>
      <c r="EU14" s="528">
        <f t="shared" si="48"/>
        <v>0</v>
      </c>
      <c r="EV14" s="529">
        <f t="shared" si="159"/>
        <v>0</v>
      </c>
      <c r="EW14" s="527"/>
      <c r="EX14" s="528">
        <f t="shared" si="49"/>
        <v>0</v>
      </c>
      <c r="EY14" s="529">
        <f t="shared" si="160"/>
        <v>0</v>
      </c>
      <c r="EZ14" s="527"/>
      <c r="FA14" s="528">
        <f t="shared" si="50"/>
        <v>0</v>
      </c>
      <c r="FB14" s="529">
        <f t="shared" si="161"/>
        <v>0</v>
      </c>
      <c r="FC14" s="527"/>
      <c r="FD14" s="528">
        <f t="shared" si="51"/>
        <v>0</v>
      </c>
      <c r="FE14" s="529">
        <f t="shared" si="162"/>
        <v>0</v>
      </c>
      <c r="FF14" s="527"/>
      <c r="FG14" s="528">
        <f t="shared" si="52"/>
        <v>0</v>
      </c>
      <c r="FH14" s="529">
        <f t="shared" si="163"/>
        <v>0</v>
      </c>
      <c r="FI14" s="527"/>
      <c r="FJ14" s="528">
        <f t="shared" si="53"/>
        <v>0</v>
      </c>
      <c r="FK14" s="529">
        <f t="shared" si="164"/>
        <v>0</v>
      </c>
      <c r="FL14" s="527"/>
      <c r="FM14" s="528">
        <f t="shared" si="54"/>
        <v>0</v>
      </c>
      <c r="FN14" s="529">
        <f t="shared" si="165"/>
        <v>0</v>
      </c>
      <c r="FO14" s="527"/>
      <c r="FP14" s="528">
        <f t="shared" si="55"/>
        <v>0</v>
      </c>
      <c r="FQ14" s="529">
        <f t="shared" si="166"/>
        <v>0</v>
      </c>
      <c r="FR14" s="527"/>
      <c r="FS14" s="528">
        <f t="shared" si="56"/>
        <v>0</v>
      </c>
      <c r="FT14" s="529">
        <f t="shared" si="167"/>
        <v>0</v>
      </c>
      <c r="FU14" s="527"/>
      <c r="FV14" s="528">
        <f t="shared" si="57"/>
        <v>0</v>
      </c>
      <c r="FW14" s="529">
        <f t="shared" si="168"/>
        <v>0</v>
      </c>
      <c r="FX14" s="527"/>
      <c r="FY14" s="528">
        <f t="shared" si="58"/>
        <v>0</v>
      </c>
      <c r="FZ14" s="529">
        <f t="shared" si="169"/>
        <v>0</v>
      </c>
      <c r="GA14" s="527"/>
      <c r="GB14" s="528">
        <f t="shared" si="59"/>
        <v>0</v>
      </c>
      <c r="GC14" s="529">
        <f t="shared" si="170"/>
        <v>0</v>
      </c>
      <c r="GD14" s="527"/>
      <c r="GE14" s="528">
        <f t="shared" si="60"/>
        <v>0</v>
      </c>
      <c r="GF14" s="529">
        <f t="shared" si="171"/>
        <v>0</v>
      </c>
      <c r="GG14" s="527">
        <v>11.058597198394324</v>
      </c>
      <c r="GH14" s="528">
        <f t="shared" si="61"/>
        <v>0.41568985446732787</v>
      </c>
      <c r="GI14" s="529">
        <f t="shared" si="172"/>
        <v>0</v>
      </c>
      <c r="GJ14" s="527">
        <v>11.058597198394324</v>
      </c>
      <c r="GK14" s="528">
        <f t="shared" si="62"/>
        <v>0.41568985446732787</v>
      </c>
      <c r="GL14" s="529">
        <f t="shared" si="173"/>
        <v>0</v>
      </c>
      <c r="GM14" s="527"/>
      <c r="GN14" s="528">
        <f t="shared" si="63"/>
        <v>0</v>
      </c>
      <c r="GO14" s="529">
        <f t="shared" si="174"/>
        <v>0</v>
      </c>
      <c r="GP14" s="527">
        <v>26.540633276146377</v>
      </c>
      <c r="GQ14" s="528">
        <f t="shared" si="64"/>
        <v>0.99765565072158691</v>
      </c>
      <c r="GR14" s="529">
        <f t="shared" si="175"/>
        <v>0</v>
      </c>
      <c r="GS14" s="527">
        <v>132.70316638073189</v>
      </c>
      <c r="GT14" s="528">
        <f t="shared" si="65"/>
        <v>4.988278253607934</v>
      </c>
      <c r="GU14" s="529">
        <f t="shared" si="176"/>
        <v>0</v>
      </c>
      <c r="GV14" s="527">
        <v>53.081266552292753</v>
      </c>
      <c r="GW14" s="528">
        <f t="shared" si="66"/>
        <v>1.9953113014431738</v>
      </c>
      <c r="GX14" s="529">
        <f t="shared" si="177"/>
        <v>0</v>
      </c>
      <c r="GY14" s="527"/>
      <c r="GZ14" s="528">
        <f t="shared" si="67"/>
        <v>0</v>
      </c>
      <c r="HA14" s="529">
        <f t="shared" si="178"/>
        <v>0</v>
      </c>
      <c r="HB14" s="527"/>
      <c r="HC14" s="528">
        <f t="shared" si="68"/>
        <v>0</v>
      </c>
      <c r="HD14" s="529">
        <f t="shared" si="179"/>
        <v>0</v>
      </c>
      <c r="HE14" s="527"/>
      <c r="HF14" s="528">
        <f t="shared" si="69"/>
        <v>0</v>
      </c>
      <c r="HG14" s="529">
        <f t="shared" si="180"/>
        <v>0</v>
      </c>
      <c r="HH14" s="527"/>
      <c r="HI14" s="528">
        <f t="shared" si="70"/>
        <v>0</v>
      </c>
      <c r="HJ14" s="529">
        <f t="shared" si="181"/>
        <v>0</v>
      </c>
      <c r="HK14" s="527"/>
      <c r="HL14" s="528">
        <f t="shared" si="71"/>
        <v>0</v>
      </c>
      <c r="HM14" s="529">
        <f t="shared" si="182"/>
        <v>0</v>
      </c>
      <c r="HN14" s="527">
        <v>535.23610440228526</v>
      </c>
      <c r="HO14" s="528">
        <f t="shared" si="72"/>
        <v>20.119388956218668</v>
      </c>
      <c r="HP14" s="529">
        <f t="shared" si="183"/>
        <v>0</v>
      </c>
      <c r="HQ14" s="527"/>
      <c r="HR14" s="528">
        <f t="shared" si="73"/>
        <v>0</v>
      </c>
      <c r="HS14" s="529">
        <f t="shared" si="184"/>
        <v>0</v>
      </c>
      <c r="HT14" s="527"/>
      <c r="HU14" s="528">
        <f t="shared" si="74"/>
        <v>0</v>
      </c>
      <c r="HV14" s="529">
        <f t="shared" si="185"/>
        <v>0</v>
      </c>
      <c r="HW14" s="527"/>
      <c r="HX14" s="528">
        <f t="shared" si="75"/>
        <v>0</v>
      </c>
      <c r="HY14" s="529">
        <f t="shared" si="186"/>
        <v>0</v>
      </c>
      <c r="HZ14" s="527"/>
      <c r="IA14" s="528">
        <f t="shared" si="76"/>
        <v>0</v>
      </c>
      <c r="IB14" s="529">
        <f t="shared" si="187"/>
        <v>0</v>
      </c>
      <c r="IC14" s="527"/>
      <c r="ID14" s="528">
        <f t="shared" si="77"/>
        <v>0</v>
      </c>
      <c r="IE14" s="529">
        <f t="shared" si="188"/>
        <v>0</v>
      </c>
      <c r="IF14" s="527"/>
      <c r="IG14" s="528">
        <f t="shared" si="78"/>
        <v>0</v>
      </c>
      <c r="IH14" s="529">
        <f t="shared" si="189"/>
        <v>0</v>
      </c>
      <c r="II14" s="527">
        <v>13.270316638073188</v>
      </c>
      <c r="IJ14" s="528">
        <f t="shared" si="79"/>
        <v>0.49882782536079345</v>
      </c>
      <c r="IK14" s="529">
        <f t="shared" si="190"/>
        <v>0</v>
      </c>
      <c r="IL14" s="527"/>
      <c r="IM14" s="528">
        <f t="shared" si="80"/>
        <v>0</v>
      </c>
      <c r="IN14" s="529">
        <f t="shared" si="191"/>
        <v>0</v>
      </c>
      <c r="IO14" s="527"/>
      <c r="IP14" s="528">
        <f t="shared" si="81"/>
        <v>0</v>
      </c>
      <c r="IQ14" s="529">
        <f t="shared" si="192"/>
        <v>0</v>
      </c>
      <c r="IR14" s="527">
        <v>53.081266552292753</v>
      </c>
      <c r="IS14" s="528">
        <f t="shared" si="82"/>
        <v>1.9953113014431738</v>
      </c>
      <c r="IT14" s="529">
        <f t="shared" si="193"/>
        <v>0</v>
      </c>
      <c r="IU14" s="527"/>
      <c r="IV14" s="528">
        <f t="shared" si="83"/>
        <v>0</v>
      </c>
      <c r="IW14" s="529">
        <f t="shared" si="194"/>
        <v>0</v>
      </c>
      <c r="IX14" s="527"/>
      <c r="IY14" s="528">
        <f t="shared" si="84"/>
        <v>0</v>
      </c>
      <c r="IZ14" s="529">
        <f t="shared" si="195"/>
        <v>0</v>
      </c>
      <c r="JA14" s="527"/>
      <c r="JB14" s="528">
        <f t="shared" si="85"/>
        <v>0</v>
      </c>
      <c r="JC14" s="529">
        <f t="shared" si="196"/>
        <v>0</v>
      </c>
      <c r="JD14" s="527"/>
      <c r="JE14" s="528">
        <f t="shared" si="86"/>
        <v>0</v>
      </c>
      <c r="JF14" s="529">
        <f t="shared" si="197"/>
        <v>0</v>
      </c>
      <c r="JG14" s="527"/>
      <c r="JH14" s="528">
        <f t="shared" si="87"/>
        <v>0</v>
      </c>
      <c r="JI14" s="529">
        <f t="shared" si="198"/>
        <v>0</v>
      </c>
      <c r="JJ14" s="527">
        <v>15.482036077752053</v>
      </c>
      <c r="JK14" s="529" t="str">
        <f t="shared" si="88"/>
        <v>0</v>
      </c>
      <c r="JL14" s="529" t="str">
        <f t="shared" si="89"/>
        <v>0</v>
      </c>
      <c r="JM14" s="527"/>
      <c r="JN14" s="529" t="str">
        <f t="shared" si="90"/>
        <v>0</v>
      </c>
      <c r="JO14" s="529" t="str">
        <f t="shared" si="91"/>
        <v>0</v>
      </c>
      <c r="JP14" s="527"/>
      <c r="JQ14" s="529" t="str">
        <f t="shared" si="92"/>
        <v>0</v>
      </c>
      <c r="JR14" s="529" t="str">
        <f t="shared" si="93"/>
        <v>0</v>
      </c>
      <c r="JS14" s="527"/>
      <c r="JT14" s="529" t="str">
        <f t="shared" si="94"/>
        <v>0</v>
      </c>
      <c r="JU14" s="529" t="str">
        <f t="shared" si="95"/>
        <v>0</v>
      </c>
      <c r="JV14" s="527"/>
      <c r="JW14" s="529" t="str">
        <f t="shared" si="96"/>
        <v>0</v>
      </c>
      <c r="JX14" s="529" t="str">
        <f t="shared" si="97"/>
        <v>0</v>
      </c>
      <c r="JY14" s="527"/>
      <c r="JZ14" s="529" t="str">
        <f t="shared" si="98"/>
        <v>0</v>
      </c>
      <c r="KA14" s="529" t="str">
        <f t="shared" si="99"/>
        <v>0</v>
      </c>
      <c r="KB14" s="527"/>
      <c r="KC14" s="529" t="str">
        <f t="shared" si="100"/>
        <v>0</v>
      </c>
      <c r="KD14" s="529" t="str">
        <f t="shared" si="101"/>
        <v>0</v>
      </c>
      <c r="KE14" s="527"/>
      <c r="KF14" s="529" t="str">
        <f t="shared" si="102"/>
        <v>0</v>
      </c>
      <c r="KG14" s="529" t="str">
        <f t="shared" si="103"/>
        <v>0</v>
      </c>
      <c r="KH14" s="527"/>
      <c r="KI14" s="529" t="str">
        <f t="shared" si="104"/>
        <v>0</v>
      </c>
      <c r="KJ14" s="529" t="str">
        <f t="shared" si="105"/>
        <v>0</v>
      </c>
      <c r="KK14" s="527"/>
      <c r="KL14" s="529" t="str">
        <f t="shared" si="106"/>
        <v>0</v>
      </c>
      <c r="KM14" s="529" t="str">
        <f t="shared" si="107"/>
        <v>0</v>
      </c>
      <c r="KN14" s="527"/>
      <c r="KO14" s="529" t="str">
        <f t="shared" si="108"/>
        <v>0</v>
      </c>
      <c r="KP14" s="529" t="str">
        <f t="shared" si="109"/>
        <v>0</v>
      </c>
      <c r="KQ14" s="527"/>
      <c r="KR14" s="529" t="str">
        <f t="shared" si="110"/>
        <v>0</v>
      </c>
      <c r="KS14" s="529" t="str">
        <f t="shared" si="111"/>
        <v>0</v>
      </c>
      <c r="KT14" s="529">
        <f t="shared" si="201"/>
        <v>0</v>
      </c>
      <c r="KU14" s="529">
        <f t="shared" si="202"/>
        <v>0</v>
      </c>
      <c r="KV14" s="268">
        <f t="shared" si="199"/>
        <v>1290.0505757481185</v>
      </c>
    </row>
    <row r="15" spans="1:308" ht="15" customHeight="1">
      <c r="A15" s="270">
        <f t="shared" si="200"/>
        <v>46088</v>
      </c>
      <c r="B15" s="271" t="str">
        <f>+Report1!B15</f>
        <v>Toilet</v>
      </c>
      <c r="C15" s="271" t="str">
        <f>+Report1!C15</f>
        <v>20/17</v>
      </c>
      <c r="D15" s="272">
        <f>+Report1!P15</f>
        <v>37.051000000000002</v>
      </c>
      <c r="E15" s="273">
        <f>+Report1!R15</f>
        <v>31.99</v>
      </c>
      <c r="F15" s="527"/>
      <c r="G15" s="528">
        <f t="shared" si="0"/>
        <v>0</v>
      </c>
      <c r="H15" s="529">
        <f t="shared" si="112"/>
        <v>0</v>
      </c>
      <c r="I15" s="527"/>
      <c r="J15" s="528">
        <f t="shared" si="1"/>
        <v>0</v>
      </c>
      <c r="K15" s="529">
        <f t="shared" si="113"/>
        <v>0</v>
      </c>
      <c r="L15" s="527"/>
      <c r="M15" s="528">
        <f t="shared" si="2"/>
        <v>0</v>
      </c>
      <c r="N15" s="529">
        <f t="shared" si="114"/>
        <v>0</v>
      </c>
      <c r="O15" s="527">
        <v>9.6219999999999573</v>
      </c>
      <c r="P15" s="528">
        <f t="shared" si="3"/>
        <v>0.30078149421694145</v>
      </c>
      <c r="Q15" s="529">
        <f t="shared" si="115"/>
        <v>0</v>
      </c>
      <c r="R15" s="527"/>
      <c r="S15" s="528">
        <f t="shared" si="4"/>
        <v>0</v>
      </c>
      <c r="T15" s="529">
        <f t="shared" si="116"/>
        <v>0</v>
      </c>
      <c r="U15" s="527">
        <v>6.7557000000000187</v>
      </c>
      <c r="V15" s="528">
        <f t="shared" si="5"/>
        <v>0.21118161925601811</v>
      </c>
      <c r="W15" s="529">
        <f t="shared" si="117"/>
        <v>0</v>
      </c>
      <c r="X15" s="527"/>
      <c r="Y15" s="528">
        <f t="shared" si="6"/>
        <v>0</v>
      </c>
      <c r="Z15" s="529">
        <f t="shared" si="118"/>
        <v>0</v>
      </c>
      <c r="AA15" s="527">
        <v>4.6875000000000036</v>
      </c>
      <c r="AB15" s="528">
        <f t="shared" si="7"/>
        <v>0.1465301656767741</v>
      </c>
      <c r="AC15" s="529">
        <f t="shared" si="119"/>
        <v>0</v>
      </c>
      <c r="AD15" s="527"/>
      <c r="AE15" s="528">
        <f t="shared" si="8"/>
        <v>0</v>
      </c>
      <c r="AF15" s="529">
        <f t="shared" si="120"/>
        <v>0</v>
      </c>
      <c r="AG15" s="527"/>
      <c r="AH15" s="528">
        <f t="shared" si="9"/>
        <v>0</v>
      </c>
      <c r="AI15" s="529">
        <f t="shared" si="121"/>
        <v>0</v>
      </c>
      <c r="AJ15" s="527">
        <v>40.365299999999991</v>
      </c>
      <c r="AK15" s="528">
        <f t="shared" si="10"/>
        <v>1.2618099406064394</v>
      </c>
      <c r="AL15" s="529">
        <f t="shared" si="122"/>
        <v>0</v>
      </c>
      <c r="AM15" s="527"/>
      <c r="AN15" s="528">
        <f t="shared" si="11"/>
        <v>0</v>
      </c>
      <c r="AO15" s="529">
        <f t="shared" si="123"/>
        <v>0</v>
      </c>
      <c r="AP15" s="527"/>
      <c r="AQ15" s="528">
        <f t="shared" si="12"/>
        <v>0</v>
      </c>
      <c r="AR15" s="529">
        <f t="shared" si="124"/>
        <v>0</v>
      </c>
      <c r="AS15" s="527"/>
      <c r="AT15" s="528">
        <f t="shared" si="13"/>
        <v>0</v>
      </c>
      <c r="AU15" s="529">
        <f t="shared" si="125"/>
        <v>0</v>
      </c>
      <c r="AV15" s="527"/>
      <c r="AW15" s="528">
        <f t="shared" si="14"/>
        <v>0</v>
      </c>
      <c r="AX15" s="529">
        <f t="shared" si="126"/>
        <v>0</v>
      </c>
      <c r="AY15" s="527"/>
      <c r="AZ15" s="528">
        <f t="shared" si="15"/>
        <v>0</v>
      </c>
      <c r="BA15" s="529">
        <f t="shared" si="127"/>
        <v>0</v>
      </c>
      <c r="BB15" s="527"/>
      <c r="BC15" s="528">
        <f t="shared" si="16"/>
        <v>0</v>
      </c>
      <c r="BD15" s="529">
        <f t="shared" si="128"/>
        <v>0</v>
      </c>
      <c r="BE15" s="527"/>
      <c r="BF15" s="528">
        <f t="shared" si="17"/>
        <v>0</v>
      </c>
      <c r="BG15" s="529">
        <f t="shared" si="129"/>
        <v>0</v>
      </c>
      <c r="BH15" s="527"/>
      <c r="BI15" s="528">
        <f t="shared" si="18"/>
        <v>0</v>
      </c>
      <c r="BJ15" s="529">
        <f t="shared" si="130"/>
        <v>0</v>
      </c>
      <c r="BK15" s="527"/>
      <c r="BL15" s="528">
        <f t="shared" si="19"/>
        <v>0</v>
      </c>
      <c r="BM15" s="529">
        <f t="shared" si="131"/>
        <v>0</v>
      </c>
      <c r="BN15" s="527"/>
      <c r="BO15" s="528">
        <f t="shared" si="20"/>
        <v>0</v>
      </c>
      <c r="BP15" s="529">
        <f t="shared" si="132"/>
        <v>0</v>
      </c>
      <c r="BQ15" s="527"/>
      <c r="BR15" s="528">
        <f t="shared" si="21"/>
        <v>0</v>
      </c>
      <c r="BS15" s="529">
        <f t="shared" si="133"/>
        <v>0</v>
      </c>
      <c r="BT15" s="527"/>
      <c r="BU15" s="528">
        <f t="shared" si="22"/>
        <v>0</v>
      </c>
      <c r="BV15" s="529">
        <f t="shared" si="134"/>
        <v>0</v>
      </c>
      <c r="BW15" s="527"/>
      <c r="BX15" s="528">
        <f t="shared" si="23"/>
        <v>0</v>
      </c>
      <c r="BY15" s="529">
        <f t="shared" si="135"/>
        <v>0</v>
      </c>
      <c r="BZ15" s="527"/>
      <c r="CA15" s="528">
        <f t="shared" si="24"/>
        <v>0</v>
      </c>
      <c r="CB15" s="529">
        <f t="shared" si="136"/>
        <v>0</v>
      </c>
      <c r="CC15" s="527"/>
      <c r="CD15" s="528">
        <f t="shared" si="25"/>
        <v>0</v>
      </c>
      <c r="CE15" s="529">
        <f t="shared" si="137"/>
        <v>0</v>
      </c>
      <c r="CF15" s="527">
        <v>3</v>
      </c>
      <c r="CG15" s="528">
        <f t="shared" si="26"/>
        <v>9.3779306033135362E-2</v>
      </c>
      <c r="CH15" s="529">
        <f t="shared" si="138"/>
        <v>0</v>
      </c>
      <c r="CI15" s="527"/>
      <c r="CJ15" s="528">
        <f t="shared" si="27"/>
        <v>0</v>
      </c>
      <c r="CK15" s="529">
        <f t="shared" si="139"/>
        <v>0</v>
      </c>
      <c r="CL15" s="527"/>
      <c r="CM15" s="528">
        <f t="shared" si="28"/>
        <v>0</v>
      </c>
      <c r="CN15" s="529">
        <f t="shared" si="140"/>
        <v>0</v>
      </c>
      <c r="CO15" s="527"/>
      <c r="CP15" s="528">
        <f t="shared" si="29"/>
        <v>0</v>
      </c>
      <c r="CQ15" s="529">
        <f t="shared" si="141"/>
        <v>0</v>
      </c>
      <c r="CR15" s="527"/>
      <c r="CS15" s="528">
        <f t="shared" si="30"/>
        <v>0</v>
      </c>
      <c r="CT15" s="529">
        <f t="shared" si="142"/>
        <v>0</v>
      </c>
      <c r="CU15" s="527"/>
      <c r="CV15" s="528">
        <f t="shared" si="31"/>
        <v>0</v>
      </c>
      <c r="CW15" s="529">
        <f t="shared" si="143"/>
        <v>0</v>
      </c>
      <c r="CX15" s="527"/>
      <c r="CY15" s="528">
        <f t="shared" si="32"/>
        <v>0</v>
      </c>
      <c r="CZ15" s="529">
        <f t="shared" si="144"/>
        <v>0</v>
      </c>
      <c r="DA15" s="527">
        <v>193.04251162790706</v>
      </c>
      <c r="DB15" s="528">
        <f t="shared" si="33"/>
        <v>6.0344642584528625</v>
      </c>
      <c r="DC15" s="529">
        <f t="shared" si="145"/>
        <v>0</v>
      </c>
      <c r="DD15" s="527"/>
      <c r="DE15" s="528">
        <f t="shared" si="34"/>
        <v>0</v>
      </c>
      <c r="DF15" s="529">
        <f t="shared" si="146"/>
        <v>0</v>
      </c>
      <c r="DG15" s="527"/>
      <c r="DH15" s="528">
        <f t="shared" si="35"/>
        <v>0</v>
      </c>
      <c r="DI15" s="529">
        <f t="shared" si="203"/>
        <v>0</v>
      </c>
      <c r="DJ15" s="527"/>
      <c r="DK15" s="528">
        <f t="shared" si="36"/>
        <v>0</v>
      </c>
      <c r="DL15" s="529">
        <f t="shared" si="147"/>
        <v>0</v>
      </c>
      <c r="DM15" s="527"/>
      <c r="DN15" s="528">
        <f t="shared" si="37"/>
        <v>0</v>
      </c>
      <c r="DO15" s="529">
        <f t="shared" si="148"/>
        <v>0</v>
      </c>
      <c r="DP15" s="527"/>
      <c r="DQ15" s="528">
        <f t="shared" si="38"/>
        <v>0</v>
      </c>
      <c r="DR15" s="529">
        <f t="shared" si="149"/>
        <v>0</v>
      </c>
      <c r="DS15" s="527"/>
      <c r="DT15" s="528">
        <f t="shared" si="39"/>
        <v>0</v>
      </c>
      <c r="DU15" s="529">
        <f t="shared" si="150"/>
        <v>0</v>
      </c>
      <c r="DV15" s="527"/>
      <c r="DW15" s="528">
        <f t="shared" si="40"/>
        <v>0</v>
      </c>
      <c r="DX15" s="529">
        <f t="shared" si="151"/>
        <v>0</v>
      </c>
      <c r="DY15" s="527"/>
      <c r="DZ15" s="528">
        <f t="shared" si="41"/>
        <v>0</v>
      </c>
      <c r="EA15" s="529">
        <f t="shared" si="152"/>
        <v>0</v>
      </c>
      <c r="EB15" s="527"/>
      <c r="EC15" s="528">
        <f t="shared" si="42"/>
        <v>0</v>
      </c>
      <c r="ED15" s="529">
        <f t="shared" si="153"/>
        <v>0</v>
      </c>
      <c r="EE15" s="527">
        <v>10.901162790697676</v>
      </c>
      <c r="EF15" s="528">
        <f t="shared" si="43"/>
        <v>0.34076782715528842</v>
      </c>
      <c r="EG15" s="529">
        <f t="shared" si="154"/>
        <v>0</v>
      </c>
      <c r="EH15" s="527">
        <v>204.3358823529411</v>
      </c>
      <c r="EI15" s="528">
        <f t="shared" si="44"/>
        <v>6.3874924149090688</v>
      </c>
      <c r="EJ15" s="529">
        <f t="shared" si="155"/>
        <v>0</v>
      </c>
      <c r="EK15" s="527">
        <v>0</v>
      </c>
      <c r="EL15" s="528">
        <f t="shared" si="45"/>
        <v>0</v>
      </c>
      <c r="EM15" s="529">
        <f t="shared" si="156"/>
        <v>0</v>
      </c>
      <c r="EN15" s="527">
        <v>16.751988048780504</v>
      </c>
      <c r="EO15" s="528">
        <f t="shared" si="46"/>
        <v>0.52366327129667101</v>
      </c>
      <c r="EP15" s="529">
        <f t="shared" si="157"/>
        <v>0</v>
      </c>
      <c r="EQ15" s="527">
        <v>27.162244186046451</v>
      </c>
      <c r="ER15" s="528">
        <f t="shared" si="47"/>
        <v>0.8490854700233339</v>
      </c>
      <c r="ES15" s="529">
        <f t="shared" si="158"/>
        <v>0</v>
      </c>
      <c r="ET15" s="527"/>
      <c r="EU15" s="528">
        <f t="shared" si="48"/>
        <v>0</v>
      </c>
      <c r="EV15" s="529">
        <f t="shared" si="159"/>
        <v>0</v>
      </c>
      <c r="EW15" s="527"/>
      <c r="EX15" s="528">
        <f t="shared" si="49"/>
        <v>0</v>
      </c>
      <c r="EY15" s="529">
        <f t="shared" si="160"/>
        <v>0</v>
      </c>
      <c r="EZ15" s="527"/>
      <c r="FA15" s="528">
        <f t="shared" si="50"/>
        <v>0</v>
      </c>
      <c r="FB15" s="529">
        <f t="shared" si="161"/>
        <v>0</v>
      </c>
      <c r="FC15" s="527"/>
      <c r="FD15" s="528">
        <f t="shared" si="51"/>
        <v>0</v>
      </c>
      <c r="FE15" s="529">
        <f t="shared" si="162"/>
        <v>0</v>
      </c>
      <c r="FF15" s="527"/>
      <c r="FG15" s="528">
        <f t="shared" si="52"/>
        <v>0</v>
      </c>
      <c r="FH15" s="529">
        <f t="shared" si="163"/>
        <v>0</v>
      </c>
      <c r="FI15" s="527"/>
      <c r="FJ15" s="528">
        <f t="shared" si="53"/>
        <v>0</v>
      </c>
      <c r="FK15" s="529">
        <f t="shared" si="164"/>
        <v>0</v>
      </c>
      <c r="FL15" s="527"/>
      <c r="FM15" s="528">
        <f t="shared" si="54"/>
        <v>0</v>
      </c>
      <c r="FN15" s="529">
        <f t="shared" si="165"/>
        <v>0</v>
      </c>
      <c r="FO15" s="527"/>
      <c r="FP15" s="528">
        <f t="shared" si="55"/>
        <v>0</v>
      </c>
      <c r="FQ15" s="529">
        <f t="shared" si="166"/>
        <v>0</v>
      </c>
      <c r="FR15" s="527"/>
      <c r="FS15" s="528">
        <f t="shared" si="56"/>
        <v>0</v>
      </c>
      <c r="FT15" s="529">
        <f t="shared" si="167"/>
        <v>0</v>
      </c>
      <c r="FU15" s="527"/>
      <c r="FV15" s="528">
        <f t="shared" si="57"/>
        <v>0</v>
      </c>
      <c r="FW15" s="529">
        <f t="shared" si="168"/>
        <v>0</v>
      </c>
      <c r="FX15" s="527"/>
      <c r="FY15" s="528">
        <f t="shared" si="58"/>
        <v>0</v>
      </c>
      <c r="FZ15" s="529">
        <f t="shared" si="169"/>
        <v>0</v>
      </c>
      <c r="GA15" s="527"/>
      <c r="GB15" s="528">
        <f t="shared" si="59"/>
        <v>0</v>
      </c>
      <c r="GC15" s="529">
        <f t="shared" si="170"/>
        <v>0</v>
      </c>
      <c r="GD15" s="527"/>
      <c r="GE15" s="528">
        <f t="shared" si="60"/>
        <v>0</v>
      </c>
      <c r="GF15" s="529">
        <f t="shared" si="171"/>
        <v>0</v>
      </c>
      <c r="GG15" s="527">
        <v>13.282626100880703</v>
      </c>
      <c r="GH15" s="528">
        <f t="shared" si="61"/>
        <v>0.41521181934606766</v>
      </c>
      <c r="GI15" s="529">
        <f t="shared" si="172"/>
        <v>0</v>
      </c>
      <c r="GJ15" s="527">
        <v>13.282626100880703</v>
      </c>
      <c r="GK15" s="528">
        <f t="shared" si="62"/>
        <v>0.41521181934606766</v>
      </c>
      <c r="GL15" s="529">
        <f t="shared" si="173"/>
        <v>0</v>
      </c>
      <c r="GM15" s="527"/>
      <c r="GN15" s="528">
        <f t="shared" si="63"/>
        <v>0</v>
      </c>
      <c r="GO15" s="529">
        <f t="shared" si="174"/>
        <v>0</v>
      </c>
      <c r="GP15" s="527">
        <v>35.420336269015209</v>
      </c>
      <c r="GQ15" s="528">
        <f t="shared" si="64"/>
        <v>1.1072315182561805</v>
      </c>
      <c r="GR15" s="529">
        <f t="shared" si="175"/>
        <v>0</v>
      </c>
      <c r="GS15" s="527">
        <v>168.24659727782225</v>
      </c>
      <c r="GT15" s="528">
        <f t="shared" si="65"/>
        <v>5.2593497117168573</v>
      </c>
      <c r="GU15" s="529">
        <f t="shared" si="176"/>
        <v>0</v>
      </c>
      <c r="GV15" s="527">
        <v>61.985588470776619</v>
      </c>
      <c r="GW15" s="528">
        <f t="shared" si="66"/>
        <v>1.9376551569483158</v>
      </c>
      <c r="GX15" s="529">
        <f t="shared" si="177"/>
        <v>0</v>
      </c>
      <c r="GY15" s="527"/>
      <c r="GZ15" s="528">
        <f t="shared" si="67"/>
        <v>0</v>
      </c>
      <c r="HA15" s="529">
        <f t="shared" si="178"/>
        <v>0</v>
      </c>
      <c r="HB15" s="527"/>
      <c r="HC15" s="528">
        <f t="shared" si="68"/>
        <v>0</v>
      </c>
      <c r="HD15" s="529">
        <f t="shared" si="179"/>
        <v>0</v>
      </c>
      <c r="HE15" s="527"/>
      <c r="HF15" s="528">
        <f t="shared" si="69"/>
        <v>0</v>
      </c>
      <c r="HG15" s="529">
        <f t="shared" si="180"/>
        <v>0</v>
      </c>
      <c r="HH15" s="527"/>
      <c r="HI15" s="528">
        <f t="shared" si="70"/>
        <v>0</v>
      </c>
      <c r="HJ15" s="529">
        <f t="shared" si="181"/>
        <v>0</v>
      </c>
      <c r="HK15" s="527"/>
      <c r="HL15" s="528">
        <f t="shared" si="71"/>
        <v>0</v>
      </c>
      <c r="HM15" s="529">
        <f t="shared" si="182"/>
        <v>0</v>
      </c>
      <c r="HN15" s="527">
        <v>757.10968775020012</v>
      </c>
      <c r="HO15" s="528">
        <f t="shared" si="72"/>
        <v>23.667073702725858</v>
      </c>
      <c r="HP15" s="529">
        <f t="shared" si="183"/>
        <v>0</v>
      </c>
      <c r="HQ15" s="527"/>
      <c r="HR15" s="528">
        <f t="shared" si="73"/>
        <v>0</v>
      </c>
      <c r="HS15" s="529">
        <f t="shared" si="184"/>
        <v>0</v>
      </c>
      <c r="HT15" s="527"/>
      <c r="HU15" s="528">
        <f t="shared" si="74"/>
        <v>0</v>
      </c>
      <c r="HV15" s="529">
        <f t="shared" si="185"/>
        <v>0</v>
      </c>
      <c r="HW15" s="527"/>
      <c r="HX15" s="528">
        <f t="shared" si="75"/>
        <v>0</v>
      </c>
      <c r="HY15" s="529">
        <f t="shared" si="186"/>
        <v>0</v>
      </c>
      <c r="HZ15" s="527"/>
      <c r="IA15" s="528">
        <f t="shared" si="76"/>
        <v>0</v>
      </c>
      <c r="IB15" s="529">
        <f t="shared" si="187"/>
        <v>0</v>
      </c>
      <c r="IC15" s="527"/>
      <c r="ID15" s="528">
        <f t="shared" si="77"/>
        <v>0</v>
      </c>
      <c r="IE15" s="529">
        <f t="shared" si="188"/>
        <v>0</v>
      </c>
      <c r="IF15" s="527"/>
      <c r="IG15" s="528">
        <f t="shared" si="78"/>
        <v>0</v>
      </c>
      <c r="IH15" s="529">
        <f t="shared" si="189"/>
        <v>0</v>
      </c>
      <c r="II15" s="527">
        <v>17.710168134507605</v>
      </c>
      <c r="IJ15" s="528">
        <f t="shared" si="79"/>
        <v>0.55361575912809025</v>
      </c>
      <c r="IK15" s="529">
        <f t="shared" si="190"/>
        <v>0</v>
      </c>
      <c r="IL15" s="527"/>
      <c r="IM15" s="528">
        <f t="shared" si="80"/>
        <v>0</v>
      </c>
      <c r="IN15" s="529">
        <f t="shared" si="191"/>
        <v>0</v>
      </c>
      <c r="IO15" s="527"/>
      <c r="IP15" s="528">
        <f t="shared" si="81"/>
        <v>0</v>
      </c>
      <c r="IQ15" s="529">
        <f t="shared" si="192"/>
        <v>0</v>
      </c>
      <c r="IR15" s="527">
        <v>33.206565252201756</v>
      </c>
      <c r="IS15" s="528">
        <f t="shared" si="82"/>
        <v>1.0380295483651691</v>
      </c>
      <c r="IT15" s="529">
        <f t="shared" si="193"/>
        <v>0</v>
      </c>
      <c r="IU15" s="527"/>
      <c r="IV15" s="528">
        <f t="shared" si="83"/>
        <v>0</v>
      </c>
      <c r="IW15" s="529">
        <f t="shared" si="194"/>
        <v>0</v>
      </c>
      <c r="IX15" s="527"/>
      <c r="IY15" s="528">
        <f t="shared" si="84"/>
        <v>0</v>
      </c>
      <c r="IZ15" s="529">
        <f t="shared" si="195"/>
        <v>0</v>
      </c>
      <c r="JA15" s="527"/>
      <c r="JB15" s="528">
        <f t="shared" si="85"/>
        <v>0</v>
      </c>
      <c r="JC15" s="529">
        <f t="shared" si="196"/>
        <v>0</v>
      </c>
      <c r="JD15" s="527"/>
      <c r="JE15" s="528">
        <f t="shared" si="86"/>
        <v>0</v>
      </c>
      <c r="JF15" s="529">
        <f t="shared" si="197"/>
        <v>0</v>
      </c>
      <c r="JG15" s="527"/>
      <c r="JH15" s="528">
        <f t="shared" si="87"/>
        <v>0</v>
      </c>
      <c r="JI15" s="529">
        <f t="shared" si="198"/>
        <v>0</v>
      </c>
      <c r="JJ15" s="527">
        <v>17.710168134507605</v>
      </c>
      <c r="JK15" s="529" t="str">
        <f t="shared" si="88"/>
        <v>0</v>
      </c>
      <c r="JL15" s="529" t="str">
        <f t="shared" si="89"/>
        <v>0</v>
      </c>
      <c r="JM15" s="527"/>
      <c r="JN15" s="529" t="str">
        <f t="shared" si="90"/>
        <v>0</v>
      </c>
      <c r="JO15" s="529" t="str">
        <f t="shared" si="91"/>
        <v>0</v>
      </c>
      <c r="JP15" s="527"/>
      <c r="JQ15" s="529" t="str">
        <f t="shared" si="92"/>
        <v>0</v>
      </c>
      <c r="JR15" s="529" t="str">
        <f t="shared" si="93"/>
        <v>0</v>
      </c>
      <c r="JS15" s="527"/>
      <c r="JT15" s="529" t="str">
        <f t="shared" si="94"/>
        <v>0</v>
      </c>
      <c r="JU15" s="529" t="str">
        <f t="shared" si="95"/>
        <v>0</v>
      </c>
      <c r="JV15" s="527"/>
      <c r="JW15" s="529" t="str">
        <f t="shared" si="96"/>
        <v>0</v>
      </c>
      <c r="JX15" s="529" t="str">
        <f t="shared" si="97"/>
        <v>0</v>
      </c>
      <c r="JY15" s="527"/>
      <c r="JZ15" s="529" t="str">
        <f t="shared" si="98"/>
        <v>0</v>
      </c>
      <c r="KA15" s="529" t="str">
        <f t="shared" si="99"/>
        <v>0</v>
      </c>
      <c r="KB15" s="527"/>
      <c r="KC15" s="529" t="str">
        <f t="shared" si="100"/>
        <v>0</v>
      </c>
      <c r="KD15" s="529" t="str">
        <f t="shared" si="101"/>
        <v>0</v>
      </c>
      <c r="KE15" s="527"/>
      <c r="KF15" s="529" t="str">
        <f t="shared" si="102"/>
        <v>0</v>
      </c>
      <c r="KG15" s="529" t="str">
        <f t="shared" si="103"/>
        <v>0</v>
      </c>
      <c r="KH15" s="527"/>
      <c r="KI15" s="529" t="str">
        <f t="shared" si="104"/>
        <v>0</v>
      </c>
      <c r="KJ15" s="529" t="str">
        <f t="shared" si="105"/>
        <v>0</v>
      </c>
      <c r="KK15" s="527"/>
      <c r="KL15" s="529" t="str">
        <f t="shared" si="106"/>
        <v>0</v>
      </c>
      <c r="KM15" s="529" t="str">
        <f t="shared" si="107"/>
        <v>0</v>
      </c>
      <c r="KN15" s="527"/>
      <c r="KO15" s="529" t="str">
        <f t="shared" si="108"/>
        <v>0</v>
      </c>
      <c r="KP15" s="529" t="str">
        <f t="shared" si="109"/>
        <v>0</v>
      </c>
      <c r="KQ15" s="527"/>
      <c r="KR15" s="529" t="str">
        <f t="shared" si="110"/>
        <v>0</v>
      </c>
      <c r="KS15" s="529" t="str">
        <f t="shared" si="111"/>
        <v>0</v>
      </c>
      <c r="KT15" s="529">
        <f t="shared" si="201"/>
        <v>0</v>
      </c>
      <c r="KU15" s="529">
        <f t="shared" si="202"/>
        <v>0</v>
      </c>
      <c r="KV15" s="268">
        <f t="shared" si="199"/>
        <v>1634.578652497165</v>
      </c>
    </row>
    <row r="16" spans="1:308" ht="15" customHeight="1">
      <c r="A16" s="270">
        <f t="shared" si="200"/>
        <v>46089</v>
      </c>
      <c r="B16" s="271" t="str">
        <f>+Report1!B16</f>
        <v>Toilet</v>
      </c>
      <c r="C16" s="271" t="str">
        <f>+Report1!C16</f>
        <v>17/16</v>
      </c>
      <c r="D16" s="272">
        <f>+Report1!P16</f>
        <v>43.849999999999994</v>
      </c>
      <c r="E16" s="273">
        <f>+Report1!R16</f>
        <v>45.228000000000002</v>
      </c>
      <c r="F16" s="527"/>
      <c r="G16" s="528">
        <f t="shared" si="0"/>
        <v>0</v>
      </c>
      <c r="H16" s="529">
        <f t="shared" si="112"/>
        <v>0</v>
      </c>
      <c r="I16" s="527"/>
      <c r="J16" s="528">
        <f t="shared" si="1"/>
        <v>0</v>
      </c>
      <c r="K16" s="529">
        <f t="shared" si="113"/>
        <v>0</v>
      </c>
      <c r="L16" s="527"/>
      <c r="M16" s="528">
        <f t="shared" si="2"/>
        <v>0</v>
      </c>
      <c r="N16" s="529">
        <f t="shared" si="114"/>
        <v>0</v>
      </c>
      <c r="O16" s="527">
        <v>11.379600000000011</v>
      </c>
      <c r="P16" s="528">
        <f t="shared" si="3"/>
        <v>0.25160520031838707</v>
      </c>
      <c r="Q16" s="529">
        <f t="shared" si="115"/>
        <v>0</v>
      </c>
      <c r="R16" s="527"/>
      <c r="S16" s="528">
        <f t="shared" si="4"/>
        <v>0</v>
      </c>
      <c r="T16" s="529">
        <f t="shared" si="116"/>
        <v>0</v>
      </c>
      <c r="U16" s="527">
        <v>3.4917000000000087</v>
      </c>
      <c r="V16" s="528">
        <f t="shared" si="5"/>
        <v>7.7202175643406923E-2</v>
      </c>
      <c r="W16" s="529">
        <f t="shared" si="117"/>
        <v>0</v>
      </c>
      <c r="X16" s="527"/>
      <c r="Y16" s="528">
        <f t="shared" si="6"/>
        <v>0</v>
      </c>
      <c r="Z16" s="529">
        <f t="shared" si="118"/>
        <v>0</v>
      </c>
      <c r="AA16" s="527">
        <v>4.6874999999999858</v>
      </c>
      <c r="AB16" s="528">
        <f t="shared" si="7"/>
        <v>0.10364154948262107</v>
      </c>
      <c r="AC16" s="529">
        <f t="shared" si="119"/>
        <v>0</v>
      </c>
      <c r="AD16" s="527"/>
      <c r="AE16" s="528">
        <f t="shared" si="8"/>
        <v>0</v>
      </c>
      <c r="AF16" s="529">
        <f t="shared" si="120"/>
        <v>0</v>
      </c>
      <c r="AG16" s="527"/>
      <c r="AH16" s="528">
        <f t="shared" si="9"/>
        <v>0</v>
      </c>
      <c r="AI16" s="529">
        <f t="shared" si="121"/>
        <v>0</v>
      </c>
      <c r="AJ16" s="527">
        <v>47.760900000000007</v>
      </c>
      <c r="AK16" s="528">
        <f t="shared" si="10"/>
        <v>1.0560029185460336</v>
      </c>
      <c r="AL16" s="529">
        <f t="shared" si="122"/>
        <v>0</v>
      </c>
      <c r="AM16" s="527"/>
      <c r="AN16" s="528">
        <f t="shared" si="11"/>
        <v>0</v>
      </c>
      <c r="AO16" s="529">
        <f t="shared" si="123"/>
        <v>0</v>
      </c>
      <c r="AP16" s="527"/>
      <c r="AQ16" s="528">
        <f t="shared" si="12"/>
        <v>0</v>
      </c>
      <c r="AR16" s="529">
        <f t="shared" si="124"/>
        <v>0</v>
      </c>
      <c r="AS16" s="527"/>
      <c r="AT16" s="528">
        <f t="shared" si="13"/>
        <v>0</v>
      </c>
      <c r="AU16" s="529">
        <f t="shared" si="125"/>
        <v>0</v>
      </c>
      <c r="AV16" s="527"/>
      <c r="AW16" s="528">
        <f t="shared" si="14"/>
        <v>0</v>
      </c>
      <c r="AX16" s="529">
        <f t="shared" si="126"/>
        <v>0</v>
      </c>
      <c r="AY16" s="527"/>
      <c r="AZ16" s="528">
        <f t="shared" si="15"/>
        <v>0</v>
      </c>
      <c r="BA16" s="529">
        <f t="shared" si="127"/>
        <v>0</v>
      </c>
      <c r="BB16" s="527"/>
      <c r="BC16" s="528">
        <f t="shared" si="16"/>
        <v>0</v>
      </c>
      <c r="BD16" s="529">
        <f t="shared" si="128"/>
        <v>0</v>
      </c>
      <c r="BE16" s="527"/>
      <c r="BF16" s="528">
        <f t="shared" si="17"/>
        <v>0</v>
      </c>
      <c r="BG16" s="529">
        <f t="shared" si="129"/>
        <v>0</v>
      </c>
      <c r="BH16" s="527"/>
      <c r="BI16" s="528">
        <f t="shared" si="18"/>
        <v>0</v>
      </c>
      <c r="BJ16" s="529">
        <f t="shared" si="130"/>
        <v>0</v>
      </c>
      <c r="BK16" s="527"/>
      <c r="BL16" s="528">
        <f t="shared" si="19"/>
        <v>0</v>
      </c>
      <c r="BM16" s="529">
        <f t="shared" si="131"/>
        <v>0</v>
      </c>
      <c r="BN16" s="527"/>
      <c r="BO16" s="528">
        <f t="shared" si="20"/>
        <v>0</v>
      </c>
      <c r="BP16" s="529">
        <f t="shared" si="132"/>
        <v>0</v>
      </c>
      <c r="BQ16" s="527"/>
      <c r="BR16" s="528">
        <f t="shared" si="21"/>
        <v>0</v>
      </c>
      <c r="BS16" s="529">
        <f t="shared" si="133"/>
        <v>0</v>
      </c>
      <c r="BT16" s="527"/>
      <c r="BU16" s="528">
        <f t="shared" si="22"/>
        <v>0</v>
      </c>
      <c r="BV16" s="529">
        <f t="shared" si="134"/>
        <v>0</v>
      </c>
      <c r="BW16" s="527"/>
      <c r="BX16" s="528">
        <f t="shared" si="23"/>
        <v>0</v>
      </c>
      <c r="BY16" s="529">
        <f t="shared" si="135"/>
        <v>0</v>
      </c>
      <c r="BZ16" s="527"/>
      <c r="CA16" s="528">
        <f t="shared" si="24"/>
        <v>0</v>
      </c>
      <c r="CB16" s="529">
        <f t="shared" si="136"/>
        <v>0</v>
      </c>
      <c r="CC16" s="527"/>
      <c r="CD16" s="528">
        <f t="shared" si="25"/>
        <v>0</v>
      </c>
      <c r="CE16" s="529">
        <f t="shared" si="137"/>
        <v>0</v>
      </c>
      <c r="CF16" s="527">
        <v>4</v>
      </c>
      <c r="CG16" s="528">
        <f t="shared" si="26"/>
        <v>8.8440788891836916E-2</v>
      </c>
      <c r="CH16" s="529">
        <f t="shared" si="138"/>
        <v>0</v>
      </c>
      <c r="CI16" s="527"/>
      <c r="CJ16" s="528">
        <f t="shared" si="27"/>
        <v>0</v>
      </c>
      <c r="CK16" s="529">
        <f t="shared" si="139"/>
        <v>0</v>
      </c>
      <c r="CL16" s="527"/>
      <c r="CM16" s="528">
        <f t="shared" si="28"/>
        <v>0</v>
      </c>
      <c r="CN16" s="529">
        <f t="shared" si="140"/>
        <v>0</v>
      </c>
      <c r="CO16" s="527"/>
      <c r="CP16" s="528">
        <f t="shared" si="29"/>
        <v>0</v>
      </c>
      <c r="CQ16" s="529">
        <f t="shared" si="141"/>
        <v>0</v>
      </c>
      <c r="CR16" s="527"/>
      <c r="CS16" s="528">
        <f t="shared" si="30"/>
        <v>0</v>
      </c>
      <c r="CT16" s="529">
        <f t="shared" si="142"/>
        <v>0</v>
      </c>
      <c r="CU16" s="527"/>
      <c r="CV16" s="528">
        <f t="shared" si="31"/>
        <v>0</v>
      </c>
      <c r="CW16" s="529">
        <f t="shared" si="143"/>
        <v>0</v>
      </c>
      <c r="CX16" s="527"/>
      <c r="CY16" s="528">
        <f t="shared" si="32"/>
        <v>0</v>
      </c>
      <c r="CZ16" s="529">
        <f t="shared" si="144"/>
        <v>0</v>
      </c>
      <c r="DA16" s="527">
        <v>228.4680000000003</v>
      </c>
      <c r="DB16" s="528">
        <f t="shared" si="33"/>
        <v>5.0514725391350552</v>
      </c>
      <c r="DC16" s="529">
        <f t="shared" si="145"/>
        <v>0</v>
      </c>
      <c r="DD16" s="527"/>
      <c r="DE16" s="528">
        <f t="shared" si="34"/>
        <v>0</v>
      </c>
      <c r="DF16" s="529">
        <f t="shared" si="146"/>
        <v>0</v>
      </c>
      <c r="DG16" s="527"/>
      <c r="DH16" s="528">
        <f t="shared" si="35"/>
        <v>0</v>
      </c>
      <c r="DI16" s="529">
        <f t="shared" si="203"/>
        <v>0</v>
      </c>
      <c r="DJ16" s="527"/>
      <c r="DK16" s="528">
        <f t="shared" si="36"/>
        <v>0</v>
      </c>
      <c r="DL16" s="529">
        <f t="shared" si="147"/>
        <v>0</v>
      </c>
      <c r="DM16" s="527"/>
      <c r="DN16" s="528">
        <f t="shared" si="37"/>
        <v>0</v>
      </c>
      <c r="DO16" s="529">
        <f t="shared" si="148"/>
        <v>0</v>
      </c>
      <c r="DP16" s="527"/>
      <c r="DQ16" s="528">
        <f t="shared" si="38"/>
        <v>0</v>
      </c>
      <c r="DR16" s="529">
        <f t="shared" si="149"/>
        <v>0</v>
      </c>
      <c r="DS16" s="527"/>
      <c r="DT16" s="528">
        <f t="shared" si="39"/>
        <v>0</v>
      </c>
      <c r="DU16" s="529">
        <f t="shared" si="150"/>
        <v>0</v>
      </c>
      <c r="DV16" s="527"/>
      <c r="DW16" s="528">
        <f t="shared" si="40"/>
        <v>0</v>
      </c>
      <c r="DX16" s="529">
        <f t="shared" si="151"/>
        <v>0</v>
      </c>
      <c r="DY16" s="527"/>
      <c r="DZ16" s="528">
        <f t="shared" si="41"/>
        <v>0</v>
      </c>
      <c r="EA16" s="529">
        <f t="shared" si="152"/>
        <v>0</v>
      </c>
      <c r="EB16" s="527"/>
      <c r="EC16" s="528">
        <f t="shared" si="42"/>
        <v>0</v>
      </c>
      <c r="ED16" s="529">
        <f t="shared" si="153"/>
        <v>0</v>
      </c>
      <c r="EE16" s="527">
        <v>10.901162790697676</v>
      </c>
      <c r="EF16" s="528">
        <f t="shared" si="43"/>
        <v>0.24102685926191023</v>
      </c>
      <c r="EG16" s="529">
        <f t="shared" si="154"/>
        <v>0</v>
      </c>
      <c r="EH16" s="527">
        <v>241.83000000000004</v>
      </c>
      <c r="EI16" s="528">
        <f t="shared" si="44"/>
        <v>5.3469089944282313</v>
      </c>
      <c r="EJ16" s="529">
        <f t="shared" si="155"/>
        <v>0</v>
      </c>
      <c r="EK16" s="527">
        <v>0</v>
      </c>
      <c r="EL16" s="528">
        <f t="shared" si="45"/>
        <v>0</v>
      </c>
      <c r="EM16" s="529">
        <f t="shared" si="156"/>
        <v>0</v>
      </c>
      <c r="EN16" s="527">
        <v>19.831349999999986</v>
      </c>
      <c r="EO16" s="528">
        <f t="shared" si="46"/>
        <v>0.4384750596975322</v>
      </c>
      <c r="EP16" s="529">
        <f t="shared" si="157"/>
        <v>0</v>
      </c>
      <c r="EQ16" s="527">
        <v>32.138500000000022</v>
      </c>
      <c r="ER16" s="528">
        <f t="shared" si="47"/>
        <v>0.71058857345007564</v>
      </c>
      <c r="ES16" s="529">
        <f t="shared" si="158"/>
        <v>0</v>
      </c>
      <c r="ET16" s="527"/>
      <c r="EU16" s="528">
        <f t="shared" si="48"/>
        <v>0</v>
      </c>
      <c r="EV16" s="529">
        <f t="shared" si="159"/>
        <v>0</v>
      </c>
      <c r="EW16" s="527"/>
      <c r="EX16" s="528">
        <f t="shared" si="49"/>
        <v>0</v>
      </c>
      <c r="EY16" s="529">
        <f t="shared" si="160"/>
        <v>0</v>
      </c>
      <c r="EZ16" s="527"/>
      <c r="FA16" s="528">
        <f t="shared" si="50"/>
        <v>0</v>
      </c>
      <c r="FB16" s="529">
        <f t="shared" si="161"/>
        <v>0</v>
      </c>
      <c r="FC16" s="527"/>
      <c r="FD16" s="528">
        <f t="shared" si="51"/>
        <v>0</v>
      </c>
      <c r="FE16" s="529">
        <f t="shared" si="162"/>
        <v>0</v>
      </c>
      <c r="FF16" s="527"/>
      <c r="FG16" s="528">
        <f t="shared" si="52"/>
        <v>0</v>
      </c>
      <c r="FH16" s="529">
        <f t="shared" si="163"/>
        <v>0</v>
      </c>
      <c r="FI16" s="527"/>
      <c r="FJ16" s="528">
        <f t="shared" si="53"/>
        <v>0</v>
      </c>
      <c r="FK16" s="529">
        <f t="shared" si="164"/>
        <v>0</v>
      </c>
      <c r="FL16" s="527"/>
      <c r="FM16" s="528">
        <f t="shared" si="54"/>
        <v>0</v>
      </c>
      <c r="FN16" s="529">
        <f t="shared" si="165"/>
        <v>0</v>
      </c>
      <c r="FO16" s="527"/>
      <c r="FP16" s="528">
        <f t="shared" si="55"/>
        <v>0</v>
      </c>
      <c r="FQ16" s="529">
        <f t="shared" si="166"/>
        <v>0</v>
      </c>
      <c r="FR16" s="527"/>
      <c r="FS16" s="528">
        <f t="shared" si="56"/>
        <v>0</v>
      </c>
      <c r="FT16" s="529">
        <f t="shared" si="167"/>
        <v>0</v>
      </c>
      <c r="FU16" s="527"/>
      <c r="FV16" s="528">
        <f t="shared" si="57"/>
        <v>0</v>
      </c>
      <c r="FW16" s="529">
        <f t="shared" si="168"/>
        <v>0</v>
      </c>
      <c r="FX16" s="527"/>
      <c r="FY16" s="528">
        <f t="shared" si="58"/>
        <v>0</v>
      </c>
      <c r="FZ16" s="529">
        <f t="shared" si="169"/>
        <v>0</v>
      </c>
      <c r="GA16" s="527"/>
      <c r="GB16" s="528">
        <f t="shared" si="59"/>
        <v>0</v>
      </c>
      <c r="GC16" s="529">
        <f t="shared" si="170"/>
        <v>0</v>
      </c>
      <c r="GD16" s="527"/>
      <c r="GE16" s="528">
        <f t="shared" si="60"/>
        <v>0</v>
      </c>
      <c r="GF16" s="529">
        <f t="shared" si="171"/>
        <v>0</v>
      </c>
      <c r="GG16" s="527">
        <v>13.678048577607719</v>
      </c>
      <c r="GH16" s="528">
        <f t="shared" si="61"/>
        <v>0.30242435167612358</v>
      </c>
      <c r="GI16" s="529">
        <f t="shared" si="172"/>
        <v>0</v>
      </c>
      <c r="GJ16" s="527">
        <v>13.678048577607719</v>
      </c>
      <c r="GK16" s="528">
        <f t="shared" si="62"/>
        <v>0.30242435167612358</v>
      </c>
      <c r="GL16" s="529">
        <f t="shared" si="173"/>
        <v>0</v>
      </c>
      <c r="GM16" s="527"/>
      <c r="GN16" s="528">
        <f t="shared" si="63"/>
        <v>0</v>
      </c>
      <c r="GO16" s="529">
        <f t="shared" si="174"/>
        <v>0</v>
      </c>
      <c r="GP16" s="527">
        <v>36.474796206953918</v>
      </c>
      <c r="GQ16" s="528">
        <f t="shared" si="64"/>
        <v>0.80646493780299633</v>
      </c>
      <c r="GR16" s="529">
        <f t="shared" si="175"/>
        <v>0</v>
      </c>
      <c r="GS16" s="527">
        <v>145.89918482781567</v>
      </c>
      <c r="GT16" s="528">
        <f t="shared" si="65"/>
        <v>3.2258597512119853</v>
      </c>
      <c r="GU16" s="529">
        <f t="shared" si="176"/>
        <v>0</v>
      </c>
      <c r="GV16" s="527">
        <v>63.830893362169355</v>
      </c>
      <c r="GW16" s="528">
        <f t="shared" si="66"/>
        <v>1.4113136411552436</v>
      </c>
      <c r="GX16" s="529">
        <f t="shared" si="177"/>
        <v>0</v>
      </c>
      <c r="GY16" s="527"/>
      <c r="GZ16" s="528">
        <f t="shared" si="67"/>
        <v>0</v>
      </c>
      <c r="HA16" s="529">
        <f t="shared" si="178"/>
        <v>0</v>
      </c>
      <c r="HB16" s="527"/>
      <c r="HC16" s="528">
        <f t="shared" si="68"/>
        <v>0</v>
      </c>
      <c r="HD16" s="529">
        <f t="shared" si="179"/>
        <v>0</v>
      </c>
      <c r="HE16" s="527"/>
      <c r="HF16" s="528">
        <f t="shared" si="69"/>
        <v>0</v>
      </c>
      <c r="HG16" s="529">
        <f t="shared" si="180"/>
        <v>0</v>
      </c>
      <c r="HH16" s="527"/>
      <c r="HI16" s="528">
        <f t="shared" si="70"/>
        <v>0</v>
      </c>
      <c r="HJ16" s="529">
        <f t="shared" si="181"/>
        <v>0</v>
      </c>
      <c r="HK16" s="527"/>
      <c r="HL16" s="528">
        <f t="shared" si="71"/>
        <v>0</v>
      </c>
      <c r="HM16" s="529">
        <f t="shared" si="182"/>
        <v>0</v>
      </c>
      <c r="HN16" s="527">
        <v>825.24226418233241</v>
      </c>
      <c r="HO16" s="528">
        <f t="shared" si="72"/>
        <v>18.24626921779279</v>
      </c>
      <c r="HP16" s="529">
        <f t="shared" si="183"/>
        <v>0</v>
      </c>
      <c r="HQ16" s="527"/>
      <c r="HR16" s="528">
        <f t="shared" si="73"/>
        <v>0</v>
      </c>
      <c r="HS16" s="529">
        <f t="shared" si="184"/>
        <v>0</v>
      </c>
      <c r="HT16" s="527"/>
      <c r="HU16" s="528">
        <f t="shared" si="74"/>
        <v>0</v>
      </c>
      <c r="HV16" s="529">
        <f t="shared" si="185"/>
        <v>0</v>
      </c>
      <c r="HW16" s="527"/>
      <c r="HX16" s="528">
        <f t="shared" si="75"/>
        <v>0</v>
      </c>
      <c r="HY16" s="529">
        <f t="shared" si="186"/>
        <v>0</v>
      </c>
      <c r="HZ16" s="527"/>
      <c r="IA16" s="528">
        <f t="shared" si="76"/>
        <v>0</v>
      </c>
      <c r="IB16" s="529">
        <f t="shared" si="187"/>
        <v>0</v>
      </c>
      <c r="IC16" s="527"/>
      <c r="ID16" s="528">
        <f t="shared" si="77"/>
        <v>0</v>
      </c>
      <c r="IE16" s="529">
        <f t="shared" si="188"/>
        <v>0</v>
      </c>
      <c r="IF16" s="527"/>
      <c r="IG16" s="528">
        <f t="shared" si="78"/>
        <v>0</v>
      </c>
      <c r="IH16" s="529">
        <f t="shared" si="189"/>
        <v>0</v>
      </c>
      <c r="II16" s="527">
        <v>20.517072866411578</v>
      </c>
      <c r="IJ16" s="528">
        <f t="shared" si="79"/>
        <v>0.45363652751418537</v>
      </c>
      <c r="IK16" s="529">
        <f t="shared" si="190"/>
        <v>0</v>
      </c>
      <c r="IL16" s="527"/>
      <c r="IM16" s="528">
        <f t="shared" si="80"/>
        <v>0</v>
      </c>
      <c r="IN16" s="529">
        <f t="shared" si="191"/>
        <v>0</v>
      </c>
      <c r="IO16" s="527"/>
      <c r="IP16" s="528">
        <f t="shared" si="81"/>
        <v>0</v>
      </c>
      <c r="IQ16" s="529">
        <f t="shared" si="192"/>
        <v>0</v>
      </c>
      <c r="IR16" s="527">
        <v>45.593495258692393</v>
      </c>
      <c r="IS16" s="528">
        <f t="shared" si="82"/>
        <v>1.0080811722537453</v>
      </c>
      <c r="IT16" s="529">
        <f t="shared" si="193"/>
        <v>0</v>
      </c>
      <c r="IU16" s="527"/>
      <c r="IV16" s="528">
        <f t="shared" si="83"/>
        <v>0</v>
      </c>
      <c r="IW16" s="529">
        <f t="shared" si="194"/>
        <v>0</v>
      </c>
      <c r="IX16" s="527"/>
      <c r="IY16" s="528">
        <f t="shared" si="84"/>
        <v>0</v>
      </c>
      <c r="IZ16" s="529">
        <f t="shared" si="195"/>
        <v>0</v>
      </c>
      <c r="JA16" s="527"/>
      <c r="JB16" s="528">
        <f t="shared" si="85"/>
        <v>0</v>
      </c>
      <c r="JC16" s="529">
        <f t="shared" si="196"/>
        <v>0</v>
      </c>
      <c r="JD16" s="527"/>
      <c r="JE16" s="528">
        <f t="shared" si="86"/>
        <v>0</v>
      </c>
      <c r="JF16" s="529">
        <f t="shared" si="197"/>
        <v>0</v>
      </c>
      <c r="JG16" s="527"/>
      <c r="JH16" s="528">
        <f t="shared" si="87"/>
        <v>0</v>
      </c>
      <c r="JI16" s="529">
        <f t="shared" si="198"/>
        <v>0</v>
      </c>
      <c r="JJ16" s="527">
        <v>18.237398103476959</v>
      </c>
      <c r="JK16" s="529" t="str">
        <f t="shared" si="88"/>
        <v>0</v>
      </c>
      <c r="JL16" s="529" t="str">
        <f t="shared" si="89"/>
        <v>0</v>
      </c>
      <c r="JM16" s="527"/>
      <c r="JN16" s="529" t="str">
        <f t="shared" si="90"/>
        <v>0</v>
      </c>
      <c r="JO16" s="529" t="str">
        <f t="shared" si="91"/>
        <v>0</v>
      </c>
      <c r="JP16" s="527"/>
      <c r="JQ16" s="529" t="str">
        <f t="shared" si="92"/>
        <v>0</v>
      </c>
      <c r="JR16" s="529" t="str">
        <f t="shared" si="93"/>
        <v>0</v>
      </c>
      <c r="JS16" s="527"/>
      <c r="JT16" s="529" t="str">
        <f t="shared" si="94"/>
        <v>0</v>
      </c>
      <c r="JU16" s="529" t="str">
        <f t="shared" si="95"/>
        <v>0</v>
      </c>
      <c r="JV16" s="527"/>
      <c r="JW16" s="529" t="str">
        <f t="shared" si="96"/>
        <v>0</v>
      </c>
      <c r="JX16" s="529" t="str">
        <f t="shared" si="97"/>
        <v>0</v>
      </c>
      <c r="JY16" s="527"/>
      <c r="JZ16" s="529" t="str">
        <f t="shared" si="98"/>
        <v>0</v>
      </c>
      <c r="KA16" s="529" t="str">
        <f t="shared" si="99"/>
        <v>0</v>
      </c>
      <c r="KB16" s="527"/>
      <c r="KC16" s="529" t="str">
        <f t="shared" si="100"/>
        <v>0</v>
      </c>
      <c r="KD16" s="529" t="str">
        <f t="shared" si="101"/>
        <v>0</v>
      </c>
      <c r="KE16" s="527"/>
      <c r="KF16" s="529" t="str">
        <f t="shared" si="102"/>
        <v>0</v>
      </c>
      <c r="KG16" s="529" t="str">
        <f t="shared" si="103"/>
        <v>0</v>
      </c>
      <c r="KH16" s="527"/>
      <c r="KI16" s="529" t="str">
        <f t="shared" si="104"/>
        <v>0</v>
      </c>
      <c r="KJ16" s="529" t="str">
        <f t="shared" si="105"/>
        <v>0</v>
      </c>
      <c r="KK16" s="527"/>
      <c r="KL16" s="529" t="str">
        <f t="shared" si="106"/>
        <v>0</v>
      </c>
      <c r="KM16" s="529" t="str">
        <f t="shared" si="107"/>
        <v>0</v>
      </c>
      <c r="KN16" s="527"/>
      <c r="KO16" s="529" t="str">
        <f t="shared" si="108"/>
        <v>0</v>
      </c>
      <c r="KP16" s="529" t="str">
        <f t="shared" si="109"/>
        <v>0</v>
      </c>
      <c r="KQ16" s="527"/>
      <c r="KR16" s="529" t="str">
        <f t="shared" si="110"/>
        <v>0</v>
      </c>
      <c r="KS16" s="529" t="str">
        <f t="shared" si="111"/>
        <v>0</v>
      </c>
      <c r="KT16" s="529">
        <f t="shared" si="201"/>
        <v>0</v>
      </c>
      <c r="KU16" s="529">
        <f t="shared" si="202"/>
        <v>0</v>
      </c>
      <c r="KV16" s="268">
        <f t="shared" si="199"/>
        <v>1787.6399147537659</v>
      </c>
    </row>
    <row r="17" spans="1:309" ht="15" customHeight="1">
      <c r="A17" s="270">
        <f t="shared" si="200"/>
        <v>46090</v>
      </c>
      <c r="B17" s="271" t="str">
        <f>+Report1!B17</f>
        <v>Toilet/Napkin</v>
      </c>
      <c r="C17" s="271" t="str">
        <f>+Report1!C17</f>
        <v>16/15,5</v>
      </c>
      <c r="D17" s="272">
        <f>+Report1!P17</f>
        <v>47.119</v>
      </c>
      <c r="E17" s="273">
        <f>+Report1!R17</f>
        <v>47.545999999999999</v>
      </c>
      <c r="F17" s="527"/>
      <c r="G17" s="528">
        <f t="shared" si="0"/>
        <v>0</v>
      </c>
      <c r="H17" s="529">
        <f t="shared" si="112"/>
        <v>0</v>
      </c>
      <c r="I17" s="527"/>
      <c r="J17" s="528">
        <f t="shared" si="1"/>
        <v>0</v>
      </c>
      <c r="K17" s="529">
        <f t="shared" si="113"/>
        <v>0</v>
      </c>
      <c r="L17" s="527"/>
      <c r="M17" s="528">
        <f t="shared" si="2"/>
        <v>0</v>
      </c>
      <c r="N17" s="529">
        <f t="shared" si="114"/>
        <v>0</v>
      </c>
      <c r="O17" s="527">
        <v>11.998400000000004</v>
      </c>
      <c r="P17" s="528">
        <f t="shared" si="3"/>
        <v>0.25235351028477693</v>
      </c>
      <c r="Q17" s="529">
        <f t="shared" si="115"/>
        <v>0</v>
      </c>
      <c r="R17" s="527"/>
      <c r="S17" s="528">
        <f t="shared" si="4"/>
        <v>0</v>
      </c>
      <c r="T17" s="529">
        <f t="shared" si="116"/>
        <v>0</v>
      </c>
      <c r="U17" s="527">
        <v>7.690100000000001</v>
      </c>
      <c r="V17" s="528">
        <f t="shared" si="5"/>
        <v>0.1617402094813444</v>
      </c>
      <c r="W17" s="529">
        <f t="shared" si="117"/>
        <v>0</v>
      </c>
      <c r="X17" s="527"/>
      <c r="Y17" s="528">
        <f t="shared" si="6"/>
        <v>0</v>
      </c>
      <c r="Z17" s="529">
        <f t="shared" si="118"/>
        <v>0</v>
      </c>
      <c r="AA17" s="527">
        <v>6.25</v>
      </c>
      <c r="AB17" s="528">
        <f t="shared" si="7"/>
        <v>0.13145164682623145</v>
      </c>
      <c r="AC17" s="529">
        <f t="shared" si="119"/>
        <v>0</v>
      </c>
      <c r="AD17" s="527"/>
      <c r="AE17" s="528">
        <f t="shared" si="8"/>
        <v>0</v>
      </c>
      <c r="AF17" s="529">
        <f t="shared" si="120"/>
        <v>0</v>
      </c>
      <c r="AG17" s="527"/>
      <c r="AH17" s="528">
        <f t="shared" si="9"/>
        <v>0</v>
      </c>
      <c r="AI17" s="529">
        <f t="shared" si="121"/>
        <v>0</v>
      </c>
      <c r="AJ17" s="527">
        <v>41.123800000000017</v>
      </c>
      <c r="AK17" s="528">
        <f t="shared" si="10"/>
        <v>0.86492659740041256</v>
      </c>
      <c r="AL17" s="529">
        <f t="shared" si="122"/>
        <v>0</v>
      </c>
      <c r="AM17" s="527"/>
      <c r="AN17" s="528">
        <f t="shared" si="11"/>
        <v>0</v>
      </c>
      <c r="AO17" s="529">
        <f t="shared" si="123"/>
        <v>0</v>
      </c>
      <c r="AP17" s="527"/>
      <c r="AQ17" s="528">
        <f t="shared" si="12"/>
        <v>0</v>
      </c>
      <c r="AR17" s="529">
        <f t="shared" si="124"/>
        <v>0</v>
      </c>
      <c r="AS17" s="527"/>
      <c r="AT17" s="528">
        <f t="shared" si="13"/>
        <v>0</v>
      </c>
      <c r="AU17" s="529">
        <f t="shared" si="125"/>
        <v>0</v>
      </c>
      <c r="AV17" s="527"/>
      <c r="AW17" s="528">
        <f t="shared" si="14"/>
        <v>0</v>
      </c>
      <c r="AX17" s="529">
        <f t="shared" si="126"/>
        <v>0</v>
      </c>
      <c r="AY17" s="527"/>
      <c r="AZ17" s="528">
        <f t="shared" si="15"/>
        <v>0</v>
      </c>
      <c r="BA17" s="529">
        <f t="shared" si="127"/>
        <v>0</v>
      </c>
      <c r="BB17" s="527"/>
      <c r="BC17" s="528">
        <f t="shared" si="16"/>
        <v>0</v>
      </c>
      <c r="BD17" s="529">
        <f t="shared" si="128"/>
        <v>0</v>
      </c>
      <c r="BE17" s="527"/>
      <c r="BF17" s="528">
        <f t="shared" si="17"/>
        <v>0</v>
      </c>
      <c r="BG17" s="529">
        <f t="shared" si="129"/>
        <v>0</v>
      </c>
      <c r="BH17" s="527"/>
      <c r="BI17" s="528">
        <f t="shared" si="18"/>
        <v>0</v>
      </c>
      <c r="BJ17" s="529">
        <f t="shared" si="130"/>
        <v>0</v>
      </c>
      <c r="BK17" s="527"/>
      <c r="BL17" s="528">
        <f t="shared" si="19"/>
        <v>0</v>
      </c>
      <c r="BM17" s="529">
        <f t="shared" si="131"/>
        <v>0</v>
      </c>
      <c r="BN17" s="527"/>
      <c r="BO17" s="528">
        <f t="shared" si="20"/>
        <v>0</v>
      </c>
      <c r="BP17" s="529">
        <f t="shared" si="132"/>
        <v>0</v>
      </c>
      <c r="BQ17" s="527"/>
      <c r="BR17" s="528">
        <f t="shared" si="21"/>
        <v>0</v>
      </c>
      <c r="BS17" s="529">
        <f t="shared" si="133"/>
        <v>0</v>
      </c>
      <c r="BT17" s="527"/>
      <c r="BU17" s="528">
        <f t="shared" si="22"/>
        <v>0</v>
      </c>
      <c r="BV17" s="529">
        <f t="shared" si="134"/>
        <v>0</v>
      </c>
      <c r="BW17" s="527"/>
      <c r="BX17" s="528">
        <f t="shared" si="23"/>
        <v>0</v>
      </c>
      <c r="BY17" s="529">
        <f t="shared" si="135"/>
        <v>0</v>
      </c>
      <c r="BZ17" s="527"/>
      <c r="CA17" s="528">
        <f t="shared" si="24"/>
        <v>0</v>
      </c>
      <c r="CB17" s="529">
        <f t="shared" si="136"/>
        <v>0</v>
      </c>
      <c r="CC17" s="527"/>
      <c r="CD17" s="528">
        <f t="shared" si="25"/>
        <v>0</v>
      </c>
      <c r="CE17" s="529">
        <f t="shared" si="137"/>
        <v>0</v>
      </c>
      <c r="CF17" s="527">
        <v>3</v>
      </c>
      <c r="CG17" s="528">
        <f t="shared" si="26"/>
        <v>6.3096790476591086E-2</v>
      </c>
      <c r="CH17" s="529">
        <f t="shared" si="138"/>
        <v>0</v>
      </c>
      <c r="CI17" s="527"/>
      <c r="CJ17" s="528">
        <f t="shared" si="27"/>
        <v>0</v>
      </c>
      <c r="CK17" s="529">
        <f t="shared" si="139"/>
        <v>0</v>
      </c>
      <c r="CL17" s="527"/>
      <c r="CM17" s="528">
        <f t="shared" si="28"/>
        <v>0</v>
      </c>
      <c r="CN17" s="529">
        <f t="shared" si="140"/>
        <v>0</v>
      </c>
      <c r="CO17" s="527"/>
      <c r="CP17" s="528">
        <f t="shared" si="29"/>
        <v>0</v>
      </c>
      <c r="CQ17" s="529">
        <f t="shared" si="141"/>
        <v>0</v>
      </c>
      <c r="CR17" s="527"/>
      <c r="CS17" s="528">
        <f t="shared" si="30"/>
        <v>0</v>
      </c>
      <c r="CT17" s="529">
        <f t="shared" si="142"/>
        <v>0</v>
      </c>
      <c r="CU17" s="527"/>
      <c r="CV17" s="528">
        <f t="shared" si="31"/>
        <v>0</v>
      </c>
      <c r="CW17" s="529">
        <f t="shared" si="143"/>
        <v>0</v>
      </c>
      <c r="CX17" s="527"/>
      <c r="CY17" s="528">
        <f t="shared" si="32"/>
        <v>0</v>
      </c>
      <c r="CZ17" s="529">
        <f t="shared" si="144"/>
        <v>0</v>
      </c>
      <c r="DA17" s="527">
        <v>247.09413953488354</v>
      </c>
      <c r="DB17" s="528">
        <f t="shared" si="33"/>
        <v>5.1969490500753697</v>
      </c>
      <c r="DC17" s="529">
        <f t="shared" si="145"/>
        <v>0</v>
      </c>
      <c r="DD17" s="527"/>
      <c r="DE17" s="528">
        <f t="shared" si="34"/>
        <v>0</v>
      </c>
      <c r="DF17" s="529">
        <f t="shared" si="146"/>
        <v>0</v>
      </c>
      <c r="DG17" s="527"/>
      <c r="DH17" s="528">
        <f t="shared" si="35"/>
        <v>0</v>
      </c>
      <c r="DI17" s="529">
        <f t="shared" si="203"/>
        <v>0</v>
      </c>
      <c r="DJ17" s="527"/>
      <c r="DK17" s="528">
        <f t="shared" si="36"/>
        <v>0</v>
      </c>
      <c r="DL17" s="529">
        <f t="shared" si="147"/>
        <v>0</v>
      </c>
      <c r="DM17" s="527"/>
      <c r="DN17" s="528">
        <f t="shared" si="37"/>
        <v>0</v>
      </c>
      <c r="DO17" s="529">
        <f t="shared" si="148"/>
        <v>0</v>
      </c>
      <c r="DP17" s="527"/>
      <c r="DQ17" s="528">
        <f t="shared" si="38"/>
        <v>0</v>
      </c>
      <c r="DR17" s="529">
        <f t="shared" si="149"/>
        <v>0</v>
      </c>
      <c r="DS17" s="527"/>
      <c r="DT17" s="528">
        <f t="shared" si="39"/>
        <v>0</v>
      </c>
      <c r="DU17" s="529">
        <f t="shared" si="150"/>
        <v>0</v>
      </c>
      <c r="DV17" s="527"/>
      <c r="DW17" s="528">
        <f t="shared" si="40"/>
        <v>0</v>
      </c>
      <c r="DX17" s="529">
        <f t="shared" si="151"/>
        <v>0</v>
      </c>
      <c r="DY17" s="527"/>
      <c r="DZ17" s="528">
        <f t="shared" si="41"/>
        <v>0</v>
      </c>
      <c r="EA17" s="529">
        <f t="shared" si="152"/>
        <v>0</v>
      </c>
      <c r="EB17" s="527">
        <v>558.1395348837209</v>
      </c>
      <c r="EC17" s="528">
        <f t="shared" si="42"/>
        <v>11.738937763086714</v>
      </c>
      <c r="ED17" s="529">
        <f t="shared" si="153"/>
        <v>0</v>
      </c>
      <c r="EE17" s="527">
        <v>14.534883720930239</v>
      </c>
      <c r="EF17" s="528">
        <f t="shared" si="43"/>
        <v>0.30570150424705</v>
      </c>
      <c r="EG17" s="529">
        <f t="shared" si="154"/>
        <v>0</v>
      </c>
      <c r="EH17" s="527">
        <v>246.56352941176465</v>
      </c>
      <c r="EI17" s="528">
        <f t="shared" si="44"/>
        <v>5.1857891181543065</v>
      </c>
      <c r="EJ17" s="529">
        <f t="shared" si="155"/>
        <v>0</v>
      </c>
      <c r="EK17" s="527">
        <v>0</v>
      </c>
      <c r="EL17" s="528">
        <f t="shared" si="45"/>
        <v>0</v>
      </c>
      <c r="EM17" s="529">
        <f t="shared" si="156"/>
        <v>0</v>
      </c>
      <c r="EN17" s="527">
        <v>24.392271707317093</v>
      </c>
      <c r="EO17" s="528">
        <f t="shared" si="46"/>
        <v>0.5130246857215558</v>
      </c>
      <c r="EP17" s="529">
        <f t="shared" si="157"/>
        <v>0</v>
      </c>
      <c r="EQ17" s="527">
        <v>44.478325581395382</v>
      </c>
      <c r="ER17" s="528">
        <f t="shared" si="47"/>
        <v>0.9354798633196354</v>
      </c>
      <c r="ES17" s="529">
        <f t="shared" si="158"/>
        <v>0</v>
      </c>
      <c r="ET17" s="527"/>
      <c r="EU17" s="528">
        <f t="shared" si="48"/>
        <v>0</v>
      </c>
      <c r="EV17" s="529">
        <f t="shared" si="159"/>
        <v>0</v>
      </c>
      <c r="EW17" s="527"/>
      <c r="EX17" s="528">
        <f t="shared" si="49"/>
        <v>0</v>
      </c>
      <c r="EY17" s="529">
        <f t="shared" si="160"/>
        <v>0</v>
      </c>
      <c r="EZ17" s="527"/>
      <c r="FA17" s="528">
        <f t="shared" si="50"/>
        <v>0</v>
      </c>
      <c r="FB17" s="529">
        <f t="shared" si="161"/>
        <v>0</v>
      </c>
      <c r="FC17" s="527"/>
      <c r="FD17" s="528">
        <f t="shared" si="51"/>
        <v>0</v>
      </c>
      <c r="FE17" s="529">
        <f t="shared" si="162"/>
        <v>0</v>
      </c>
      <c r="FF17" s="527"/>
      <c r="FG17" s="528">
        <f t="shared" si="52"/>
        <v>0</v>
      </c>
      <c r="FH17" s="529">
        <f t="shared" si="163"/>
        <v>0</v>
      </c>
      <c r="FI17" s="527"/>
      <c r="FJ17" s="528">
        <f t="shared" si="53"/>
        <v>0</v>
      </c>
      <c r="FK17" s="529">
        <f t="shared" si="164"/>
        <v>0</v>
      </c>
      <c r="FL17" s="527"/>
      <c r="FM17" s="528">
        <f t="shared" si="54"/>
        <v>0</v>
      </c>
      <c r="FN17" s="529">
        <f t="shared" si="165"/>
        <v>0</v>
      </c>
      <c r="FO17" s="527"/>
      <c r="FP17" s="528">
        <f t="shared" si="55"/>
        <v>0</v>
      </c>
      <c r="FQ17" s="529">
        <f t="shared" si="166"/>
        <v>0</v>
      </c>
      <c r="FR17" s="527"/>
      <c r="FS17" s="528">
        <f t="shared" si="56"/>
        <v>0</v>
      </c>
      <c r="FT17" s="529">
        <f t="shared" si="167"/>
        <v>0</v>
      </c>
      <c r="FU17" s="527"/>
      <c r="FV17" s="528">
        <f t="shared" si="57"/>
        <v>0</v>
      </c>
      <c r="FW17" s="529">
        <f t="shared" si="168"/>
        <v>0</v>
      </c>
      <c r="FX17" s="527"/>
      <c r="FY17" s="528">
        <f t="shared" si="58"/>
        <v>0</v>
      </c>
      <c r="FZ17" s="529">
        <f t="shared" si="169"/>
        <v>0</v>
      </c>
      <c r="GA17" s="527"/>
      <c r="GB17" s="528">
        <f t="shared" si="59"/>
        <v>0</v>
      </c>
      <c r="GC17" s="529">
        <f t="shared" si="170"/>
        <v>0</v>
      </c>
      <c r="GD17" s="527"/>
      <c r="GE17" s="528">
        <f t="shared" si="60"/>
        <v>0</v>
      </c>
      <c r="GF17" s="529">
        <f t="shared" si="171"/>
        <v>0</v>
      </c>
      <c r="GG17" s="527">
        <v>11.45021287350065</v>
      </c>
      <c r="GH17" s="528">
        <f t="shared" si="61"/>
        <v>0.24082389419721217</v>
      </c>
      <c r="GI17" s="529">
        <f t="shared" si="172"/>
        <v>0</v>
      </c>
      <c r="GJ17" s="527">
        <v>11.45021287350065</v>
      </c>
      <c r="GK17" s="528">
        <f t="shared" si="62"/>
        <v>0.24082389419721217</v>
      </c>
      <c r="GL17" s="529">
        <f t="shared" si="173"/>
        <v>0</v>
      </c>
      <c r="GM17" s="527"/>
      <c r="GN17" s="528">
        <f t="shared" si="63"/>
        <v>0</v>
      </c>
      <c r="GO17" s="529">
        <f t="shared" si="174"/>
        <v>0</v>
      </c>
      <c r="GP17" s="527">
        <v>36.640681195202085</v>
      </c>
      <c r="GQ17" s="528">
        <f t="shared" si="64"/>
        <v>0.77063646143107911</v>
      </c>
      <c r="GR17" s="529">
        <f t="shared" si="175"/>
        <v>0</v>
      </c>
      <c r="GS17" s="527">
        <v>160.30298022900911</v>
      </c>
      <c r="GT17" s="528">
        <f t="shared" si="65"/>
        <v>3.3715345187609707</v>
      </c>
      <c r="GU17" s="529">
        <f t="shared" si="176"/>
        <v>0</v>
      </c>
      <c r="GV17" s="527">
        <v>64.121192091603646</v>
      </c>
      <c r="GW17" s="528">
        <f t="shared" si="66"/>
        <v>1.3486138075043883</v>
      </c>
      <c r="GX17" s="529">
        <f t="shared" si="177"/>
        <v>0</v>
      </c>
      <c r="GY17" s="527"/>
      <c r="GZ17" s="528">
        <f t="shared" si="67"/>
        <v>0</v>
      </c>
      <c r="HA17" s="529">
        <f t="shared" si="178"/>
        <v>0</v>
      </c>
      <c r="HB17" s="527"/>
      <c r="HC17" s="528">
        <f t="shared" si="68"/>
        <v>0</v>
      </c>
      <c r="HD17" s="529">
        <f t="shared" si="179"/>
        <v>0</v>
      </c>
      <c r="HE17" s="527"/>
      <c r="HF17" s="528">
        <f t="shared" si="69"/>
        <v>0</v>
      </c>
      <c r="HG17" s="529">
        <f t="shared" si="180"/>
        <v>0</v>
      </c>
      <c r="HH17" s="527"/>
      <c r="HI17" s="528">
        <f t="shared" si="70"/>
        <v>0</v>
      </c>
      <c r="HJ17" s="529">
        <f t="shared" si="181"/>
        <v>0</v>
      </c>
      <c r="HK17" s="527"/>
      <c r="HL17" s="528">
        <f t="shared" si="71"/>
        <v>0</v>
      </c>
      <c r="HM17" s="529">
        <f t="shared" si="182"/>
        <v>0</v>
      </c>
      <c r="HN17" s="527">
        <v>833.57549719084739</v>
      </c>
      <c r="HO17" s="528">
        <f t="shared" si="72"/>
        <v>17.53197949755705</v>
      </c>
      <c r="HP17" s="529">
        <f t="shared" si="183"/>
        <v>0</v>
      </c>
      <c r="HQ17" s="527"/>
      <c r="HR17" s="528">
        <f t="shared" si="73"/>
        <v>0</v>
      </c>
      <c r="HS17" s="529">
        <f t="shared" si="184"/>
        <v>0</v>
      </c>
      <c r="HT17" s="527"/>
      <c r="HU17" s="528">
        <f t="shared" si="74"/>
        <v>0</v>
      </c>
      <c r="HV17" s="529">
        <f t="shared" si="185"/>
        <v>0</v>
      </c>
      <c r="HW17" s="527"/>
      <c r="HX17" s="528">
        <f t="shared" si="75"/>
        <v>0</v>
      </c>
      <c r="HY17" s="529">
        <f t="shared" si="186"/>
        <v>0</v>
      </c>
      <c r="HZ17" s="527"/>
      <c r="IA17" s="528">
        <f t="shared" si="76"/>
        <v>0</v>
      </c>
      <c r="IB17" s="529">
        <f t="shared" si="187"/>
        <v>0</v>
      </c>
      <c r="IC17" s="527"/>
      <c r="ID17" s="528">
        <f t="shared" si="77"/>
        <v>0</v>
      </c>
      <c r="IE17" s="529">
        <f t="shared" si="188"/>
        <v>0</v>
      </c>
      <c r="IF17" s="527"/>
      <c r="IG17" s="528">
        <f t="shared" si="78"/>
        <v>0</v>
      </c>
      <c r="IH17" s="529">
        <f t="shared" si="189"/>
        <v>0</v>
      </c>
      <c r="II17" s="527">
        <v>22.9004257470013</v>
      </c>
      <c r="IJ17" s="528">
        <f t="shared" si="79"/>
        <v>0.48164778839442435</v>
      </c>
      <c r="IK17" s="529">
        <f t="shared" si="190"/>
        <v>0</v>
      </c>
      <c r="IL17" s="527"/>
      <c r="IM17" s="528">
        <f t="shared" si="80"/>
        <v>0</v>
      </c>
      <c r="IN17" s="529">
        <f t="shared" si="191"/>
        <v>0</v>
      </c>
      <c r="IO17" s="527"/>
      <c r="IP17" s="528">
        <f t="shared" si="81"/>
        <v>0</v>
      </c>
      <c r="IQ17" s="529">
        <f t="shared" si="192"/>
        <v>0</v>
      </c>
      <c r="IR17" s="527">
        <v>45.8008514940026</v>
      </c>
      <c r="IS17" s="528">
        <f t="shared" si="82"/>
        <v>0.9632955767888487</v>
      </c>
      <c r="IT17" s="529">
        <f t="shared" si="193"/>
        <v>0</v>
      </c>
      <c r="IU17" s="527"/>
      <c r="IV17" s="528">
        <f t="shared" si="83"/>
        <v>0</v>
      </c>
      <c r="IW17" s="529">
        <f t="shared" si="194"/>
        <v>0</v>
      </c>
      <c r="IX17" s="527"/>
      <c r="IY17" s="528">
        <f t="shared" si="84"/>
        <v>0</v>
      </c>
      <c r="IZ17" s="529">
        <f t="shared" si="195"/>
        <v>0</v>
      </c>
      <c r="JA17" s="527"/>
      <c r="JB17" s="528">
        <f t="shared" si="85"/>
        <v>0</v>
      </c>
      <c r="JC17" s="529">
        <f t="shared" si="196"/>
        <v>0</v>
      </c>
      <c r="JD17" s="527"/>
      <c r="JE17" s="528">
        <f t="shared" si="86"/>
        <v>0</v>
      </c>
      <c r="JF17" s="529">
        <f t="shared" si="197"/>
        <v>0</v>
      </c>
      <c r="JG17" s="527"/>
      <c r="JH17" s="528">
        <f t="shared" si="87"/>
        <v>0</v>
      </c>
      <c r="JI17" s="529">
        <f t="shared" si="198"/>
        <v>0</v>
      </c>
      <c r="JJ17" s="527">
        <v>20.610383172301173</v>
      </c>
      <c r="JK17" s="529" t="str">
        <f t="shared" si="88"/>
        <v>0</v>
      </c>
      <c r="JL17" s="529" t="str">
        <f t="shared" si="89"/>
        <v>0</v>
      </c>
      <c r="JM17" s="527"/>
      <c r="JN17" s="529" t="str">
        <f t="shared" si="90"/>
        <v>0</v>
      </c>
      <c r="JO17" s="529" t="str">
        <f t="shared" si="91"/>
        <v>0</v>
      </c>
      <c r="JP17" s="527"/>
      <c r="JQ17" s="529" t="str">
        <f t="shared" si="92"/>
        <v>0</v>
      </c>
      <c r="JR17" s="529" t="str">
        <f t="shared" si="93"/>
        <v>0</v>
      </c>
      <c r="JS17" s="527"/>
      <c r="JT17" s="529" t="str">
        <f t="shared" si="94"/>
        <v>0</v>
      </c>
      <c r="JU17" s="529" t="str">
        <f t="shared" si="95"/>
        <v>0</v>
      </c>
      <c r="JV17" s="527"/>
      <c r="JW17" s="529" t="str">
        <f t="shared" si="96"/>
        <v>0</v>
      </c>
      <c r="JX17" s="529" t="str">
        <f t="shared" si="97"/>
        <v>0</v>
      </c>
      <c r="JY17" s="527"/>
      <c r="JZ17" s="529" t="str">
        <f t="shared" si="98"/>
        <v>0</v>
      </c>
      <c r="KA17" s="529" t="str">
        <f t="shared" si="99"/>
        <v>0</v>
      </c>
      <c r="KB17" s="527"/>
      <c r="KC17" s="529" t="str">
        <f t="shared" si="100"/>
        <v>0</v>
      </c>
      <c r="KD17" s="529" t="str">
        <f t="shared" si="101"/>
        <v>0</v>
      </c>
      <c r="KE17" s="527"/>
      <c r="KF17" s="529" t="str">
        <f t="shared" si="102"/>
        <v>0</v>
      </c>
      <c r="KG17" s="529" t="str">
        <f t="shared" si="103"/>
        <v>0</v>
      </c>
      <c r="KH17" s="527"/>
      <c r="KI17" s="529" t="str">
        <f t="shared" si="104"/>
        <v>0</v>
      </c>
      <c r="KJ17" s="529" t="str">
        <f t="shared" si="105"/>
        <v>0</v>
      </c>
      <c r="KK17" s="527"/>
      <c r="KL17" s="529" t="str">
        <f t="shared" si="106"/>
        <v>0</v>
      </c>
      <c r="KM17" s="529" t="str">
        <f t="shared" si="107"/>
        <v>0</v>
      </c>
      <c r="KN17" s="527"/>
      <c r="KO17" s="529" t="str">
        <f t="shared" si="108"/>
        <v>0</v>
      </c>
      <c r="KP17" s="529" t="str">
        <f t="shared" si="109"/>
        <v>0</v>
      </c>
      <c r="KQ17" s="527"/>
      <c r="KR17" s="529" t="str">
        <f t="shared" si="110"/>
        <v>0</v>
      </c>
      <c r="KS17" s="529" t="str">
        <f t="shared" si="111"/>
        <v>0</v>
      </c>
      <c r="KT17" s="529">
        <f t="shared" si="201"/>
        <v>0</v>
      </c>
      <c r="KU17" s="529">
        <f t="shared" si="202"/>
        <v>0</v>
      </c>
      <c r="KV17" s="268">
        <f t="shared" si="199"/>
        <v>2412.1174217069802</v>
      </c>
    </row>
    <row r="18" spans="1:309" ht="15" customHeight="1">
      <c r="A18" s="270">
        <f t="shared" si="200"/>
        <v>46091</v>
      </c>
      <c r="B18" s="271" t="str">
        <f>+Report1!B18</f>
        <v>Napkin/Towel</v>
      </c>
      <c r="C18" s="271" t="str">
        <f>+Report1!C18</f>
        <v>15,5/22</v>
      </c>
      <c r="D18" s="272">
        <f>+Report1!P18</f>
        <v>54.356999999999999</v>
      </c>
      <c r="E18" s="273">
        <f>+Report1!R18</f>
        <v>51.712000000000003</v>
      </c>
      <c r="F18" s="527"/>
      <c r="G18" s="528">
        <f t="shared" si="0"/>
        <v>0</v>
      </c>
      <c r="H18" s="529">
        <f t="shared" si="112"/>
        <v>0</v>
      </c>
      <c r="I18" s="527"/>
      <c r="J18" s="528">
        <f t="shared" si="1"/>
        <v>0</v>
      </c>
      <c r="K18" s="529">
        <f t="shared" si="113"/>
        <v>0</v>
      </c>
      <c r="L18" s="527"/>
      <c r="M18" s="528">
        <f t="shared" si="2"/>
        <v>0</v>
      </c>
      <c r="N18" s="529">
        <f t="shared" si="114"/>
        <v>0</v>
      </c>
      <c r="O18" s="527">
        <v>12</v>
      </c>
      <c r="P18" s="528">
        <f t="shared" si="3"/>
        <v>0.23205445544554454</v>
      </c>
      <c r="Q18" s="529">
        <f t="shared" si="115"/>
        <v>0</v>
      </c>
      <c r="R18" s="527"/>
      <c r="S18" s="528">
        <f t="shared" si="4"/>
        <v>0</v>
      </c>
      <c r="T18" s="529">
        <f t="shared" si="116"/>
        <v>0</v>
      </c>
      <c r="U18" s="527">
        <v>7.6875</v>
      </c>
      <c r="V18" s="528">
        <f t="shared" si="5"/>
        <v>0.14865988551980197</v>
      </c>
      <c r="W18" s="529">
        <f t="shared" si="117"/>
        <v>0</v>
      </c>
      <c r="X18" s="527"/>
      <c r="Y18" s="528">
        <f t="shared" si="6"/>
        <v>0</v>
      </c>
      <c r="Z18" s="529">
        <f t="shared" si="118"/>
        <v>0</v>
      </c>
      <c r="AA18" s="527">
        <v>7.8125000000000284</v>
      </c>
      <c r="AB18" s="528">
        <f t="shared" si="7"/>
        <v>0.1510771194306936</v>
      </c>
      <c r="AC18" s="529">
        <f t="shared" si="119"/>
        <v>0</v>
      </c>
      <c r="AD18" s="527"/>
      <c r="AE18" s="528">
        <f t="shared" si="8"/>
        <v>0</v>
      </c>
      <c r="AF18" s="529">
        <f t="shared" si="120"/>
        <v>0</v>
      </c>
      <c r="AG18" s="527"/>
      <c r="AH18" s="528">
        <f t="shared" si="9"/>
        <v>0</v>
      </c>
      <c r="AI18" s="529">
        <f t="shared" si="121"/>
        <v>0</v>
      </c>
      <c r="AJ18" s="527">
        <v>32.3125</v>
      </c>
      <c r="AK18" s="528">
        <f t="shared" si="10"/>
        <v>0.62485496596534651</v>
      </c>
      <c r="AL18" s="529">
        <f t="shared" si="122"/>
        <v>0</v>
      </c>
      <c r="AM18" s="527"/>
      <c r="AN18" s="528">
        <f t="shared" si="11"/>
        <v>0</v>
      </c>
      <c r="AO18" s="529">
        <f t="shared" si="123"/>
        <v>0</v>
      </c>
      <c r="AP18" s="527"/>
      <c r="AQ18" s="528">
        <f t="shared" si="12"/>
        <v>0</v>
      </c>
      <c r="AR18" s="529">
        <f t="shared" si="124"/>
        <v>0</v>
      </c>
      <c r="AS18" s="527"/>
      <c r="AT18" s="528">
        <f t="shared" si="13"/>
        <v>0</v>
      </c>
      <c r="AU18" s="529">
        <f t="shared" si="125"/>
        <v>0</v>
      </c>
      <c r="AV18" s="527"/>
      <c r="AW18" s="528">
        <f t="shared" si="14"/>
        <v>0</v>
      </c>
      <c r="AX18" s="529">
        <f t="shared" si="126"/>
        <v>0</v>
      </c>
      <c r="AY18" s="527"/>
      <c r="AZ18" s="528">
        <f t="shared" si="15"/>
        <v>0</v>
      </c>
      <c r="BA18" s="529">
        <f t="shared" si="127"/>
        <v>0</v>
      </c>
      <c r="BB18" s="527"/>
      <c r="BC18" s="528">
        <f t="shared" si="16"/>
        <v>0</v>
      </c>
      <c r="BD18" s="529">
        <f t="shared" si="128"/>
        <v>0</v>
      </c>
      <c r="BE18" s="527"/>
      <c r="BF18" s="528">
        <f t="shared" si="17"/>
        <v>0</v>
      </c>
      <c r="BG18" s="529">
        <f t="shared" si="129"/>
        <v>0</v>
      </c>
      <c r="BH18" s="527"/>
      <c r="BI18" s="528">
        <f t="shared" si="18"/>
        <v>0</v>
      </c>
      <c r="BJ18" s="529">
        <f t="shared" si="130"/>
        <v>0</v>
      </c>
      <c r="BK18" s="527"/>
      <c r="BL18" s="528">
        <f t="shared" si="19"/>
        <v>0</v>
      </c>
      <c r="BM18" s="529">
        <f t="shared" si="131"/>
        <v>0</v>
      </c>
      <c r="BN18" s="527"/>
      <c r="BO18" s="528">
        <f t="shared" si="20"/>
        <v>0</v>
      </c>
      <c r="BP18" s="529">
        <f t="shared" si="132"/>
        <v>0</v>
      </c>
      <c r="BQ18" s="527"/>
      <c r="BR18" s="528">
        <f t="shared" si="21"/>
        <v>0</v>
      </c>
      <c r="BS18" s="529">
        <f t="shared" si="133"/>
        <v>0</v>
      </c>
      <c r="BT18" s="527"/>
      <c r="BU18" s="528">
        <f t="shared" si="22"/>
        <v>0</v>
      </c>
      <c r="BV18" s="529">
        <f t="shared" si="134"/>
        <v>0</v>
      </c>
      <c r="BW18" s="527"/>
      <c r="BX18" s="528">
        <f t="shared" si="23"/>
        <v>0</v>
      </c>
      <c r="BY18" s="529">
        <f t="shared" si="135"/>
        <v>0</v>
      </c>
      <c r="BZ18" s="527"/>
      <c r="CA18" s="528">
        <f t="shared" si="24"/>
        <v>0</v>
      </c>
      <c r="CB18" s="529">
        <f t="shared" si="136"/>
        <v>0</v>
      </c>
      <c r="CC18" s="527"/>
      <c r="CD18" s="528">
        <f t="shared" si="25"/>
        <v>0</v>
      </c>
      <c r="CE18" s="529">
        <f t="shared" si="137"/>
        <v>0</v>
      </c>
      <c r="CF18" s="527">
        <v>3</v>
      </c>
      <c r="CG18" s="528">
        <f t="shared" si="26"/>
        <v>5.8013613861386135E-2</v>
      </c>
      <c r="CH18" s="529">
        <f t="shared" si="138"/>
        <v>0</v>
      </c>
      <c r="CI18" s="527"/>
      <c r="CJ18" s="528">
        <f t="shared" si="27"/>
        <v>0</v>
      </c>
      <c r="CK18" s="529">
        <f t="shared" si="139"/>
        <v>0</v>
      </c>
      <c r="CL18" s="527"/>
      <c r="CM18" s="528">
        <f t="shared" si="28"/>
        <v>0</v>
      </c>
      <c r="CN18" s="529">
        <f t="shared" si="140"/>
        <v>0</v>
      </c>
      <c r="CO18" s="527"/>
      <c r="CP18" s="528">
        <f t="shared" si="29"/>
        <v>0</v>
      </c>
      <c r="CQ18" s="529">
        <f t="shared" si="141"/>
        <v>0</v>
      </c>
      <c r="CR18" s="527"/>
      <c r="CS18" s="528">
        <f t="shared" si="30"/>
        <v>0</v>
      </c>
      <c r="CT18" s="529">
        <f t="shared" si="142"/>
        <v>0</v>
      </c>
      <c r="CU18" s="527"/>
      <c r="CV18" s="528">
        <f t="shared" si="31"/>
        <v>0</v>
      </c>
      <c r="CW18" s="529">
        <f t="shared" si="143"/>
        <v>0</v>
      </c>
      <c r="CX18" s="527"/>
      <c r="CY18" s="528">
        <f t="shared" si="32"/>
        <v>0</v>
      </c>
      <c r="CZ18" s="529">
        <f t="shared" si="144"/>
        <v>0</v>
      </c>
      <c r="DA18" s="527">
        <v>0</v>
      </c>
      <c r="DB18" s="528">
        <f t="shared" si="33"/>
        <v>0</v>
      </c>
      <c r="DC18" s="529">
        <f t="shared" si="145"/>
        <v>0</v>
      </c>
      <c r="DD18" s="527"/>
      <c r="DE18" s="528">
        <f t="shared" si="34"/>
        <v>0</v>
      </c>
      <c r="DF18" s="529">
        <f t="shared" si="146"/>
        <v>0</v>
      </c>
      <c r="DG18" s="527"/>
      <c r="DH18" s="528">
        <f t="shared" si="35"/>
        <v>0</v>
      </c>
      <c r="DI18" s="529">
        <f t="shared" si="203"/>
        <v>0</v>
      </c>
      <c r="DJ18" s="527"/>
      <c r="DK18" s="528">
        <f t="shared" si="36"/>
        <v>0</v>
      </c>
      <c r="DL18" s="529">
        <f t="shared" si="147"/>
        <v>0</v>
      </c>
      <c r="DM18" s="527"/>
      <c r="DN18" s="528">
        <f t="shared" si="37"/>
        <v>0</v>
      </c>
      <c r="DO18" s="529">
        <f t="shared" si="148"/>
        <v>0</v>
      </c>
      <c r="DP18" s="527"/>
      <c r="DQ18" s="528">
        <f t="shared" si="38"/>
        <v>0</v>
      </c>
      <c r="DR18" s="529">
        <f t="shared" si="149"/>
        <v>0</v>
      </c>
      <c r="DS18" s="527"/>
      <c r="DT18" s="528">
        <f t="shared" si="39"/>
        <v>0</v>
      </c>
      <c r="DU18" s="529">
        <f t="shared" si="150"/>
        <v>0</v>
      </c>
      <c r="DV18" s="527"/>
      <c r="DW18" s="528">
        <f t="shared" si="40"/>
        <v>0</v>
      </c>
      <c r="DX18" s="529">
        <f t="shared" si="151"/>
        <v>0</v>
      </c>
      <c r="DY18" s="527"/>
      <c r="DZ18" s="528">
        <f t="shared" si="41"/>
        <v>0</v>
      </c>
      <c r="EA18" s="529">
        <f t="shared" si="152"/>
        <v>0</v>
      </c>
      <c r="EB18" s="527">
        <v>732.55813953488371</v>
      </c>
      <c r="EC18" s="528">
        <f t="shared" si="42"/>
        <v>14.166115012664056</v>
      </c>
      <c r="ED18" s="529">
        <f t="shared" si="153"/>
        <v>0</v>
      </c>
      <c r="EE18" s="527">
        <v>21.802325581395337</v>
      </c>
      <c r="EF18" s="528">
        <f t="shared" si="43"/>
        <v>0.4216105658530967</v>
      </c>
      <c r="EG18" s="529">
        <f t="shared" si="154"/>
        <v>0</v>
      </c>
      <c r="EH18" s="527">
        <v>246.56470588235288</v>
      </c>
      <c r="EI18" s="528">
        <f t="shared" si="44"/>
        <v>4.7680365463016878</v>
      </c>
      <c r="EJ18" s="529">
        <f t="shared" si="155"/>
        <v>0</v>
      </c>
      <c r="EK18" s="527">
        <v>0</v>
      </c>
      <c r="EL18" s="528">
        <f t="shared" si="45"/>
        <v>0</v>
      </c>
      <c r="EM18" s="529">
        <f t="shared" si="156"/>
        <v>0</v>
      </c>
      <c r="EN18" s="527">
        <v>30.487804878048792</v>
      </c>
      <c r="EO18" s="528">
        <f t="shared" si="46"/>
        <v>0.58956924655880238</v>
      </c>
      <c r="EP18" s="529">
        <f t="shared" si="157"/>
        <v>0</v>
      </c>
      <c r="EQ18" s="527">
        <v>44.476744186046517</v>
      </c>
      <c r="ER18" s="528">
        <f t="shared" si="47"/>
        <v>0.86008555434031775</v>
      </c>
      <c r="ES18" s="529">
        <f t="shared" si="158"/>
        <v>0</v>
      </c>
      <c r="ET18" s="527"/>
      <c r="EU18" s="528">
        <f t="shared" si="48"/>
        <v>0</v>
      </c>
      <c r="EV18" s="529">
        <f t="shared" si="159"/>
        <v>0</v>
      </c>
      <c r="EW18" s="527"/>
      <c r="EX18" s="528">
        <f t="shared" si="49"/>
        <v>0</v>
      </c>
      <c r="EY18" s="529">
        <f t="shared" si="160"/>
        <v>0</v>
      </c>
      <c r="EZ18" s="527"/>
      <c r="FA18" s="528">
        <f t="shared" si="50"/>
        <v>0</v>
      </c>
      <c r="FB18" s="529">
        <f t="shared" si="161"/>
        <v>0</v>
      </c>
      <c r="FC18" s="527"/>
      <c r="FD18" s="528">
        <f t="shared" si="51"/>
        <v>0</v>
      </c>
      <c r="FE18" s="529">
        <f t="shared" si="162"/>
        <v>0</v>
      </c>
      <c r="FF18" s="527"/>
      <c r="FG18" s="528">
        <f t="shared" si="52"/>
        <v>0</v>
      </c>
      <c r="FH18" s="529">
        <f t="shared" si="163"/>
        <v>0</v>
      </c>
      <c r="FI18" s="527"/>
      <c r="FJ18" s="528">
        <f t="shared" si="53"/>
        <v>0</v>
      </c>
      <c r="FK18" s="529">
        <f t="shared" si="164"/>
        <v>0</v>
      </c>
      <c r="FL18" s="527"/>
      <c r="FM18" s="528">
        <f t="shared" si="54"/>
        <v>0</v>
      </c>
      <c r="FN18" s="529">
        <f t="shared" si="165"/>
        <v>0</v>
      </c>
      <c r="FO18" s="527"/>
      <c r="FP18" s="528">
        <f t="shared" si="55"/>
        <v>0</v>
      </c>
      <c r="FQ18" s="529">
        <f t="shared" si="166"/>
        <v>0</v>
      </c>
      <c r="FR18" s="527"/>
      <c r="FS18" s="528">
        <f t="shared" si="56"/>
        <v>0</v>
      </c>
      <c r="FT18" s="529">
        <f t="shared" si="167"/>
        <v>0</v>
      </c>
      <c r="FU18" s="527"/>
      <c r="FV18" s="528">
        <f t="shared" si="57"/>
        <v>0</v>
      </c>
      <c r="FW18" s="529">
        <f t="shared" si="168"/>
        <v>0</v>
      </c>
      <c r="FX18" s="527"/>
      <c r="FY18" s="528">
        <f t="shared" si="58"/>
        <v>0</v>
      </c>
      <c r="FZ18" s="529">
        <f t="shared" si="169"/>
        <v>0</v>
      </c>
      <c r="GA18" s="527"/>
      <c r="GB18" s="528">
        <f t="shared" si="59"/>
        <v>0</v>
      </c>
      <c r="GC18" s="529">
        <f t="shared" si="170"/>
        <v>0</v>
      </c>
      <c r="GD18" s="527"/>
      <c r="GE18" s="528">
        <f t="shared" si="60"/>
        <v>0</v>
      </c>
      <c r="GF18" s="529">
        <f t="shared" si="171"/>
        <v>0</v>
      </c>
      <c r="GG18" s="527">
        <v>14.625332962627468</v>
      </c>
      <c r="GH18" s="528">
        <f t="shared" si="61"/>
        <v>0.2828228063626908</v>
      </c>
      <c r="GI18" s="529">
        <f t="shared" si="172"/>
        <v>0</v>
      </c>
      <c r="GJ18" s="527">
        <v>14.625332962627468</v>
      </c>
      <c r="GK18" s="528">
        <f t="shared" si="62"/>
        <v>0.2828228063626908</v>
      </c>
      <c r="GL18" s="529">
        <f t="shared" si="173"/>
        <v>0</v>
      </c>
      <c r="GM18" s="527"/>
      <c r="GN18" s="528">
        <f t="shared" si="63"/>
        <v>0</v>
      </c>
      <c r="GO18" s="529">
        <f t="shared" si="174"/>
        <v>0</v>
      </c>
      <c r="GP18" s="527">
        <v>39.000887900339912</v>
      </c>
      <c r="GQ18" s="528">
        <f t="shared" si="64"/>
        <v>0.75419415030050874</v>
      </c>
      <c r="GR18" s="529">
        <f t="shared" si="175"/>
        <v>0</v>
      </c>
      <c r="GS18" s="527">
        <v>214.50488345186952</v>
      </c>
      <c r="GT18" s="528">
        <f t="shared" si="65"/>
        <v>4.1480678266527979</v>
      </c>
      <c r="GU18" s="529">
        <f t="shared" si="176"/>
        <v>0</v>
      </c>
      <c r="GV18" s="527">
        <v>78.001775800679823</v>
      </c>
      <c r="GW18" s="528">
        <f t="shared" si="66"/>
        <v>1.5083883006010175</v>
      </c>
      <c r="GX18" s="529">
        <f t="shared" si="177"/>
        <v>0</v>
      </c>
      <c r="GY18" s="527"/>
      <c r="GZ18" s="528">
        <f t="shared" si="67"/>
        <v>0</v>
      </c>
      <c r="HA18" s="529">
        <f t="shared" si="178"/>
        <v>0</v>
      </c>
      <c r="HB18" s="527"/>
      <c r="HC18" s="528">
        <f t="shared" si="68"/>
        <v>0</v>
      </c>
      <c r="HD18" s="529">
        <f t="shared" si="179"/>
        <v>0</v>
      </c>
      <c r="HE18" s="527"/>
      <c r="HF18" s="528">
        <f t="shared" si="69"/>
        <v>0</v>
      </c>
      <c r="HG18" s="529">
        <f t="shared" si="180"/>
        <v>0</v>
      </c>
      <c r="HH18" s="527"/>
      <c r="HI18" s="528">
        <f t="shared" si="70"/>
        <v>0</v>
      </c>
      <c r="HJ18" s="529">
        <f t="shared" si="181"/>
        <v>0</v>
      </c>
      <c r="HK18" s="527"/>
      <c r="HL18" s="528">
        <f t="shared" si="71"/>
        <v>0</v>
      </c>
      <c r="HM18" s="529">
        <f t="shared" si="182"/>
        <v>0</v>
      </c>
      <c r="HN18" s="527">
        <v>882.39508874519049</v>
      </c>
      <c r="HO18" s="528">
        <f t="shared" si="72"/>
        <v>17.06364265054901</v>
      </c>
      <c r="HP18" s="529">
        <f t="shared" si="183"/>
        <v>0</v>
      </c>
      <c r="HQ18" s="527"/>
      <c r="HR18" s="528">
        <f t="shared" si="73"/>
        <v>0</v>
      </c>
      <c r="HS18" s="529">
        <f t="shared" si="184"/>
        <v>0</v>
      </c>
      <c r="HT18" s="527"/>
      <c r="HU18" s="528">
        <f t="shared" si="74"/>
        <v>0</v>
      </c>
      <c r="HV18" s="529">
        <f t="shared" si="185"/>
        <v>0</v>
      </c>
      <c r="HW18" s="527"/>
      <c r="HX18" s="528">
        <f t="shared" si="75"/>
        <v>0</v>
      </c>
      <c r="HY18" s="529">
        <f t="shared" si="186"/>
        <v>0</v>
      </c>
      <c r="HZ18" s="527"/>
      <c r="IA18" s="528">
        <f t="shared" si="76"/>
        <v>0</v>
      </c>
      <c r="IB18" s="529">
        <f t="shared" si="187"/>
        <v>0</v>
      </c>
      <c r="IC18" s="527"/>
      <c r="ID18" s="528">
        <f t="shared" si="77"/>
        <v>0</v>
      </c>
      <c r="IE18" s="529">
        <f t="shared" si="188"/>
        <v>0</v>
      </c>
      <c r="IF18" s="527"/>
      <c r="IG18" s="528">
        <f t="shared" si="78"/>
        <v>0</v>
      </c>
      <c r="IH18" s="529">
        <f t="shared" si="189"/>
        <v>0</v>
      </c>
      <c r="II18" s="527">
        <v>24.375554937712447</v>
      </c>
      <c r="IJ18" s="528">
        <f t="shared" si="79"/>
        <v>0.47137134393781804</v>
      </c>
      <c r="IK18" s="529">
        <f t="shared" si="190"/>
        <v>0</v>
      </c>
      <c r="IL18" s="527"/>
      <c r="IM18" s="528">
        <f t="shared" si="80"/>
        <v>0</v>
      </c>
      <c r="IN18" s="529">
        <f t="shared" si="191"/>
        <v>0</v>
      </c>
      <c r="IO18" s="527"/>
      <c r="IP18" s="528">
        <f t="shared" si="81"/>
        <v>0</v>
      </c>
      <c r="IQ18" s="529">
        <f t="shared" si="192"/>
        <v>0</v>
      </c>
      <c r="IR18" s="527">
        <v>48.751109875424895</v>
      </c>
      <c r="IS18" s="528">
        <f t="shared" si="82"/>
        <v>0.94274268787563609</v>
      </c>
      <c r="IT18" s="529">
        <f t="shared" si="193"/>
        <v>0</v>
      </c>
      <c r="IU18" s="527"/>
      <c r="IV18" s="528">
        <f t="shared" si="83"/>
        <v>0</v>
      </c>
      <c r="IW18" s="529">
        <f t="shared" si="194"/>
        <v>0</v>
      </c>
      <c r="IX18" s="527"/>
      <c r="IY18" s="528">
        <f t="shared" si="84"/>
        <v>0</v>
      </c>
      <c r="IZ18" s="529">
        <f t="shared" si="195"/>
        <v>0</v>
      </c>
      <c r="JA18" s="527"/>
      <c r="JB18" s="528">
        <f t="shared" si="85"/>
        <v>0</v>
      </c>
      <c r="JC18" s="529">
        <f t="shared" si="196"/>
        <v>0</v>
      </c>
      <c r="JD18" s="527"/>
      <c r="JE18" s="528">
        <f t="shared" si="86"/>
        <v>0</v>
      </c>
      <c r="JF18" s="529">
        <f t="shared" si="197"/>
        <v>0</v>
      </c>
      <c r="JG18" s="527"/>
      <c r="JH18" s="528">
        <f t="shared" si="87"/>
        <v>0</v>
      </c>
      <c r="JI18" s="529">
        <f t="shared" si="198"/>
        <v>0</v>
      </c>
      <c r="JJ18" s="527">
        <v>24.375554937712447</v>
      </c>
      <c r="JK18" s="529" t="str">
        <f t="shared" si="88"/>
        <v>0</v>
      </c>
      <c r="JL18" s="529" t="str">
        <f t="shared" si="89"/>
        <v>0</v>
      </c>
      <c r="JM18" s="527"/>
      <c r="JN18" s="529" t="str">
        <f t="shared" si="90"/>
        <v>0</v>
      </c>
      <c r="JO18" s="529" t="str">
        <f t="shared" si="91"/>
        <v>0</v>
      </c>
      <c r="JP18" s="527"/>
      <c r="JQ18" s="529" t="str">
        <f t="shared" si="92"/>
        <v>0</v>
      </c>
      <c r="JR18" s="529" t="str">
        <f t="shared" si="93"/>
        <v>0</v>
      </c>
      <c r="JS18" s="527"/>
      <c r="JT18" s="529" t="str">
        <f t="shared" si="94"/>
        <v>0</v>
      </c>
      <c r="JU18" s="529" t="str">
        <f t="shared" si="95"/>
        <v>0</v>
      </c>
      <c r="JV18" s="527"/>
      <c r="JW18" s="529" t="str">
        <f t="shared" si="96"/>
        <v>0</v>
      </c>
      <c r="JX18" s="529" t="str">
        <f t="shared" si="97"/>
        <v>0</v>
      </c>
      <c r="JY18" s="527"/>
      <c r="JZ18" s="529" t="str">
        <f t="shared" si="98"/>
        <v>0</v>
      </c>
      <c r="KA18" s="529" t="str">
        <f t="shared" si="99"/>
        <v>0</v>
      </c>
      <c r="KB18" s="527"/>
      <c r="KC18" s="529" t="str">
        <f t="shared" si="100"/>
        <v>0</v>
      </c>
      <c r="KD18" s="529" t="str">
        <f t="shared" si="101"/>
        <v>0</v>
      </c>
      <c r="KE18" s="527"/>
      <c r="KF18" s="529" t="str">
        <f t="shared" si="102"/>
        <v>0</v>
      </c>
      <c r="KG18" s="529" t="str">
        <f t="shared" si="103"/>
        <v>0</v>
      </c>
      <c r="KH18" s="527"/>
      <c r="KI18" s="529" t="str">
        <f t="shared" si="104"/>
        <v>0</v>
      </c>
      <c r="KJ18" s="529" t="str">
        <f t="shared" si="105"/>
        <v>0</v>
      </c>
      <c r="KK18" s="527"/>
      <c r="KL18" s="529" t="str">
        <f t="shared" si="106"/>
        <v>0</v>
      </c>
      <c r="KM18" s="529" t="str">
        <f t="shared" si="107"/>
        <v>0</v>
      </c>
      <c r="KN18" s="527"/>
      <c r="KO18" s="529" t="str">
        <f t="shared" si="108"/>
        <v>0</v>
      </c>
      <c r="KP18" s="529" t="str">
        <f t="shared" si="109"/>
        <v>0</v>
      </c>
      <c r="KQ18" s="527"/>
      <c r="KR18" s="529" t="str">
        <f t="shared" si="110"/>
        <v>0</v>
      </c>
      <c r="KS18" s="529" t="str">
        <f t="shared" si="111"/>
        <v>0</v>
      </c>
      <c r="KT18" s="529">
        <f t="shared" si="201"/>
        <v>0</v>
      </c>
      <c r="KU18" s="529">
        <f t="shared" si="202"/>
        <v>0</v>
      </c>
      <c r="KV18" s="268">
        <f t="shared" si="199"/>
        <v>2479.3577416369117</v>
      </c>
    </row>
    <row r="19" spans="1:309" ht="15" customHeight="1">
      <c r="A19" s="270">
        <f t="shared" si="200"/>
        <v>46092</v>
      </c>
      <c r="B19" s="271" t="str">
        <f>+Report1!B19</f>
        <v>Towel</v>
      </c>
      <c r="C19" s="271" t="str">
        <f>+Report1!C19</f>
        <v>22</v>
      </c>
      <c r="D19" s="272">
        <f>+Report1!P19</f>
        <v>54.594000000000001</v>
      </c>
      <c r="E19" s="273">
        <f>+Report1!R19</f>
        <v>52.383000000000003</v>
      </c>
      <c r="F19" s="527"/>
      <c r="G19" s="528">
        <f t="shared" si="0"/>
        <v>0</v>
      </c>
      <c r="H19" s="529">
        <f t="shared" si="112"/>
        <v>0</v>
      </c>
      <c r="I19" s="527"/>
      <c r="J19" s="528">
        <f t="shared" si="1"/>
        <v>0</v>
      </c>
      <c r="K19" s="529">
        <f t="shared" si="113"/>
        <v>0</v>
      </c>
      <c r="L19" s="527"/>
      <c r="M19" s="528">
        <f t="shared" si="2"/>
        <v>0</v>
      </c>
      <c r="N19" s="529">
        <f t="shared" si="114"/>
        <v>0</v>
      </c>
      <c r="O19" s="527">
        <v>12</v>
      </c>
      <c r="P19" s="528">
        <f t="shared" si="3"/>
        <v>0.2290819540690682</v>
      </c>
      <c r="Q19" s="529">
        <f t="shared" si="115"/>
        <v>0</v>
      </c>
      <c r="R19" s="527"/>
      <c r="S19" s="528">
        <f t="shared" si="4"/>
        <v>0</v>
      </c>
      <c r="T19" s="529">
        <f t="shared" si="116"/>
        <v>0</v>
      </c>
      <c r="U19" s="527">
        <v>7.6874999999999858</v>
      </c>
      <c r="V19" s="528">
        <f t="shared" si="5"/>
        <v>0.14675562682549653</v>
      </c>
      <c r="W19" s="529">
        <f t="shared" si="117"/>
        <v>0</v>
      </c>
      <c r="X19" s="527"/>
      <c r="Y19" s="528">
        <f t="shared" si="6"/>
        <v>0</v>
      </c>
      <c r="Z19" s="529">
        <f t="shared" si="118"/>
        <v>0</v>
      </c>
      <c r="AA19" s="527">
        <v>9.3749999999999716</v>
      </c>
      <c r="AB19" s="528">
        <f t="shared" si="7"/>
        <v>0.17897027661645898</v>
      </c>
      <c r="AC19" s="529">
        <f t="shared" si="119"/>
        <v>0</v>
      </c>
      <c r="AD19" s="527"/>
      <c r="AE19" s="528">
        <f t="shared" si="8"/>
        <v>0</v>
      </c>
      <c r="AF19" s="529">
        <f t="shared" si="120"/>
        <v>0</v>
      </c>
      <c r="AG19" s="527"/>
      <c r="AH19" s="528">
        <f t="shared" si="9"/>
        <v>0</v>
      </c>
      <c r="AI19" s="529">
        <f t="shared" si="121"/>
        <v>0</v>
      </c>
      <c r="AJ19" s="527">
        <v>23.5</v>
      </c>
      <c r="AK19" s="528">
        <f t="shared" si="10"/>
        <v>0.44861882671859188</v>
      </c>
      <c r="AL19" s="529">
        <f t="shared" si="122"/>
        <v>0</v>
      </c>
      <c r="AM19" s="527"/>
      <c r="AN19" s="528">
        <f t="shared" si="11"/>
        <v>0</v>
      </c>
      <c r="AO19" s="529">
        <f t="shared" si="123"/>
        <v>0</v>
      </c>
      <c r="AP19" s="527"/>
      <c r="AQ19" s="528">
        <f t="shared" si="12"/>
        <v>0</v>
      </c>
      <c r="AR19" s="529">
        <f t="shared" si="124"/>
        <v>0</v>
      </c>
      <c r="AS19" s="527"/>
      <c r="AT19" s="528">
        <f t="shared" si="13"/>
        <v>0</v>
      </c>
      <c r="AU19" s="529">
        <f t="shared" si="125"/>
        <v>0</v>
      </c>
      <c r="AV19" s="527"/>
      <c r="AW19" s="528">
        <f t="shared" si="14"/>
        <v>0</v>
      </c>
      <c r="AX19" s="529">
        <f t="shared" si="126"/>
        <v>0</v>
      </c>
      <c r="AY19" s="527"/>
      <c r="AZ19" s="528">
        <f t="shared" si="15"/>
        <v>0</v>
      </c>
      <c r="BA19" s="529">
        <f t="shared" si="127"/>
        <v>0</v>
      </c>
      <c r="BB19" s="527"/>
      <c r="BC19" s="528">
        <f t="shared" si="16"/>
        <v>0</v>
      </c>
      <c r="BD19" s="529">
        <f t="shared" si="128"/>
        <v>0</v>
      </c>
      <c r="BE19" s="527"/>
      <c r="BF19" s="528">
        <f t="shared" si="17"/>
        <v>0</v>
      </c>
      <c r="BG19" s="529">
        <f t="shared" si="129"/>
        <v>0</v>
      </c>
      <c r="BH19" s="527"/>
      <c r="BI19" s="528">
        <f t="shared" si="18"/>
        <v>0</v>
      </c>
      <c r="BJ19" s="529">
        <f t="shared" si="130"/>
        <v>0</v>
      </c>
      <c r="BK19" s="527"/>
      <c r="BL19" s="528">
        <f t="shared" si="19"/>
        <v>0</v>
      </c>
      <c r="BM19" s="529">
        <f t="shared" si="131"/>
        <v>0</v>
      </c>
      <c r="BN19" s="527"/>
      <c r="BO19" s="528">
        <f t="shared" si="20"/>
        <v>0</v>
      </c>
      <c r="BP19" s="529">
        <f t="shared" si="132"/>
        <v>0</v>
      </c>
      <c r="BQ19" s="527"/>
      <c r="BR19" s="528">
        <f t="shared" si="21"/>
        <v>0</v>
      </c>
      <c r="BS19" s="529">
        <f t="shared" si="133"/>
        <v>0</v>
      </c>
      <c r="BT19" s="527"/>
      <c r="BU19" s="528">
        <f t="shared" si="22"/>
        <v>0</v>
      </c>
      <c r="BV19" s="529">
        <f t="shared" si="134"/>
        <v>0</v>
      </c>
      <c r="BW19" s="527"/>
      <c r="BX19" s="528">
        <f t="shared" si="23"/>
        <v>0</v>
      </c>
      <c r="BY19" s="529">
        <f t="shared" si="135"/>
        <v>0</v>
      </c>
      <c r="BZ19" s="527"/>
      <c r="CA19" s="528">
        <f t="shared" si="24"/>
        <v>0</v>
      </c>
      <c r="CB19" s="529">
        <f t="shared" si="136"/>
        <v>0</v>
      </c>
      <c r="CC19" s="527"/>
      <c r="CD19" s="528">
        <f t="shared" si="25"/>
        <v>0</v>
      </c>
      <c r="CE19" s="529">
        <f t="shared" si="137"/>
        <v>0</v>
      </c>
      <c r="CF19" s="527">
        <v>4</v>
      </c>
      <c r="CG19" s="528">
        <f t="shared" si="26"/>
        <v>7.6360651356356071E-2</v>
      </c>
      <c r="CH19" s="529">
        <f t="shared" si="138"/>
        <v>0</v>
      </c>
      <c r="CI19" s="527"/>
      <c r="CJ19" s="528">
        <f t="shared" si="27"/>
        <v>0</v>
      </c>
      <c r="CK19" s="529">
        <f t="shared" si="139"/>
        <v>0</v>
      </c>
      <c r="CL19" s="527"/>
      <c r="CM19" s="528">
        <f t="shared" si="28"/>
        <v>0</v>
      </c>
      <c r="CN19" s="529">
        <f t="shared" si="140"/>
        <v>0</v>
      </c>
      <c r="CO19" s="527"/>
      <c r="CP19" s="528">
        <f t="shared" si="29"/>
        <v>0</v>
      </c>
      <c r="CQ19" s="529">
        <f t="shared" si="141"/>
        <v>0</v>
      </c>
      <c r="CR19" s="527"/>
      <c r="CS19" s="528">
        <f t="shared" si="30"/>
        <v>0</v>
      </c>
      <c r="CT19" s="529">
        <f t="shared" si="142"/>
        <v>0</v>
      </c>
      <c r="CU19" s="527"/>
      <c r="CV19" s="528">
        <f t="shared" si="31"/>
        <v>0</v>
      </c>
      <c r="CW19" s="529">
        <f t="shared" si="143"/>
        <v>0</v>
      </c>
      <c r="CX19" s="527"/>
      <c r="CY19" s="528">
        <f t="shared" si="32"/>
        <v>0</v>
      </c>
      <c r="CZ19" s="529">
        <f t="shared" si="144"/>
        <v>0</v>
      </c>
      <c r="DA19" s="527">
        <v>0</v>
      </c>
      <c r="DB19" s="528">
        <f t="shared" si="33"/>
        <v>0</v>
      </c>
      <c r="DC19" s="529">
        <f t="shared" si="145"/>
        <v>0</v>
      </c>
      <c r="DD19" s="527"/>
      <c r="DE19" s="528">
        <f t="shared" si="34"/>
        <v>0</v>
      </c>
      <c r="DF19" s="529">
        <f t="shared" si="146"/>
        <v>0</v>
      </c>
      <c r="DG19" s="527"/>
      <c r="DH19" s="528">
        <f t="shared" si="35"/>
        <v>0</v>
      </c>
      <c r="DI19" s="529">
        <f t="shared" si="203"/>
        <v>0</v>
      </c>
      <c r="DJ19" s="527"/>
      <c r="DK19" s="528">
        <f t="shared" si="36"/>
        <v>0</v>
      </c>
      <c r="DL19" s="529">
        <f t="shared" si="147"/>
        <v>0</v>
      </c>
      <c r="DM19" s="527"/>
      <c r="DN19" s="528">
        <f t="shared" si="37"/>
        <v>0</v>
      </c>
      <c r="DO19" s="529">
        <f t="shared" si="148"/>
        <v>0</v>
      </c>
      <c r="DP19" s="527"/>
      <c r="DQ19" s="528">
        <f t="shared" si="38"/>
        <v>0</v>
      </c>
      <c r="DR19" s="529">
        <f t="shared" si="149"/>
        <v>0</v>
      </c>
      <c r="DS19" s="527"/>
      <c r="DT19" s="528">
        <f t="shared" si="39"/>
        <v>0</v>
      </c>
      <c r="DU19" s="529">
        <f t="shared" si="150"/>
        <v>0</v>
      </c>
      <c r="DV19" s="527"/>
      <c r="DW19" s="528">
        <f t="shared" si="40"/>
        <v>0</v>
      </c>
      <c r="DX19" s="529">
        <f t="shared" si="151"/>
        <v>0</v>
      </c>
      <c r="DY19" s="527"/>
      <c r="DZ19" s="528">
        <f t="shared" si="41"/>
        <v>0</v>
      </c>
      <c r="EA19" s="529">
        <f t="shared" si="152"/>
        <v>0</v>
      </c>
      <c r="EB19" s="527">
        <v>755.81395348837236</v>
      </c>
      <c r="EC19" s="528">
        <f t="shared" si="42"/>
        <v>14.428611448148681</v>
      </c>
      <c r="ED19" s="529">
        <f t="shared" si="153"/>
        <v>0</v>
      </c>
      <c r="EE19" s="527">
        <v>21.802325581395358</v>
      </c>
      <c r="EF19" s="528">
        <f t="shared" si="43"/>
        <v>0.4162099456196735</v>
      </c>
      <c r="EG19" s="529">
        <f t="shared" si="154"/>
        <v>0</v>
      </c>
      <c r="EH19" s="527">
        <v>246.56470588235311</v>
      </c>
      <c r="EI19" s="528">
        <f t="shared" si="44"/>
        <v>4.7069603856662106</v>
      </c>
      <c r="EJ19" s="529">
        <f t="shared" si="155"/>
        <v>0</v>
      </c>
      <c r="EK19" s="527">
        <v>0</v>
      </c>
      <c r="EL19" s="528">
        <f t="shared" si="45"/>
        <v>0</v>
      </c>
      <c r="EM19" s="529">
        <f t="shared" si="156"/>
        <v>0</v>
      </c>
      <c r="EN19" s="527">
        <v>30.487804878048735</v>
      </c>
      <c r="EO19" s="528">
        <f t="shared" si="46"/>
        <v>0.5820171597283228</v>
      </c>
      <c r="EP19" s="529">
        <f t="shared" si="157"/>
        <v>0</v>
      </c>
      <c r="EQ19" s="527">
        <v>34.593023255813819</v>
      </c>
      <c r="ER19" s="528">
        <f t="shared" si="47"/>
        <v>0.66038644704987914</v>
      </c>
      <c r="ES19" s="529">
        <f t="shared" si="158"/>
        <v>0</v>
      </c>
      <c r="ET19" s="527"/>
      <c r="EU19" s="528">
        <f t="shared" si="48"/>
        <v>0</v>
      </c>
      <c r="EV19" s="529">
        <f t="shared" si="159"/>
        <v>0</v>
      </c>
      <c r="EW19" s="527"/>
      <c r="EX19" s="528">
        <f t="shared" si="49"/>
        <v>0</v>
      </c>
      <c r="EY19" s="529">
        <f t="shared" si="160"/>
        <v>0</v>
      </c>
      <c r="EZ19" s="527"/>
      <c r="FA19" s="528">
        <f t="shared" si="50"/>
        <v>0</v>
      </c>
      <c r="FB19" s="529">
        <f t="shared" si="161"/>
        <v>0</v>
      </c>
      <c r="FC19" s="527"/>
      <c r="FD19" s="528">
        <f t="shared" si="51"/>
        <v>0</v>
      </c>
      <c r="FE19" s="529">
        <f t="shared" si="162"/>
        <v>0</v>
      </c>
      <c r="FF19" s="527"/>
      <c r="FG19" s="528">
        <f t="shared" si="52"/>
        <v>0</v>
      </c>
      <c r="FH19" s="529">
        <f t="shared" si="163"/>
        <v>0</v>
      </c>
      <c r="FI19" s="527"/>
      <c r="FJ19" s="528">
        <f t="shared" si="53"/>
        <v>0</v>
      </c>
      <c r="FK19" s="529">
        <f t="shared" si="164"/>
        <v>0</v>
      </c>
      <c r="FL19" s="527"/>
      <c r="FM19" s="528">
        <f t="shared" si="54"/>
        <v>0</v>
      </c>
      <c r="FN19" s="529">
        <f t="shared" si="165"/>
        <v>0</v>
      </c>
      <c r="FO19" s="527"/>
      <c r="FP19" s="528">
        <f t="shared" si="55"/>
        <v>0</v>
      </c>
      <c r="FQ19" s="529">
        <f t="shared" si="166"/>
        <v>0</v>
      </c>
      <c r="FR19" s="527"/>
      <c r="FS19" s="528">
        <f t="shared" si="56"/>
        <v>0</v>
      </c>
      <c r="FT19" s="529">
        <f t="shared" si="167"/>
        <v>0</v>
      </c>
      <c r="FU19" s="527"/>
      <c r="FV19" s="528">
        <f t="shared" si="57"/>
        <v>0</v>
      </c>
      <c r="FW19" s="529">
        <f t="shared" si="168"/>
        <v>0</v>
      </c>
      <c r="FX19" s="527"/>
      <c r="FY19" s="528">
        <f t="shared" si="58"/>
        <v>0</v>
      </c>
      <c r="FZ19" s="529">
        <f t="shared" si="169"/>
        <v>0</v>
      </c>
      <c r="GA19" s="527"/>
      <c r="GB19" s="528">
        <f t="shared" si="59"/>
        <v>0</v>
      </c>
      <c r="GC19" s="529">
        <f t="shared" si="170"/>
        <v>0</v>
      </c>
      <c r="GD19" s="527"/>
      <c r="GE19" s="528">
        <f t="shared" si="60"/>
        <v>0</v>
      </c>
      <c r="GF19" s="529">
        <f t="shared" si="171"/>
        <v>0</v>
      </c>
      <c r="GG19" s="527">
        <v>15.155597916107599</v>
      </c>
      <c r="GH19" s="528">
        <f t="shared" si="61"/>
        <v>0.28932283214225224</v>
      </c>
      <c r="GI19" s="529">
        <f t="shared" si="172"/>
        <v>0</v>
      </c>
      <c r="GJ19" s="527">
        <v>20.207463888143465</v>
      </c>
      <c r="GK19" s="528">
        <f t="shared" si="62"/>
        <v>0.38576377618966962</v>
      </c>
      <c r="GL19" s="529">
        <f t="shared" si="173"/>
        <v>0</v>
      </c>
      <c r="GM19" s="527"/>
      <c r="GN19" s="528">
        <f t="shared" si="63"/>
        <v>0</v>
      </c>
      <c r="GO19" s="529">
        <f t="shared" si="174"/>
        <v>0</v>
      </c>
      <c r="GP19" s="527">
        <v>40.41492777628693</v>
      </c>
      <c r="GQ19" s="528">
        <f t="shared" si="64"/>
        <v>0.77152755237933923</v>
      </c>
      <c r="GR19" s="529">
        <f t="shared" si="175"/>
        <v>0</v>
      </c>
      <c r="GS19" s="527">
        <v>242.48956665772158</v>
      </c>
      <c r="GT19" s="528">
        <f t="shared" si="65"/>
        <v>4.6291653142760358</v>
      </c>
      <c r="GU19" s="529">
        <f t="shared" si="176"/>
        <v>0</v>
      </c>
      <c r="GV19" s="527">
        <v>80.829855552573861</v>
      </c>
      <c r="GW19" s="528">
        <f t="shared" si="66"/>
        <v>1.5430551047586785</v>
      </c>
      <c r="GX19" s="529">
        <f t="shared" si="177"/>
        <v>0</v>
      </c>
      <c r="GY19" s="527"/>
      <c r="GZ19" s="528">
        <f t="shared" si="67"/>
        <v>0</v>
      </c>
      <c r="HA19" s="529">
        <f t="shared" si="178"/>
        <v>0</v>
      </c>
      <c r="HB19" s="527"/>
      <c r="HC19" s="528">
        <f t="shared" si="68"/>
        <v>0</v>
      </c>
      <c r="HD19" s="529">
        <f t="shared" si="179"/>
        <v>0</v>
      </c>
      <c r="HE19" s="527"/>
      <c r="HF19" s="528">
        <f t="shared" si="69"/>
        <v>0</v>
      </c>
      <c r="HG19" s="529">
        <f t="shared" si="180"/>
        <v>0</v>
      </c>
      <c r="HH19" s="527"/>
      <c r="HI19" s="528">
        <f t="shared" si="70"/>
        <v>0</v>
      </c>
      <c r="HJ19" s="529">
        <f t="shared" si="181"/>
        <v>0</v>
      </c>
      <c r="HK19" s="527"/>
      <c r="HL19" s="528">
        <f t="shared" si="71"/>
        <v>0</v>
      </c>
      <c r="HM19" s="529">
        <f t="shared" si="182"/>
        <v>0</v>
      </c>
      <c r="HN19" s="527">
        <v>902.26326260560563</v>
      </c>
      <c r="HO19" s="528">
        <f t="shared" si="72"/>
        <v>17.224352606868749</v>
      </c>
      <c r="HP19" s="529">
        <f t="shared" si="183"/>
        <v>0</v>
      </c>
      <c r="HQ19" s="527"/>
      <c r="HR19" s="528">
        <f t="shared" si="73"/>
        <v>0</v>
      </c>
      <c r="HS19" s="529">
        <f t="shared" si="184"/>
        <v>0</v>
      </c>
      <c r="HT19" s="527"/>
      <c r="HU19" s="528">
        <f t="shared" si="74"/>
        <v>0</v>
      </c>
      <c r="HV19" s="529">
        <f t="shared" si="185"/>
        <v>0</v>
      </c>
      <c r="HW19" s="527"/>
      <c r="HX19" s="528">
        <f t="shared" si="75"/>
        <v>0</v>
      </c>
      <c r="HY19" s="529">
        <f t="shared" si="186"/>
        <v>0</v>
      </c>
      <c r="HZ19" s="527"/>
      <c r="IA19" s="528">
        <f t="shared" si="76"/>
        <v>0</v>
      </c>
      <c r="IB19" s="529">
        <f t="shared" si="187"/>
        <v>0</v>
      </c>
      <c r="IC19" s="527"/>
      <c r="ID19" s="528">
        <f t="shared" si="77"/>
        <v>0</v>
      </c>
      <c r="IE19" s="529">
        <f t="shared" si="188"/>
        <v>0</v>
      </c>
      <c r="IF19" s="527"/>
      <c r="IG19" s="528">
        <f t="shared" si="78"/>
        <v>0</v>
      </c>
      <c r="IH19" s="529">
        <f t="shared" si="189"/>
        <v>0</v>
      </c>
      <c r="II19" s="527">
        <v>25.259329860179331</v>
      </c>
      <c r="IJ19" s="528">
        <f t="shared" si="79"/>
        <v>0.48220472023708705</v>
      </c>
      <c r="IK19" s="529">
        <f t="shared" si="190"/>
        <v>0</v>
      </c>
      <c r="IL19" s="527"/>
      <c r="IM19" s="528">
        <f t="shared" si="80"/>
        <v>0</v>
      </c>
      <c r="IN19" s="529">
        <f t="shared" si="191"/>
        <v>0</v>
      </c>
      <c r="IO19" s="527"/>
      <c r="IP19" s="528">
        <f t="shared" si="81"/>
        <v>0</v>
      </c>
      <c r="IQ19" s="529">
        <f t="shared" si="192"/>
        <v>0</v>
      </c>
      <c r="IR19" s="527">
        <v>50.518659720358663</v>
      </c>
      <c r="IS19" s="528">
        <f t="shared" si="82"/>
        <v>0.9644094404741741</v>
      </c>
      <c r="IT19" s="529">
        <f t="shared" si="193"/>
        <v>0</v>
      </c>
      <c r="IU19" s="527"/>
      <c r="IV19" s="528">
        <f t="shared" si="83"/>
        <v>0</v>
      </c>
      <c r="IW19" s="529">
        <f t="shared" si="194"/>
        <v>0</v>
      </c>
      <c r="IX19" s="527"/>
      <c r="IY19" s="528">
        <f t="shared" si="84"/>
        <v>0</v>
      </c>
      <c r="IZ19" s="529">
        <f t="shared" si="195"/>
        <v>0</v>
      </c>
      <c r="JA19" s="527"/>
      <c r="JB19" s="528">
        <f t="shared" si="85"/>
        <v>0</v>
      </c>
      <c r="JC19" s="529">
        <f t="shared" si="196"/>
        <v>0</v>
      </c>
      <c r="JD19" s="527"/>
      <c r="JE19" s="528">
        <f t="shared" si="86"/>
        <v>0</v>
      </c>
      <c r="JF19" s="529">
        <f t="shared" si="197"/>
        <v>0</v>
      </c>
      <c r="JG19" s="527"/>
      <c r="JH19" s="528">
        <f t="shared" si="87"/>
        <v>0</v>
      </c>
      <c r="JI19" s="529">
        <f t="shared" si="198"/>
        <v>0</v>
      </c>
      <c r="JJ19" s="527">
        <v>22.733396874161397</v>
      </c>
      <c r="JK19" s="529" t="str">
        <f t="shared" si="88"/>
        <v>0</v>
      </c>
      <c r="JL19" s="529" t="str">
        <f t="shared" si="89"/>
        <v>0</v>
      </c>
      <c r="JM19" s="527"/>
      <c r="JN19" s="529" t="str">
        <f t="shared" si="90"/>
        <v>0</v>
      </c>
      <c r="JO19" s="529" t="str">
        <f t="shared" si="91"/>
        <v>0</v>
      </c>
      <c r="JP19" s="527"/>
      <c r="JQ19" s="529" t="str">
        <f t="shared" si="92"/>
        <v>0</v>
      </c>
      <c r="JR19" s="529" t="str">
        <f t="shared" si="93"/>
        <v>0</v>
      </c>
      <c r="JS19" s="527"/>
      <c r="JT19" s="529" t="str">
        <f t="shared" si="94"/>
        <v>0</v>
      </c>
      <c r="JU19" s="529" t="str">
        <f t="shared" si="95"/>
        <v>0</v>
      </c>
      <c r="JV19" s="527"/>
      <c r="JW19" s="529" t="str">
        <f t="shared" si="96"/>
        <v>0</v>
      </c>
      <c r="JX19" s="529" t="str">
        <f t="shared" si="97"/>
        <v>0</v>
      </c>
      <c r="JY19" s="527"/>
      <c r="JZ19" s="529" t="str">
        <f t="shared" si="98"/>
        <v>0</v>
      </c>
      <c r="KA19" s="529" t="str">
        <f t="shared" si="99"/>
        <v>0</v>
      </c>
      <c r="KB19" s="527"/>
      <c r="KC19" s="529" t="str">
        <f t="shared" si="100"/>
        <v>0</v>
      </c>
      <c r="KD19" s="529" t="str">
        <f t="shared" si="101"/>
        <v>0</v>
      </c>
      <c r="KE19" s="527"/>
      <c r="KF19" s="529" t="str">
        <f t="shared" si="102"/>
        <v>0</v>
      </c>
      <c r="KG19" s="529" t="str">
        <f t="shared" si="103"/>
        <v>0</v>
      </c>
      <c r="KH19" s="527"/>
      <c r="KI19" s="529" t="str">
        <f t="shared" si="104"/>
        <v>0</v>
      </c>
      <c r="KJ19" s="529" t="str">
        <f t="shared" si="105"/>
        <v>0</v>
      </c>
      <c r="KK19" s="527"/>
      <c r="KL19" s="529" t="str">
        <f t="shared" si="106"/>
        <v>0</v>
      </c>
      <c r="KM19" s="529" t="str">
        <f t="shared" si="107"/>
        <v>0</v>
      </c>
      <c r="KN19" s="527"/>
      <c r="KO19" s="529" t="str">
        <f t="shared" si="108"/>
        <v>0</v>
      </c>
      <c r="KP19" s="529" t="str">
        <f t="shared" si="109"/>
        <v>0</v>
      </c>
      <c r="KQ19" s="527"/>
      <c r="KR19" s="529" t="str">
        <f t="shared" si="110"/>
        <v>0</v>
      </c>
      <c r="KS19" s="529" t="str">
        <f t="shared" si="111"/>
        <v>0</v>
      </c>
      <c r="KT19" s="529">
        <f t="shared" si="201"/>
        <v>0</v>
      </c>
      <c r="KU19" s="529">
        <f t="shared" si="202"/>
        <v>0</v>
      </c>
      <c r="KV19" s="268">
        <f t="shared" si="199"/>
        <v>2545.6963739371226</v>
      </c>
    </row>
    <row r="20" spans="1:309" ht="15" customHeight="1">
      <c r="A20" s="270">
        <f t="shared" si="200"/>
        <v>46093</v>
      </c>
      <c r="B20" s="271" t="str">
        <f>+Report1!B20</f>
        <v>Towel/Napkin</v>
      </c>
      <c r="C20" s="271" t="str">
        <f>+Report1!C20</f>
        <v>22/15,5</v>
      </c>
      <c r="D20" s="272">
        <f>+Report1!P20</f>
        <v>52.637999999999998</v>
      </c>
      <c r="E20" s="273">
        <f>+Report1!R20</f>
        <v>52.134999999999998</v>
      </c>
      <c r="F20" s="527"/>
      <c r="G20" s="528">
        <f t="shared" si="0"/>
        <v>0</v>
      </c>
      <c r="H20" s="529">
        <f t="shared" si="112"/>
        <v>0</v>
      </c>
      <c r="I20" s="527"/>
      <c r="J20" s="528">
        <f t="shared" si="1"/>
        <v>0</v>
      </c>
      <c r="K20" s="529">
        <f t="shared" si="113"/>
        <v>0</v>
      </c>
      <c r="L20" s="527"/>
      <c r="M20" s="528">
        <f t="shared" si="2"/>
        <v>0</v>
      </c>
      <c r="N20" s="529">
        <f t="shared" si="114"/>
        <v>0</v>
      </c>
      <c r="O20" s="527">
        <v>12.000000000000014</v>
      </c>
      <c r="P20" s="528">
        <f t="shared" si="3"/>
        <v>0.23017166970365427</v>
      </c>
      <c r="Q20" s="529">
        <f t="shared" si="115"/>
        <v>0</v>
      </c>
      <c r="R20" s="527"/>
      <c r="S20" s="528">
        <f t="shared" si="4"/>
        <v>0</v>
      </c>
      <c r="T20" s="529">
        <f t="shared" si="116"/>
        <v>0</v>
      </c>
      <c r="U20" s="527">
        <v>7.6875</v>
      </c>
      <c r="V20" s="528">
        <f t="shared" si="5"/>
        <v>0.14745372590390332</v>
      </c>
      <c r="W20" s="529">
        <f t="shared" si="117"/>
        <v>0</v>
      </c>
      <c r="X20" s="527"/>
      <c r="Y20" s="528">
        <f t="shared" si="6"/>
        <v>0</v>
      </c>
      <c r="Z20" s="529">
        <f t="shared" si="118"/>
        <v>0</v>
      </c>
      <c r="AA20" s="527">
        <v>6.2500000000000284</v>
      </c>
      <c r="AB20" s="528">
        <f t="shared" si="7"/>
        <v>0.11988107797065366</v>
      </c>
      <c r="AC20" s="529">
        <f t="shared" si="119"/>
        <v>0</v>
      </c>
      <c r="AD20" s="527"/>
      <c r="AE20" s="528">
        <f t="shared" si="8"/>
        <v>0</v>
      </c>
      <c r="AF20" s="529">
        <f t="shared" si="120"/>
        <v>0</v>
      </c>
      <c r="AG20" s="527"/>
      <c r="AH20" s="528">
        <f t="shared" si="9"/>
        <v>0</v>
      </c>
      <c r="AI20" s="529">
        <f t="shared" si="121"/>
        <v>0</v>
      </c>
      <c r="AJ20" s="527">
        <v>29.375</v>
      </c>
      <c r="AK20" s="528">
        <f t="shared" si="10"/>
        <v>0.5634410664620696</v>
      </c>
      <c r="AL20" s="529">
        <f t="shared" si="122"/>
        <v>0</v>
      </c>
      <c r="AM20" s="527"/>
      <c r="AN20" s="528">
        <f t="shared" si="11"/>
        <v>0</v>
      </c>
      <c r="AO20" s="529">
        <f t="shared" si="123"/>
        <v>0</v>
      </c>
      <c r="AP20" s="527"/>
      <c r="AQ20" s="528">
        <f t="shared" si="12"/>
        <v>0</v>
      </c>
      <c r="AR20" s="529">
        <f t="shared" si="124"/>
        <v>0</v>
      </c>
      <c r="AS20" s="527"/>
      <c r="AT20" s="528">
        <f t="shared" si="13"/>
        <v>0</v>
      </c>
      <c r="AU20" s="529">
        <f t="shared" si="125"/>
        <v>0</v>
      </c>
      <c r="AV20" s="527"/>
      <c r="AW20" s="528">
        <f t="shared" si="14"/>
        <v>0</v>
      </c>
      <c r="AX20" s="529">
        <f t="shared" si="126"/>
        <v>0</v>
      </c>
      <c r="AY20" s="527"/>
      <c r="AZ20" s="528">
        <f t="shared" si="15"/>
        <v>0</v>
      </c>
      <c r="BA20" s="529">
        <f t="shared" si="127"/>
        <v>0</v>
      </c>
      <c r="BB20" s="527"/>
      <c r="BC20" s="528">
        <f t="shared" si="16"/>
        <v>0</v>
      </c>
      <c r="BD20" s="529">
        <f t="shared" si="128"/>
        <v>0</v>
      </c>
      <c r="BE20" s="527"/>
      <c r="BF20" s="528">
        <f t="shared" si="17"/>
        <v>0</v>
      </c>
      <c r="BG20" s="529">
        <f t="shared" si="129"/>
        <v>0</v>
      </c>
      <c r="BH20" s="527"/>
      <c r="BI20" s="528">
        <f t="shared" si="18"/>
        <v>0</v>
      </c>
      <c r="BJ20" s="529">
        <f t="shared" si="130"/>
        <v>0</v>
      </c>
      <c r="BK20" s="527"/>
      <c r="BL20" s="528">
        <f t="shared" si="19"/>
        <v>0</v>
      </c>
      <c r="BM20" s="529">
        <f t="shared" si="131"/>
        <v>0</v>
      </c>
      <c r="BN20" s="527"/>
      <c r="BO20" s="528">
        <f t="shared" si="20"/>
        <v>0</v>
      </c>
      <c r="BP20" s="529">
        <f t="shared" si="132"/>
        <v>0</v>
      </c>
      <c r="BQ20" s="527"/>
      <c r="BR20" s="528">
        <f t="shared" si="21"/>
        <v>0</v>
      </c>
      <c r="BS20" s="529">
        <f t="shared" si="133"/>
        <v>0</v>
      </c>
      <c r="BT20" s="527"/>
      <c r="BU20" s="528">
        <f t="shared" si="22"/>
        <v>0</v>
      </c>
      <c r="BV20" s="529">
        <f t="shared" si="134"/>
        <v>0</v>
      </c>
      <c r="BW20" s="527"/>
      <c r="BX20" s="528">
        <f t="shared" si="23"/>
        <v>0</v>
      </c>
      <c r="BY20" s="529">
        <f t="shared" si="135"/>
        <v>0</v>
      </c>
      <c r="BZ20" s="527"/>
      <c r="CA20" s="528">
        <f t="shared" si="24"/>
        <v>0</v>
      </c>
      <c r="CB20" s="529">
        <f t="shared" si="136"/>
        <v>0</v>
      </c>
      <c r="CC20" s="527"/>
      <c r="CD20" s="528">
        <f t="shared" si="25"/>
        <v>0</v>
      </c>
      <c r="CE20" s="529">
        <f t="shared" si="137"/>
        <v>0</v>
      </c>
      <c r="CF20" s="527">
        <v>4</v>
      </c>
      <c r="CG20" s="528">
        <f t="shared" si="26"/>
        <v>7.6723889901217993E-2</v>
      </c>
      <c r="CH20" s="529">
        <f t="shared" si="138"/>
        <v>0</v>
      </c>
      <c r="CI20" s="527"/>
      <c r="CJ20" s="528">
        <f t="shared" si="27"/>
        <v>0</v>
      </c>
      <c r="CK20" s="529">
        <f t="shared" si="139"/>
        <v>0</v>
      </c>
      <c r="CL20" s="527"/>
      <c r="CM20" s="528">
        <f t="shared" si="28"/>
        <v>0</v>
      </c>
      <c r="CN20" s="529">
        <f t="shared" si="140"/>
        <v>0</v>
      </c>
      <c r="CO20" s="527"/>
      <c r="CP20" s="528">
        <f t="shared" si="29"/>
        <v>0</v>
      </c>
      <c r="CQ20" s="529">
        <f t="shared" si="141"/>
        <v>0</v>
      </c>
      <c r="CR20" s="527"/>
      <c r="CS20" s="528">
        <f t="shared" si="30"/>
        <v>0</v>
      </c>
      <c r="CT20" s="529">
        <f t="shared" si="142"/>
        <v>0</v>
      </c>
      <c r="CU20" s="527"/>
      <c r="CV20" s="528">
        <f t="shared" si="31"/>
        <v>0</v>
      </c>
      <c r="CW20" s="529">
        <f t="shared" si="143"/>
        <v>0</v>
      </c>
      <c r="CX20" s="527"/>
      <c r="CY20" s="528">
        <f t="shared" si="32"/>
        <v>0</v>
      </c>
      <c r="CZ20" s="529">
        <f t="shared" si="144"/>
        <v>0</v>
      </c>
      <c r="DA20" s="527">
        <v>0</v>
      </c>
      <c r="DB20" s="528">
        <f t="shared" si="33"/>
        <v>0</v>
      </c>
      <c r="DC20" s="529">
        <f t="shared" si="145"/>
        <v>0</v>
      </c>
      <c r="DD20" s="527"/>
      <c r="DE20" s="528">
        <f t="shared" si="34"/>
        <v>0</v>
      </c>
      <c r="DF20" s="529">
        <f t="shared" si="146"/>
        <v>0</v>
      </c>
      <c r="DG20" s="527"/>
      <c r="DH20" s="528">
        <f t="shared" si="35"/>
        <v>0</v>
      </c>
      <c r="DI20" s="529">
        <f t="shared" si="203"/>
        <v>0</v>
      </c>
      <c r="DJ20" s="527"/>
      <c r="DK20" s="528">
        <f t="shared" si="36"/>
        <v>0</v>
      </c>
      <c r="DL20" s="529">
        <f t="shared" si="147"/>
        <v>0</v>
      </c>
      <c r="DM20" s="527"/>
      <c r="DN20" s="528">
        <f t="shared" si="37"/>
        <v>0</v>
      </c>
      <c r="DO20" s="529">
        <f t="shared" si="148"/>
        <v>0</v>
      </c>
      <c r="DP20" s="527"/>
      <c r="DQ20" s="528">
        <f t="shared" si="38"/>
        <v>0</v>
      </c>
      <c r="DR20" s="529">
        <f t="shared" si="149"/>
        <v>0</v>
      </c>
      <c r="DS20" s="527"/>
      <c r="DT20" s="528">
        <f t="shared" si="39"/>
        <v>0</v>
      </c>
      <c r="DU20" s="529">
        <f t="shared" si="150"/>
        <v>0</v>
      </c>
      <c r="DV20" s="527"/>
      <c r="DW20" s="528">
        <f t="shared" si="40"/>
        <v>0</v>
      </c>
      <c r="DX20" s="529">
        <f t="shared" si="151"/>
        <v>0</v>
      </c>
      <c r="DY20" s="527"/>
      <c r="DZ20" s="528">
        <f t="shared" si="41"/>
        <v>0</v>
      </c>
      <c r="EA20" s="529">
        <f t="shared" si="152"/>
        <v>0</v>
      </c>
      <c r="EB20" s="527">
        <v>767.44186046511572</v>
      </c>
      <c r="EC20" s="528">
        <f t="shared" si="42"/>
        <v>14.72028120197786</v>
      </c>
      <c r="ED20" s="529">
        <f t="shared" si="153"/>
        <v>0</v>
      </c>
      <c r="EE20" s="527">
        <v>14.534883720930239</v>
      </c>
      <c r="EF20" s="528">
        <f t="shared" si="43"/>
        <v>0.27879320458291434</v>
      </c>
      <c r="EG20" s="529">
        <f t="shared" si="154"/>
        <v>0</v>
      </c>
      <c r="EH20" s="527">
        <v>234.82352941176464</v>
      </c>
      <c r="EI20" s="528">
        <f t="shared" si="44"/>
        <v>4.5041436542009139</v>
      </c>
      <c r="EJ20" s="529">
        <f t="shared" si="155"/>
        <v>0</v>
      </c>
      <c r="EK20" s="527">
        <v>0</v>
      </c>
      <c r="EL20" s="528">
        <f t="shared" si="45"/>
        <v>0</v>
      </c>
      <c r="EM20" s="529">
        <f t="shared" si="156"/>
        <v>0</v>
      </c>
      <c r="EN20" s="527">
        <v>30.487804878048792</v>
      </c>
      <c r="EO20" s="528">
        <f t="shared" si="46"/>
        <v>0.58478574619830814</v>
      </c>
      <c r="EP20" s="529">
        <f t="shared" si="157"/>
        <v>0</v>
      </c>
      <c r="EQ20" s="527">
        <v>39.534883720930225</v>
      </c>
      <c r="ER20" s="528">
        <f t="shared" si="47"/>
        <v>0.75831751646552659</v>
      </c>
      <c r="ES20" s="529">
        <f t="shared" si="158"/>
        <v>0</v>
      </c>
      <c r="ET20" s="527"/>
      <c r="EU20" s="528">
        <f t="shared" si="48"/>
        <v>0</v>
      </c>
      <c r="EV20" s="529">
        <f t="shared" si="159"/>
        <v>0</v>
      </c>
      <c r="EW20" s="527"/>
      <c r="EX20" s="528">
        <f t="shared" si="49"/>
        <v>0</v>
      </c>
      <c r="EY20" s="529">
        <f t="shared" si="160"/>
        <v>0</v>
      </c>
      <c r="EZ20" s="527"/>
      <c r="FA20" s="528">
        <f t="shared" si="50"/>
        <v>0</v>
      </c>
      <c r="FB20" s="529">
        <f t="shared" si="161"/>
        <v>0</v>
      </c>
      <c r="FC20" s="527"/>
      <c r="FD20" s="528">
        <f t="shared" si="51"/>
        <v>0</v>
      </c>
      <c r="FE20" s="529">
        <f t="shared" si="162"/>
        <v>0</v>
      </c>
      <c r="FF20" s="527"/>
      <c r="FG20" s="528">
        <f t="shared" si="52"/>
        <v>0</v>
      </c>
      <c r="FH20" s="529">
        <f t="shared" si="163"/>
        <v>0</v>
      </c>
      <c r="FI20" s="527"/>
      <c r="FJ20" s="528">
        <f t="shared" si="53"/>
        <v>0</v>
      </c>
      <c r="FK20" s="529">
        <f t="shared" si="164"/>
        <v>0</v>
      </c>
      <c r="FL20" s="527"/>
      <c r="FM20" s="528">
        <f t="shared" si="54"/>
        <v>0</v>
      </c>
      <c r="FN20" s="529">
        <f t="shared" si="165"/>
        <v>0</v>
      </c>
      <c r="FO20" s="527"/>
      <c r="FP20" s="528">
        <f t="shared" si="55"/>
        <v>0</v>
      </c>
      <c r="FQ20" s="529">
        <f t="shared" si="166"/>
        <v>0</v>
      </c>
      <c r="FR20" s="527"/>
      <c r="FS20" s="528">
        <f t="shared" si="56"/>
        <v>0</v>
      </c>
      <c r="FT20" s="529">
        <f t="shared" si="167"/>
        <v>0</v>
      </c>
      <c r="FU20" s="527"/>
      <c r="FV20" s="528">
        <f t="shared" si="57"/>
        <v>0</v>
      </c>
      <c r="FW20" s="529">
        <f t="shared" si="168"/>
        <v>0</v>
      </c>
      <c r="FX20" s="527"/>
      <c r="FY20" s="528">
        <f t="shared" si="58"/>
        <v>0</v>
      </c>
      <c r="FZ20" s="529">
        <f t="shared" si="169"/>
        <v>0</v>
      </c>
      <c r="GA20" s="527"/>
      <c r="GB20" s="528">
        <f t="shared" si="59"/>
        <v>0</v>
      </c>
      <c r="GC20" s="529">
        <f t="shared" si="170"/>
        <v>0</v>
      </c>
      <c r="GD20" s="527"/>
      <c r="GE20" s="528">
        <f t="shared" si="60"/>
        <v>0</v>
      </c>
      <c r="GF20" s="529">
        <f t="shared" si="171"/>
        <v>0</v>
      </c>
      <c r="GG20" s="527">
        <v>15.024404167261313</v>
      </c>
      <c r="GH20" s="528">
        <f t="shared" si="61"/>
        <v>0.28818268279008946</v>
      </c>
      <c r="GI20" s="529">
        <f t="shared" si="172"/>
        <v>0</v>
      </c>
      <c r="GJ20" s="527">
        <v>15.024404167261313</v>
      </c>
      <c r="GK20" s="528">
        <f t="shared" si="62"/>
        <v>0.28818268279008946</v>
      </c>
      <c r="GL20" s="529">
        <f t="shared" si="173"/>
        <v>0</v>
      </c>
      <c r="GM20" s="527"/>
      <c r="GN20" s="528">
        <f t="shared" si="63"/>
        <v>0</v>
      </c>
      <c r="GO20" s="529">
        <f t="shared" si="174"/>
        <v>0</v>
      </c>
      <c r="GP20" s="527">
        <v>40.065077779363499</v>
      </c>
      <c r="GQ20" s="528">
        <f t="shared" si="64"/>
        <v>0.76848715410690516</v>
      </c>
      <c r="GR20" s="529">
        <f t="shared" si="175"/>
        <v>0</v>
      </c>
      <c r="GS20" s="527">
        <v>240.39046667618101</v>
      </c>
      <c r="GT20" s="528">
        <f t="shared" si="65"/>
        <v>4.6109229246414314</v>
      </c>
      <c r="GU20" s="529">
        <f t="shared" si="176"/>
        <v>0</v>
      </c>
      <c r="GV20" s="527">
        <v>80.130155558726997</v>
      </c>
      <c r="GW20" s="528">
        <f t="shared" si="66"/>
        <v>1.5369743082138103</v>
      </c>
      <c r="GX20" s="529">
        <f t="shared" si="177"/>
        <v>0</v>
      </c>
      <c r="GY20" s="527"/>
      <c r="GZ20" s="528">
        <f t="shared" si="67"/>
        <v>0</v>
      </c>
      <c r="HA20" s="529">
        <f t="shared" si="178"/>
        <v>0</v>
      </c>
      <c r="HB20" s="527"/>
      <c r="HC20" s="528">
        <f t="shared" si="68"/>
        <v>0</v>
      </c>
      <c r="HD20" s="529">
        <f t="shared" si="179"/>
        <v>0</v>
      </c>
      <c r="HE20" s="527"/>
      <c r="HF20" s="528">
        <f t="shared" si="69"/>
        <v>0</v>
      </c>
      <c r="HG20" s="529">
        <f t="shared" si="180"/>
        <v>0</v>
      </c>
      <c r="HH20" s="527"/>
      <c r="HI20" s="528">
        <f t="shared" si="70"/>
        <v>0</v>
      </c>
      <c r="HJ20" s="529">
        <f t="shared" si="181"/>
        <v>0</v>
      </c>
      <c r="HK20" s="527"/>
      <c r="HL20" s="528">
        <f t="shared" si="71"/>
        <v>0</v>
      </c>
      <c r="HM20" s="529">
        <f t="shared" si="182"/>
        <v>0</v>
      </c>
      <c r="HN20" s="527">
        <v>887.44147281290157</v>
      </c>
      <c r="HO20" s="528">
        <f t="shared" si="72"/>
        <v>17.021990463467951</v>
      </c>
      <c r="HP20" s="529">
        <f t="shared" si="183"/>
        <v>0</v>
      </c>
      <c r="HQ20" s="527"/>
      <c r="HR20" s="528">
        <f t="shared" si="73"/>
        <v>0</v>
      </c>
      <c r="HS20" s="529">
        <f t="shared" si="184"/>
        <v>0</v>
      </c>
      <c r="HT20" s="527"/>
      <c r="HU20" s="528">
        <f t="shared" si="74"/>
        <v>0</v>
      </c>
      <c r="HV20" s="529">
        <f t="shared" si="185"/>
        <v>0</v>
      </c>
      <c r="HW20" s="527"/>
      <c r="HX20" s="528">
        <f t="shared" si="75"/>
        <v>0</v>
      </c>
      <c r="HY20" s="529">
        <f t="shared" si="186"/>
        <v>0</v>
      </c>
      <c r="HZ20" s="527"/>
      <c r="IA20" s="528">
        <f t="shared" si="76"/>
        <v>0</v>
      </c>
      <c r="IB20" s="529">
        <f t="shared" si="187"/>
        <v>0</v>
      </c>
      <c r="IC20" s="527"/>
      <c r="ID20" s="528">
        <f t="shared" si="77"/>
        <v>0</v>
      </c>
      <c r="IE20" s="529">
        <f t="shared" si="188"/>
        <v>0</v>
      </c>
      <c r="IF20" s="527"/>
      <c r="IG20" s="528">
        <f t="shared" si="78"/>
        <v>0</v>
      </c>
      <c r="IH20" s="529">
        <f t="shared" si="189"/>
        <v>0</v>
      </c>
      <c r="II20" s="527">
        <v>25.040673612102189</v>
      </c>
      <c r="IJ20" s="528">
        <f t="shared" si="79"/>
        <v>0.48030447131681575</v>
      </c>
      <c r="IK20" s="529">
        <f t="shared" si="190"/>
        <v>0</v>
      </c>
      <c r="IL20" s="527"/>
      <c r="IM20" s="528">
        <f t="shared" si="80"/>
        <v>0</v>
      </c>
      <c r="IN20" s="529">
        <f t="shared" si="191"/>
        <v>0</v>
      </c>
      <c r="IO20" s="527"/>
      <c r="IP20" s="528">
        <f t="shared" si="81"/>
        <v>0</v>
      </c>
      <c r="IQ20" s="529">
        <f t="shared" si="192"/>
        <v>0</v>
      </c>
      <c r="IR20" s="527">
        <v>50.081347224204379</v>
      </c>
      <c r="IS20" s="528">
        <f t="shared" si="82"/>
        <v>0.9606089426336315</v>
      </c>
      <c r="IT20" s="529">
        <f t="shared" si="193"/>
        <v>0</v>
      </c>
      <c r="IU20" s="527"/>
      <c r="IV20" s="528">
        <f t="shared" si="83"/>
        <v>0</v>
      </c>
      <c r="IW20" s="529">
        <f t="shared" si="194"/>
        <v>0</v>
      </c>
      <c r="IX20" s="527"/>
      <c r="IY20" s="528">
        <f t="shared" si="84"/>
        <v>0</v>
      </c>
      <c r="IZ20" s="529">
        <f t="shared" si="195"/>
        <v>0</v>
      </c>
      <c r="JA20" s="527"/>
      <c r="JB20" s="528">
        <f t="shared" si="85"/>
        <v>0</v>
      </c>
      <c r="JC20" s="529">
        <f t="shared" si="196"/>
        <v>0</v>
      </c>
      <c r="JD20" s="527"/>
      <c r="JE20" s="528">
        <f t="shared" si="86"/>
        <v>0</v>
      </c>
      <c r="JF20" s="529">
        <f t="shared" si="197"/>
        <v>0</v>
      </c>
      <c r="JG20" s="527"/>
      <c r="JH20" s="528">
        <f t="shared" si="87"/>
        <v>0</v>
      </c>
      <c r="JI20" s="529">
        <f t="shared" si="198"/>
        <v>0</v>
      </c>
      <c r="JJ20" s="527">
        <v>22.536606250891968</v>
      </c>
      <c r="JK20" s="529" t="str">
        <f t="shared" si="88"/>
        <v>0</v>
      </c>
      <c r="JL20" s="529" t="str">
        <f t="shared" si="89"/>
        <v>0</v>
      </c>
      <c r="JM20" s="527"/>
      <c r="JN20" s="529" t="str">
        <f t="shared" si="90"/>
        <v>0</v>
      </c>
      <c r="JO20" s="529" t="str">
        <f t="shared" si="91"/>
        <v>0</v>
      </c>
      <c r="JP20" s="527"/>
      <c r="JQ20" s="529" t="str">
        <f t="shared" si="92"/>
        <v>0</v>
      </c>
      <c r="JR20" s="529" t="str">
        <f t="shared" si="93"/>
        <v>0</v>
      </c>
      <c r="JS20" s="527"/>
      <c r="JT20" s="529" t="str">
        <f t="shared" si="94"/>
        <v>0</v>
      </c>
      <c r="JU20" s="529" t="str">
        <f t="shared" si="95"/>
        <v>0</v>
      </c>
      <c r="JV20" s="527"/>
      <c r="JW20" s="529" t="str">
        <f t="shared" si="96"/>
        <v>0</v>
      </c>
      <c r="JX20" s="529" t="str">
        <f t="shared" si="97"/>
        <v>0</v>
      </c>
      <c r="JY20" s="527"/>
      <c r="JZ20" s="529" t="str">
        <f t="shared" si="98"/>
        <v>0</v>
      </c>
      <c r="KA20" s="529" t="str">
        <f t="shared" si="99"/>
        <v>0</v>
      </c>
      <c r="KB20" s="527"/>
      <c r="KC20" s="529" t="str">
        <f t="shared" si="100"/>
        <v>0</v>
      </c>
      <c r="KD20" s="529" t="str">
        <f t="shared" si="101"/>
        <v>0</v>
      </c>
      <c r="KE20" s="527"/>
      <c r="KF20" s="529" t="str">
        <f t="shared" si="102"/>
        <v>0</v>
      </c>
      <c r="KG20" s="529" t="str">
        <f t="shared" si="103"/>
        <v>0</v>
      </c>
      <c r="KH20" s="527"/>
      <c r="KI20" s="529" t="str">
        <f t="shared" si="104"/>
        <v>0</v>
      </c>
      <c r="KJ20" s="529" t="str">
        <f t="shared" si="105"/>
        <v>0</v>
      </c>
      <c r="KK20" s="527"/>
      <c r="KL20" s="529" t="str">
        <f t="shared" si="106"/>
        <v>0</v>
      </c>
      <c r="KM20" s="529" t="str">
        <f t="shared" si="107"/>
        <v>0</v>
      </c>
      <c r="KN20" s="527"/>
      <c r="KO20" s="529" t="str">
        <f t="shared" si="108"/>
        <v>0</v>
      </c>
      <c r="KP20" s="529" t="str">
        <f t="shared" si="109"/>
        <v>0</v>
      </c>
      <c r="KQ20" s="527"/>
      <c r="KR20" s="529" t="str">
        <f t="shared" si="110"/>
        <v>0</v>
      </c>
      <c r="KS20" s="529" t="str">
        <f t="shared" si="111"/>
        <v>0</v>
      </c>
      <c r="KT20" s="529">
        <f t="shared" si="201"/>
        <v>0</v>
      </c>
      <c r="KU20" s="529">
        <f t="shared" si="202"/>
        <v>0</v>
      </c>
      <c r="KV20" s="268">
        <f t="shared" si="199"/>
        <v>2521.8700704456837</v>
      </c>
    </row>
    <row r="21" spans="1:309" ht="15" customHeight="1">
      <c r="A21" s="270">
        <f t="shared" si="200"/>
        <v>46094</v>
      </c>
      <c r="B21" s="271" t="str">
        <f>+Report1!B21</f>
        <v>Napkin/Towel</v>
      </c>
      <c r="C21" s="271" t="str">
        <f>+Report1!C21</f>
        <v>15,5/22</v>
      </c>
      <c r="D21" s="272">
        <f>+Report1!P21</f>
        <v>51.14</v>
      </c>
      <c r="E21" s="273">
        <f>+Report1!R21</f>
        <v>48.695</v>
      </c>
      <c r="F21" s="527"/>
      <c r="G21" s="528">
        <f t="shared" si="0"/>
        <v>0</v>
      </c>
      <c r="H21" s="529">
        <f t="shared" si="112"/>
        <v>0</v>
      </c>
      <c r="I21" s="527"/>
      <c r="J21" s="528">
        <f t="shared" si="1"/>
        <v>0</v>
      </c>
      <c r="K21" s="529">
        <f t="shared" si="113"/>
        <v>0</v>
      </c>
      <c r="L21" s="527"/>
      <c r="M21" s="528">
        <f t="shared" si="2"/>
        <v>0</v>
      </c>
      <c r="N21" s="529">
        <f t="shared" si="114"/>
        <v>0</v>
      </c>
      <c r="O21" s="527">
        <v>11.999999999999986</v>
      </c>
      <c r="P21" s="528">
        <f t="shared" si="3"/>
        <v>0.24643187185542634</v>
      </c>
      <c r="Q21" s="529">
        <f t="shared" si="115"/>
        <v>0</v>
      </c>
      <c r="R21" s="527"/>
      <c r="S21" s="528">
        <f t="shared" si="4"/>
        <v>0</v>
      </c>
      <c r="T21" s="529">
        <f t="shared" si="116"/>
        <v>0</v>
      </c>
      <c r="U21" s="527">
        <v>7.6875000000000142</v>
      </c>
      <c r="V21" s="528">
        <f t="shared" si="5"/>
        <v>0.15787041790738299</v>
      </c>
      <c r="W21" s="529">
        <f t="shared" si="117"/>
        <v>0</v>
      </c>
      <c r="X21" s="527"/>
      <c r="Y21" s="528">
        <f t="shared" si="6"/>
        <v>0</v>
      </c>
      <c r="Z21" s="529">
        <f t="shared" si="118"/>
        <v>0</v>
      </c>
      <c r="AA21" s="527">
        <v>7.8124999999999716</v>
      </c>
      <c r="AB21" s="528">
        <f t="shared" si="7"/>
        <v>0.16043741657254279</v>
      </c>
      <c r="AC21" s="529">
        <f t="shared" si="119"/>
        <v>0</v>
      </c>
      <c r="AD21" s="527"/>
      <c r="AE21" s="528">
        <f t="shared" si="8"/>
        <v>0</v>
      </c>
      <c r="AF21" s="529">
        <f t="shared" si="120"/>
        <v>0</v>
      </c>
      <c r="AG21" s="527"/>
      <c r="AH21" s="528">
        <f t="shared" si="9"/>
        <v>0</v>
      </c>
      <c r="AI21" s="529">
        <f t="shared" si="121"/>
        <v>0</v>
      </c>
      <c r="AJ21" s="527">
        <v>44.0625</v>
      </c>
      <c r="AK21" s="528">
        <f t="shared" si="10"/>
        <v>0.90486702946914466</v>
      </c>
      <c r="AL21" s="529">
        <f t="shared" si="122"/>
        <v>0</v>
      </c>
      <c r="AM21" s="527"/>
      <c r="AN21" s="528">
        <f t="shared" si="11"/>
        <v>0</v>
      </c>
      <c r="AO21" s="529">
        <f t="shared" si="123"/>
        <v>0</v>
      </c>
      <c r="AP21" s="527"/>
      <c r="AQ21" s="528">
        <f t="shared" si="12"/>
        <v>0</v>
      </c>
      <c r="AR21" s="529">
        <f t="shared" si="124"/>
        <v>0</v>
      </c>
      <c r="AS21" s="527"/>
      <c r="AT21" s="528">
        <f t="shared" si="13"/>
        <v>0</v>
      </c>
      <c r="AU21" s="529">
        <f t="shared" si="125"/>
        <v>0</v>
      </c>
      <c r="AV21" s="527"/>
      <c r="AW21" s="528">
        <f t="shared" si="14"/>
        <v>0</v>
      </c>
      <c r="AX21" s="529">
        <f t="shared" si="126"/>
        <v>0</v>
      </c>
      <c r="AY21" s="527"/>
      <c r="AZ21" s="528">
        <f t="shared" si="15"/>
        <v>0</v>
      </c>
      <c r="BA21" s="529">
        <f t="shared" si="127"/>
        <v>0</v>
      </c>
      <c r="BB21" s="527"/>
      <c r="BC21" s="528">
        <f t="shared" si="16"/>
        <v>0</v>
      </c>
      <c r="BD21" s="529">
        <f t="shared" si="128"/>
        <v>0</v>
      </c>
      <c r="BE21" s="527"/>
      <c r="BF21" s="528">
        <f t="shared" si="17"/>
        <v>0</v>
      </c>
      <c r="BG21" s="529">
        <f t="shared" si="129"/>
        <v>0</v>
      </c>
      <c r="BH21" s="527"/>
      <c r="BI21" s="528">
        <f t="shared" si="18"/>
        <v>0</v>
      </c>
      <c r="BJ21" s="529">
        <f t="shared" si="130"/>
        <v>0</v>
      </c>
      <c r="BK21" s="527"/>
      <c r="BL21" s="528">
        <f t="shared" si="19"/>
        <v>0</v>
      </c>
      <c r="BM21" s="529">
        <f t="shared" si="131"/>
        <v>0</v>
      </c>
      <c r="BN21" s="527"/>
      <c r="BO21" s="528">
        <f t="shared" si="20"/>
        <v>0</v>
      </c>
      <c r="BP21" s="529">
        <f t="shared" si="132"/>
        <v>0</v>
      </c>
      <c r="BQ21" s="527"/>
      <c r="BR21" s="528">
        <f t="shared" si="21"/>
        <v>0</v>
      </c>
      <c r="BS21" s="529">
        <f t="shared" si="133"/>
        <v>0</v>
      </c>
      <c r="BT21" s="527"/>
      <c r="BU21" s="528">
        <f t="shared" si="22"/>
        <v>0</v>
      </c>
      <c r="BV21" s="529">
        <f t="shared" si="134"/>
        <v>0</v>
      </c>
      <c r="BW21" s="527"/>
      <c r="BX21" s="528">
        <f t="shared" si="23"/>
        <v>0</v>
      </c>
      <c r="BY21" s="529">
        <f t="shared" si="135"/>
        <v>0</v>
      </c>
      <c r="BZ21" s="527"/>
      <c r="CA21" s="528">
        <f t="shared" si="24"/>
        <v>0</v>
      </c>
      <c r="CB21" s="529">
        <f t="shared" si="136"/>
        <v>0</v>
      </c>
      <c r="CC21" s="527"/>
      <c r="CD21" s="528">
        <f t="shared" si="25"/>
        <v>0</v>
      </c>
      <c r="CE21" s="529">
        <f t="shared" si="137"/>
        <v>0</v>
      </c>
      <c r="CF21" s="527">
        <v>4.5</v>
      </c>
      <c r="CG21" s="528">
        <f t="shared" si="26"/>
        <v>9.2411951945784984E-2</v>
      </c>
      <c r="CH21" s="529">
        <f t="shared" si="138"/>
        <v>0</v>
      </c>
      <c r="CI21" s="527"/>
      <c r="CJ21" s="528">
        <f t="shared" si="27"/>
        <v>0</v>
      </c>
      <c r="CK21" s="529">
        <f t="shared" si="139"/>
        <v>0</v>
      </c>
      <c r="CL21" s="527"/>
      <c r="CM21" s="528">
        <f t="shared" si="28"/>
        <v>0</v>
      </c>
      <c r="CN21" s="529">
        <f t="shared" si="140"/>
        <v>0</v>
      </c>
      <c r="CO21" s="527"/>
      <c r="CP21" s="528">
        <f t="shared" si="29"/>
        <v>0</v>
      </c>
      <c r="CQ21" s="529">
        <f t="shared" si="141"/>
        <v>0</v>
      </c>
      <c r="CR21" s="527"/>
      <c r="CS21" s="528">
        <f t="shared" si="30"/>
        <v>0</v>
      </c>
      <c r="CT21" s="529">
        <f t="shared" si="142"/>
        <v>0</v>
      </c>
      <c r="CU21" s="527"/>
      <c r="CV21" s="528">
        <f t="shared" si="31"/>
        <v>0</v>
      </c>
      <c r="CW21" s="529">
        <f t="shared" si="143"/>
        <v>0</v>
      </c>
      <c r="CX21" s="527"/>
      <c r="CY21" s="528">
        <f t="shared" si="32"/>
        <v>0</v>
      </c>
      <c r="CZ21" s="529">
        <f t="shared" si="144"/>
        <v>0</v>
      </c>
      <c r="DA21" s="527">
        <v>0</v>
      </c>
      <c r="DB21" s="528">
        <f t="shared" si="33"/>
        <v>0</v>
      </c>
      <c r="DC21" s="529">
        <f t="shared" si="145"/>
        <v>0</v>
      </c>
      <c r="DD21" s="527"/>
      <c r="DE21" s="528">
        <f t="shared" si="34"/>
        <v>0</v>
      </c>
      <c r="DF21" s="529">
        <f t="shared" si="146"/>
        <v>0</v>
      </c>
      <c r="DG21" s="527"/>
      <c r="DH21" s="528">
        <f t="shared" si="35"/>
        <v>0</v>
      </c>
      <c r="DI21" s="529">
        <f t="shared" si="203"/>
        <v>0</v>
      </c>
      <c r="DJ21" s="527"/>
      <c r="DK21" s="528">
        <f t="shared" si="36"/>
        <v>0</v>
      </c>
      <c r="DL21" s="529">
        <f t="shared" si="147"/>
        <v>0</v>
      </c>
      <c r="DM21" s="527"/>
      <c r="DN21" s="528">
        <f t="shared" si="37"/>
        <v>0</v>
      </c>
      <c r="DO21" s="529">
        <f t="shared" si="148"/>
        <v>0</v>
      </c>
      <c r="DP21" s="527"/>
      <c r="DQ21" s="528">
        <f t="shared" si="38"/>
        <v>0</v>
      </c>
      <c r="DR21" s="529">
        <f t="shared" si="149"/>
        <v>0</v>
      </c>
      <c r="DS21" s="527"/>
      <c r="DT21" s="528">
        <f t="shared" si="39"/>
        <v>0</v>
      </c>
      <c r="DU21" s="529">
        <f t="shared" si="150"/>
        <v>0</v>
      </c>
      <c r="DV21" s="527"/>
      <c r="DW21" s="528">
        <f t="shared" si="40"/>
        <v>0</v>
      </c>
      <c r="DX21" s="529">
        <f t="shared" si="151"/>
        <v>0</v>
      </c>
      <c r="DY21" s="527"/>
      <c r="DZ21" s="528">
        <f t="shared" si="41"/>
        <v>0</v>
      </c>
      <c r="EA21" s="529">
        <f t="shared" si="152"/>
        <v>0</v>
      </c>
      <c r="EB21" s="527">
        <v>767.44186046511652</v>
      </c>
      <c r="EC21" s="528">
        <f t="shared" si="42"/>
        <v>15.760177851219151</v>
      </c>
      <c r="ED21" s="529">
        <f t="shared" si="153"/>
        <v>0</v>
      </c>
      <c r="EE21" s="527">
        <v>14.534883720930239</v>
      </c>
      <c r="EF21" s="528">
        <f t="shared" si="43"/>
        <v>0.29848821687915061</v>
      </c>
      <c r="EG21" s="529">
        <f t="shared" si="154"/>
        <v>0</v>
      </c>
      <c r="EH21" s="527">
        <v>234.82352941176464</v>
      </c>
      <c r="EI21" s="528">
        <f t="shared" si="44"/>
        <v>4.8223334923865826</v>
      </c>
      <c r="EJ21" s="529">
        <f t="shared" si="155"/>
        <v>0</v>
      </c>
      <c r="EK21" s="527">
        <v>0</v>
      </c>
      <c r="EL21" s="528">
        <f t="shared" si="45"/>
        <v>0</v>
      </c>
      <c r="EM21" s="529">
        <f t="shared" si="156"/>
        <v>0</v>
      </c>
      <c r="EN21" s="527">
        <v>30.487804878048792</v>
      </c>
      <c r="EO21" s="528">
        <f t="shared" si="46"/>
        <v>0.62609723540504758</v>
      </c>
      <c r="EP21" s="529">
        <f t="shared" si="157"/>
        <v>0</v>
      </c>
      <c r="EQ21" s="527">
        <v>39.534883720930225</v>
      </c>
      <c r="ER21" s="528">
        <f t="shared" si="47"/>
        <v>0.8118879499112891</v>
      </c>
      <c r="ES21" s="529">
        <f t="shared" si="158"/>
        <v>0</v>
      </c>
      <c r="ET21" s="527"/>
      <c r="EU21" s="528">
        <f t="shared" si="48"/>
        <v>0</v>
      </c>
      <c r="EV21" s="529">
        <f t="shared" si="159"/>
        <v>0</v>
      </c>
      <c r="EW21" s="527"/>
      <c r="EX21" s="528">
        <f t="shared" si="49"/>
        <v>0</v>
      </c>
      <c r="EY21" s="529">
        <f t="shared" si="160"/>
        <v>0</v>
      </c>
      <c r="EZ21" s="527"/>
      <c r="FA21" s="528">
        <f t="shared" si="50"/>
        <v>0</v>
      </c>
      <c r="FB21" s="529">
        <f t="shared" si="161"/>
        <v>0</v>
      </c>
      <c r="FC21" s="527"/>
      <c r="FD21" s="528">
        <f t="shared" si="51"/>
        <v>0</v>
      </c>
      <c r="FE21" s="529">
        <f t="shared" si="162"/>
        <v>0</v>
      </c>
      <c r="FF21" s="527"/>
      <c r="FG21" s="528">
        <f t="shared" si="52"/>
        <v>0</v>
      </c>
      <c r="FH21" s="529">
        <f t="shared" si="163"/>
        <v>0</v>
      </c>
      <c r="FI21" s="527"/>
      <c r="FJ21" s="528">
        <f t="shared" si="53"/>
        <v>0</v>
      </c>
      <c r="FK21" s="529">
        <f t="shared" si="164"/>
        <v>0</v>
      </c>
      <c r="FL21" s="527"/>
      <c r="FM21" s="528">
        <f t="shared" si="54"/>
        <v>0</v>
      </c>
      <c r="FN21" s="529">
        <f t="shared" si="165"/>
        <v>0</v>
      </c>
      <c r="FO21" s="527"/>
      <c r="FP21" s="528">
        <f t="shared" si="55"/>
        <v>0</v>
      </c>
      <c r="FQ21" s="529">
        <f t="shared" si="166"/>
        <v>0</v>
      </c>
      <c r="FR21" s="527"/>
      <c r="FS21" s="528">
        <f t="shared" si="56"/>
        <v>0</v>
      </c>
      <c r="FT21" s="529">
        <f t="shared" si="167"/>
        <v>0</v>
      </c>
      <c r="FU21" s="527"/>
      <c r="FV21" s="528">
        <f t="shared" si="57"/>
        <v>0</v>
      </c>
      <c r="FW21" s="529">
        <f t="shared" si="168"/>
        <v>0</v>
      </c>
      <c r="FX21" s="527"/>
      <c r="FY21" s="528">
        <f t="shared" si="58"/>
        <v>0</v>
      </c>
      <c r="FZ21" s="529">
        <f t="shared" si="169"/>
        <v>0</v>
      </c>
      <c r="GA21" s="527"/>
      <c r="GB21" s="528">
        <f t="shared" si="59"/>
        <v>0</v>
      </c>
      <c r="GC21" s="529">
        <f t="shared" si="170"/>
        <v>0</v>
      </c>
      <c r="GD21" s="527"/>
      <c r="GE21" s="528">
        <f t="shared" si="60"/>
        <v>0</v>
      </c>
      <c r="GF21" s="529">
        <f t="shared" si="171"/>
        <v>0</v>
      </c>
      <c r="GG21" s="527">
        <v>17.202637244348765</v>
      </c>
      <c r="GH21" s="528">
        <f t="shared" si="61"/>
        <v>0.35327317474789538</v>
      </c>
      <c r="GI21" s="529">
        <f t="shared" si="172"/>
        <v>0</v>
      </c>
      <c r="GJ21" s="527">
        <v>17.202637244348765</v>
      </c>
      <c r="GK21" s="528">
        <f t="shared" si="62"/>
        <v>0.35327317474789538</v>
      </c>
      <c r="GL21" s="529">
        <f t="shared" si="173"/>
        <v>0</v>
      </c>
      <c r="GM21" s="527"/>
      <c r="GN21" s="528">
        <f t="shared" si="63"/>
        <v>0</v>
      </c>
      <c r="GO21" s="529">
        <f t="shared" si="174"/>
        <v>0</v>
      </c>
      <c r="GP21" s="527">
        <v>39.320313701368605</v>
      </c>
      <c r="GQ21" s="528">
        <f t="shared" si="64"/>
        <v>0.80748154228090363</v>
      </c>
      <c r="GR21" s="529">
        <f t="shared" si="175"/>
        <v>0</v>
      </c>
      <c r="GS21" s="527">
        <v>221.17676457019837</v>
      </c>
      <c r="GT21" s="528">
        <f t="shared" si="65"/>
        <v>4.5420836753300824</v>
      </c>
      <c r="GU21" s="529">
        <f t="shared" si="176"/>
        <v>0</v>
      </c>
      <c r="GV21" s="527">
        <v>78.640627402737209</v>
      </c>
      <c r="GW21" s="528">
        <f t="shared" si="66"/>
        <v>1.6149630845618073</v>
      </c>
      <c r="GX21" s="529">
        <f t="shared" si="177"/>
        <v>0</v>
      </c>
      <c r="GY21" s="527"/>
      <c r="GZ21" s="528">
        <f t="shared" si="67"/>
        <v>0</v>
      </c>
      <c r="HA21" s="529">
        <f t="shared" si="178"/>
        <v>0</v>
      </c>
      <c r="HB21" s="527"/>
      <c r="HC21" s="528">
        <f t="shared" si="68"/>
        <v>0</v>
      </c>
      <c r="HD21" s="529">
        <f t="shared" si="179"/>
        <v>0</v>
      </c>
      <c r="HE21" s="527"/>
      <c r="HF21" s="528">
        <f t="shared" si="69"/>
        <v>0</v>
      </c>
      <c r="HG21" s="529">
        <f t="shared" si="180"/>
        <v>0</v>
      </c>
      <c r="HH21" s="527"/>
      <c r="HI21" s="528">
        <f t="shared" si="70"/>
        <v>0</v>
      </c>
      <c r="HJ21" s="529">
        <f t="shared" si="181"/>
        <v>0</v>
      </c>
      <c r="HK21" s="527"/>
      <c r="HL21" s="528">
        <f t="shared" si="71"/>
        <v>0</v>
      </c>
      <c r="HM21" s="529">
        <f t="shared" si="182"/>
        <v>0</v>
      </c>
      <c r="HN21" s="527">
        <v>830.64162694141169</v>
      </c>
      <c r="HO21" s="528">
        <f t="shared" si="72"/>
        <v>17.058047580684089</v>
      </c>
      <c r="HP21" s="529">
        <f t="shared" si="183"/>
        <v>0</v>
      </c>
      <c r="HQ21" s="527"/>
      <c r="HR21" s="528">
        <f t="shared" si="73"/>
        <v>0</v>
      </c>
      <c r="HS21" s="529">
        <f t="shared" si="184"/>
        <v>0</v>
      </c>
      <c r="HT21" s="527"/>
      <c r="HU21" s="528">
        <f t="shared" si="74"/>
        <v>0</v>
      </c>
      <c r="HV21" s="529">
        <f t="shared" si="185"/>
        <v>0</v>
      </c>
      <c r="HW21" s="527"/>
      <c r="HX21" s="528">
        <f t="shared" si="75"/>
        <v>0</v>
      </c>
      <c r="HY21" s="529">
        <f t="shared" si="186"/>
        <v>0</v>
      </c>
      <c r="HZ21" s="527"/>
      <c r="IA21" s="528">
        <f t="shared" si="76"/>
        <v>0</v>
      </c>
      <c r="IB21" s="529">
        <f t="shared" si="187"/>
        <v>0</v>
      </c>
      <c r="IC21" s="527"/>
      <c r="ID21" s="528">
        <f t="shared" si="77"/>
        <v>0</v>
      </c>
      <c r="IE21" s="529">
        <f t="shared" si="188"/>
        <v>0</v>
      </c>
      <c r="IF21" s="527"/>
      <c r="IG21" s="528">
        <f t="shared" si="78"/>
        <v>0</v>
      </c>
      <c r="IH21" s="529">
        <f t="shared" si="189"/>
        <v>0</v>
      </c>
      <c r="II21" s="527">
        <v>24.575196063355374</v>
      </c>
      <c r="IJ21" s="528">
        <f t="shared" si="79"/>
        <v>0.50467596392556469</v>
      </c>
      <c r="IK21" s="529">
        <f t="shared" si="190"/>
        <v>0</v>
      </c>
      <c r="IL21" s="527"/>
      <c r="IM21" s="528">
        <f t="shared" si="80"/>
        <v>0</v>
      </c>
      <c r="IN21" s="529">
        <f t="shared" si="191"/>
        <v>0</v>
      </c>
      <c r="IO21" s="527"/>
      <c r="IP21" s="528">
        <f t="shared" si="81"/>
        <v>0</v>
      </c>
      <c r="IQ21" s="529">
        <f t="shared" si="192"/>
        <v>0</v>
      </c>
      <c r="IR21" s="527">
        <v>49.150392126710749</v>
      </c>
      <c r="IS21" s="528">
        <f t="shared" si="82"/>
        <v>1.0093519278511294</v>
      </c>
      <c r="IT21" s="529">
        <f t="shared" si="193"/>
        <v>0</v>
      </c>
      <c r="IU21" s="527"/>
      <c r="IV21" s="528">
        <f t="shared" si="83"/>
        <v>0</v>
      </c>
      <c r="IW21" s="529">
        <f t="shared" si="194"/>
        <v>0</v>
      </c>
      <c r="IX21" s="527"/>
      <c r="IY21" s="528">
        <f t="shared" si="84"/>
        <v>0</v>
      </c>
      <c r="IZ21" s="529">
        <f t="shared" si="195"/>
        <v>0</v>
      </c>
      <c r="JA21" s="527"/>
      <c r="JB21" s="528">
        <f t="shared" si="85"/>
        <v>0</v>
      </c>
      <c r="JC21" s="529">
        <f t="shared" si="196"/>
        <v>0</v>
      </c>
      <c r="JD21" s="527"/>
      <c r="JE21" s="528">
        <f t="shared" si="86"/>
        <v>0</v>
      </c>
      <c r="JF21" s="529">
        <f t="shared" si="197"/>
        <v>0</v>
      </c>
      <c r="JG21" s="527"/>
      <c r="JH21" s="528">
        <f t="shared" si="87"/>
        <v>0</v>
      </c>
      <c r="JI21" s="529">
        <f t="shared" si="198"/>
        <v>0</v>
      </c>
      <c r="JJ21" s="527">
        <v>24.575196063355374</v>
      </c>
      <c r="JK21" s="529" t="str">
        <f t="shared" si="88"/>
        <v>0</v>
      </c>
      <c r="JL21" s="529" t="str">
        <f t="shared" si="89"/>
        <v>0</v>
      </c>
      <c r="JM21" s="527"/>
      <c r="JN21" s="529" t="str">
        <f t="shared" si="90"/>
        <v>0</v>
      </c>
      <c r="JO21" s="529" t="str">
        <f t="shared" si="91"/>
        <v>0</v>
      </c>
      <c r="JP21" s="527"/>
      <c r="JQ21" s="529" t="str">
        <f t="shared" si="92"/>
        <v>0</v>
      </c>
      <c r="JR21" s="529" t="str">
        <f t="shared" si="93"/>
        <v>0</v>
      </c>
      <c r="JS21" s="527"/>
      <c r="JT21" s="529" t="str">
        <f t="shared" si="94"/>
        <v>0</v>
      </c>
      <c r="JU21" s="529" t="str">
        <f t="shared" si="95"/>
        <v>0</v>
      </c>
      <c r="JV21" s="527"/>
      <c r="JW21" s="529" t="str">
        <f t="shared" si="96"/>
        <v>0</v>
      </c>
      <c r="JX21" s="529" t="str">
        <f t="shared" si="97"/>
        <v>0</v>
      </c>
      <c r="JY21" s="527"/>
      <c r="JZ21" s="529" t="str">
        <f t="shared" si="98"/>
        <v>0</v>
      </c>
      <c r="KA21" s="529" t="str">
        <f t="shared" si="99"/>
        <v>0</v>
      </c>
      <c r="KB21" s="527"/>
      <c r="KC21" s="529" t="str">
        <f t="shared" si="100"/>
        <v>0</v>
      </c>
      <c r="KD21" s="529" t="str">
        <f t="shared" si="101"/>
        <v>0</v>
      </c>
      <c r="KE21" s="527"/>
      <c r="KF21" s="529" t="str">
        <f t="shared" si="102"/>
        <v>0</v>
      </c>
      <c r="KG21" s="529" t="str">
        <f t="shared" si="103"/>
        <v>0</v>
      </c>
      <c r="KH21" s="527"/>
      <c r="KI21" s="529" t="str">
        <f t="shared" si="104"/>
        <v>0</v>
      </c>
      <c r="KJ21" s="529" t="str">
        <f t="shared" si="105"/>
        <v>0</v>
      </c>
      <c r="KK21" s="527"/>
      <c r="KL21" s="529" t="str">
        <f t="shared" si="106"/>
        <v>0</v>
      </c>
      <c r="KM21" s="529" t="str">
        <f t="shared" si="107"/>
        <v>0</v>
      </c>
      <c r="KN21" s="527"/>
      <c r="KO21" s="529" t="str">
        <f t="shared" si="108"/>
        <v>0</v>
      </c>
      <c r="KP21" s="529" t="str">
        <f t="shared" si="109"/>
        <v>0</v>
      </c>
      <c r="KQ21" s="527"/>
      <c r="KR21" s="529" t="str">
        <f t="shared" si="110"/>
        <v>0</v>
      </c>
      <c r="KS21" s="529" t="str">
        <f t="shared" si="111"/>
        <v>0</v>
      </c>
      <c r="KT21" s="529">
        <f t="shared" si="201"/>
        <v>0</v>
      </c>
      <c r="KU21" s="529">
        <f t="shared" si="202"/>
        <v>0</v>
      </c>
      <c r="KV21" s="268">
        <f t="shared" si="199"/>
        <v>2465.3708535546252</v>
      </c>
    </row>
    <row r="22" spans="1:309" ht="15" customHeight="1">
      <c r="A22" s="270">
        <f t="shared" si="200"/>
        <v>46095</v>
      </c>
      <c r="B22" s="271" t="str">
        <f>+Report1!B22</f>
        <v>Towel</v>
      </c>
      <c r="C22" s="271" t="str">
        <f>+Report1!C22</f>
        <v>22</v>
      </c>
      <c r="D22" s="272">
        <f>+Report1!P22</f>
        <v>52.802999999999997</v>
      </c>
      <c r="E22" s="273">
        <f>+Report1!R22</f>
        <v>51.557000000000002</v>
      </c>
      <c r="F22" s="527"/>
      <c r="G22" s="528">
        <f t="shared" si="0"/>
        <v>0</v>
      </c>
      <c r="H22" s="529">
        <f t="shared" si="112"/>
        <v>0</v>
      </c>
      <c r="I22" s="527"/>
      <c r="J22" s="528">
        <f t="shared" si="1"/>
        <v>0</v>
      </c>
      <c r="K22" s="529">
        <f t="shared" si="113"/>
        <v>0</v>
      </c>
      <c r="L22" s="527"/>
      <c r="M22" s="528">
        <f t="shared" si="2"/>
        <v>0</v>
      </c>
      <c r="N22" s="529">
        <f t="shared" si="114"/>
        <v>0</v>
      </c>
      <c r="O22" s="527">
        <v>12</v>
      </c>
      <c r="P22" s="528">
        <f t="shared" si="3"/>
        <v>0.23275209961789864</v>
      </c>
      <c r="Q22" s="529">
        <f t="shared" si="115"/>
        <v>0</v>
      </c>
      <c r="R22" s="527"/>
      <c r="S22" s="528">
        <f t="shared" si="4"/>
        <v>0</v>
      </c>
      <c r="T22" s="529">
        <f t="shared" si="116"/>
        <v>0</v>
      </c>
      <c r="U22" s="527">
        <v>7.6875</v>
      </c>
      <c r="V22" s="528">
        <f t="shared" si="5"/>
        <v>0.14910681381771632</v>
      </c>
      <c r="W22" s="529">
        <f t="shared" si="117"/>
        <v>0</v>
      </c>
      <c r="X22" s="527"/>
      <c r="Y22" s="528">
        <f t="shared" si="6"/>
        <v>0</v>
      </c>
      <c r="Z22" s="529">
        <f t="shared" si="118"/>
        <v>0</v>
      </c>
      <c r="AA22" s="527">
        <v>6.25</v>
      </c>
      <c r="AB22" s="528">
        <f t="shared" si="7"/>
        <v>0.1212250518843222</v>
      </c>
      <c r="AC22" s="529">
        <f t="shared" si="119"/>
        <v>0</v>
      </c>
      <c r="AD22" s="527"/>
      <c r="AE22" s="528">
        <f t="shared" si="8"/>
        <v>0</v>
      </c>
      <c r="AF22" s="529">
        <f t="shared" si="120"/>
        <v>0</v>
      </c>
      <c r="AG22" s="527"/>
      <c r="AH22" s="528">
        <f t="shared" si="9"/>
        <v>0</v>
      </c>
      <c r="AI22" s="529">
        <f t="shared" si="121"/>
        <v>0</v>
      </c>
      <c r="AJ22" s="527">
        <v>27.906250000000007</v>
      </c>
      <c r="AK22" s="528">
        <f t="shared" si="10"/>
        <v>0.54126985666349881</v>
      </c>
      <c r="AL22" s="529">
        <f t="shared" si="122"/>
        <v>0</v>
      </c>
      <c r="AM22" s="527"/>
      <c r="AN22" s="528">
        <f t="shared" si="11"/>
        <v>0</v>
      </c>
      <c r="AO22" s="529">
        <f t="shared" si="123"/>
        <v>0</v>
      </c>
      <c r="AP22" s="527"/>
      <c r="AQ22" s="528">
        <f t="shared" si="12"/>
        <v>0</v>
      </c>
      <c r="AR22" s="529">
        <f t="shared" si="124"/>
        <v>0</v>
      </c>
      <c r="AS22" s="527"/>
      <c r="AT22" s="528">
        <f t="shared" si="13"/>
        <v>0</v>
      </c>
      <c r="AU22" s="529">
        <f t="shared" si="125"/>
        <v>0</v>
      </c>
      <c r="AV22" s="527"/>
      <c r="AW22" s="528">
        <f t="shared" si="14"/>
        <v>0</v>
      </c>
      <c r="AX22" s="529">
        <f t="shared" si="126"/>
        <v>0</v>
      </c>
      <c r="AY22" s="527"/>
      <c r="AZ22" s="528">
        <f t="shared" si="15"/>
        <v>0</v>
      </c>
      <c r="BA22" s="529">
        <f t="shared" si="127"/>
        <v>0</v>
      </c>
      <c r="BB22" s="527"/>
      <c r="BC22" s="528">
        <f t="shared" si="16"/>
        <v>0</v>
      </c>
      <c r="BD22" s="529">
        <f t="shared" si="128"/>
        <v>0</v>
      </c>
      <c r="BE22" s="527"/>
      <c r="BF22" s="528">
        <f t="shared" si="17"/>
        <v>0</v>
      </c>
      <c r="BG22" s="529">
        <f t="shared" si="129"/>
        <v>0</v>
      </c>
      <c r="BH22" s="527"/>
      <c r="BI22" s="528">
        <f t="shared" si="18"/>
        <v>0</v>
      </c>
      <c r="BJ22" s="529">
        <f t="shared" si="130"/>
        <v>0</v>
      </c>
      <c r="BK22" s="527"/>
      <c r="BL22" s="528">
        <f t="shared" si="19"/>
        <v>0</v>
      </c>
      <c r="BM22" s="529">
        <f t="shared" si="131"/>
        <v>0</v>
      </c>
      <c r="BN22" s="527"/>
      <c r="BO22" s="528">
        <f t="shared" si="20"/>
        <v>0</v>
      </c>
      <c r="BP22" s="529">
        <f t="shared" si="132"/>
        <v>0</v>
      </c>
      <c r="BQ22" s="527"/>
      <c r="BR22" s="528">
        <f t="shared" si="21"/>
        <v>0</v>
      </c>
      <c r="BS22" s="529">
        <f t="shared" si="133"/>
        <v>0</v>
      </c>
      <c r="BT22" s="527"/>
      <c r="BU22" s="528">
        <f t="shared" si="22"/>
        <v>0</v>
      </c>
      <c r="BV22" s="529">
        <f t="shared" si="134"/>
        <v>0</v>
      </c>
      <c r="BW22" s="527"/>
      <c r="BX22" s="528">
        <f t="shared" si="23"/>
        <v>0</v>
      </c>
      <c r="BY22" s="529">
        <f t="shared" si="135"/>
        <v>0</v>
      </c>
      <c r="BZ22" s="527"/>
      <c r="CA22" s="528">
        <f t="shared" si="24"/>
        <v>0</v>
      </c>
      <c r="CB22" s="529">
        <f t="shared" si="136"/>
        <v>0</v>
      </c>
      <c r="CC22" s="527">
        <v>7.5</v>
      </c>
      <c r="CD22" s="528">
        <f t="shared" si="25"/>
        <v>0.14547006226118664</v>
      </c>
      <c r="CE22" s="529">
        <f t="shared" si="137"/>
        <v>0</v>
      </c>
      <c r="CF22" s="527">
        <v>4.5</v>
      </c>
      <c r="CG22" s="528">
        <f t="shared" si="26"/>
        <v>8.7282037356711986E-2</v>
      </c>
      <c r="CH22" s="529">
        <f t="shared" si="138"/>
        <v>0</v>
      </c>
      <c r="CI22" s="527"/>
      <c r="CJ22" s="528">
        <f t="shared" si="27"/>
        <v>0</v>
      </c>
      <c r="CK22" s="529">
        <f t="shared" si="139"/>
        <v>0</v>
      </c>
      <c r="CL22" s="527"/>
      <c r="CM22" s="528">
        <f t="shared" si="28"/>
        <v>0</v>
      </c>
      <c r="CN22" s="529">
        <f t="shared" si="140"/>
        <v>0</v>
      </c>
      <c r="CO22" s="527"/>
      <c r="CP22" s="528">
        <f t="shared" si="29"/>
        <v>0</v>
      </c>
      <c r="CQ22" s="529">
        <f t="shared" si="141"/>
        <v>0</v>
      </c>
      <c r="CR22" s="527"/>
      <c r="CS22" s="528">
        <f t="shared" si="30"/>
        <v>0</v>
      </c>
      <c r="CT22" s="529">
        <f t="shared" si="142"/>
        <v>0</v>
      </c>
      <c r="CU22" s="527"/>
      <c r="CV22" s="528">
        <f t="shared" si="31"/>
        <v>0</v>
      </c>
      <c r="CW22" s="529">
        <f t="shared" si="143"/>
        <v>0</v>
      </c>
      <c r="CX22" s="527"/>
      <c r="CY22" s="528">
        <f t="shared" si="32"/>
        <v>0</v>
      </c>
      <c r="CZ22" s="529">
        <f t="shared" si="144"/>
        <v>0</v>
      </c>
      <c r="DA22" s="527">
        <v>0</v>
      </c>
      <c r="DB22" s="528">
        <f t="shared" si="33"/>
        <v>0</v>
      </c>
      <c r="DC22" s="529">
        <f t="shared" si="145"/>
        <v>0</v>
      </c>
      <c r="DD22" s="527"/>
      <c r="DE22" s="528">
        <f t="shared" si="34"/>
        <v>0</v>
      </c>
      <c r="DF22" s="529">
        <f t="shared" si="146"/>
        <v>0</v>
      </c>
      <c r="DG22" s="527"/>
      <c r="DH22" s="528">
        <f t="shared" si="35"/>
        <v>0</v>
      </c>
      <c r="DI22" s="529">
        <f t="shared" si="203"/>
        <v>0</v>
      </c>
      <c r="DJ22" s="527"/>
      <c r="DK22" s="528">
        <f t="shared" si="36"/>
        <v>0</v>
      </c>
      <c r="DL22" s="529">
        <f t="shared" si="147"/>
        <v>0</v>
      </c>
      <c r="DM22" s="527"/>
      <c r="DN22" s="528">
        <f t="shared" si="37"/>
        <v>0</v>
      </c>
      <c r="DO22" s="529">
        <f t="shared" si="148"/>
        <v>0</v>
      </c>
      <c r="DP22" s="527"/>
      <c r="DQ22" s="528">
        <f t="shared" si="38"/>
        <v>0</v>
      </c>
      <c r="DR22" s="529">
        <f t="shared" si="149"/>
        <v>0</v>
      </c>
      <c r="DS22" s="527"/>
      <c r="DT22" s="528">
        <f t="shared" si="39"/>
        <v>0</v>
      </c>
      <c r="DU22" s="529">
        <f t="shared" si="150"/>
        <v>0</v>
      </c>
      <c r="DV22" s="527"/>
      <c r="DW22" s="528">
        <f t="shared" si="40"/>
        <v>0</v>
      </c>
      <c r="DX22" s="529">
        <f t="shared" si="151"/>
        <v>0</v>
      </c>
      <c r="DY22" s="527"/>
      <c r="DZ22" s="528">
        <f t="shared" si="41"/>
        <v>0</v>
      </c>
      <c r="EA22" s="529">
        <f t="shared" si="152"/>
        <v>0</v>
      </c>
      <c r="EB22" s="527">
        <v>796.51162790697663</v>
      </c>
      <c r="EC22" s="528">
        <f t="shared" si="42"/>
        <v>15.449146147118269</v>
      </c>
      <c r="ED22" s="529">
        <f t="shared" si="153"/>
        <v>0</v>
      </c>
      <c r="EE22" s="527">
        <v>14.534883720930239</v>
      </c>
      <c r="EF22" s="528">
        <f t="shared" si="43"/>
        <v>0.28191872531237733</v>
      </c>
      <c r="EG22" s="529">
        <f t="shared" si="154"/>
        <v>0</v>
      </c>
      <c r="EH22" s="527">
        <v>234.82352941176464</v>
      </c>
      <c r="EI22" s="528">
        <f t="shared" si="44"/>
        <v>4.5546391258561325</v>
      </c>
      <c r="EJ22" s="529">
        <f t="shared" si="155"/>
        <v>0</v>
      </c>
      <c r="EK22" s="527">
        <v>0</v>
      </c>
      <c r="EL22" s="528">
        <f t="shared" si="45"/>
        <v>0</v>
      </c>
      <c r="EM22" s="529">
        <f t="shared" si="156"/>
        <v>0</v>
      </c>
      <c r="EN22" s="527">
        <v>24.390243902439124</v>
      </c>
      <c r="EO22" s="528">
        <f t="shared" si="46"/>
        <v>0.47307337320711296</v>
      </c>
      <c r="EP22" s="529">
        <f t="shared" si="157"/>
        <v>0</v>
      </c>
      <c r="EQ22" s="527">
        <v>34.593023255813961</v>
      </c>
      <c r="ER22" s="528">
        <f t="shared" si="47"/>
        <v>0.67096656624345785</v>
      </c>
      <c r="ES22" s="529">
        <f t="shared" si="158"/>
        <v>0</v>
      </c>
      <c r="ET22" s="527"/>
      <c r="EU22" s="528">
        <f t="shared" si="48"/>
        <v>0</v>
      </c>
      <c r="EV22" s="529">
        <f t="shared" si="159"/>
        <v>0</v>
      </c>
      <c r="EW22" s="527"/>
      <c r="EX22" s="528">
        <f t="shared" si="49"/>
        <v>0</v>
      </c>
      <c r="EY22" s="529">
        <f t="shared" si="160"/>
        <v>0</v>
      </c>
      <c r="EZ22" s="527"/>
      <c r="FA22" s="528">
        <f t="shared" si="50"/>
        <v>0</v>
      </c>
      <c r="FB22" s="529">
        <f t="shared" si="161"/>
        <v>0</v>
      </c>
      <c r="FC22" s="527"/>
      <c r="FD22" s="528">
        <f t="shared" si="51"/>
        <v>0</v>
      </c>
      <c r="FE22" s="529">
        <f t="shared" si="162"/>
        <v>0</v>
      </c>
      <c r="FF22" s="527"/>
      <c r="FG22" s="528">
        <f t="shared" si="52"/>
        <v>0</v>
      </c>
      <c r="FH22" s="529">
        <f t="shared" si="163"/>
        <v>0</v>
      </c>
      <c r="FI22" s="527"/>
      <c r="FJ22" s="528">
        <f t="shared" si="53"/>
        <v>0</v>
      </c>
      <c r="FK22" s="529">
        <f t="shared" si="164"/>
        <v>0</v>
      </c>
      <c r="FL22" s="527"/>
      <c r="FM22" s="528">
        <f t="shared" si="54"/>
        <v>0</v>
      </c>
      <c r="FN22" s="529">
        <f t="shared" si="165"/>
        <v>0</v>
      </c>
      <c r="FO22" s="527"/>
      <c r="FP22" s="528">
        <f t="shared" si="55"/>
        <v>0</v>
      </c>
      <c r="FQ22" s="529">
        <f t="shared" si="166"/>
        <v>0</v>
      </c>
      <c r="FR22" s="527"/>
      <c r="FS22" s="528">
        <f t="shared" si="56"/>
        <v>0</v>
      </c>
      <c r="FT22" s="529">
        <f t="shared" si="167"/>
        <v>0</v>
      </c>
      <c r="FU22" s="527"/>
      <c r="FV22" s="528">
        <f t="shared" si="57"/>
        <v>0</v>
      </c>
      <c r="FW22" s="529">
        <f t="shared" si="168"/>
        <v>0</v>
      </c>
      <c r="FX22" s="527"/>
      <c r="FY22" s="528">
        <f t="shared" si="58"/>
        <v>0</v>
      </c>
      <c r="FZ22" s="529">
        <f t="shared" si="169"/>
        <v>0</v>
      </c>
      <c r="GA22" s="527"/>
      <c r="GB22" s="528">
        <f t="shared" si="59"/>
        <v>0</v>
      </c>
      <c r="GC22" s="529">
        <f t="shared" si="170"/>
        <v>0</v>
      </c>
      <c r="GD22" s="527"/>
      <c r="GE22" s="528">
        <f t="shared" si="60"/>
        <v>0</v>
      </c>
      <c r="GF22" s="529">
        <f t="shared" si="171"/>
        <v>0</v>
      </c>
      <c r="GG22" s="527">
        <v>17.333567810917273</v>
      </c>
      <c r="GH22" s="528">
        <f t="shared" si="61"/>
        <v>0.33620202515501818</v>
      </c>
      <c r="GI22" s="529">
        <f t="shared" si="172"/>
        <v>0</v>
      </c>
      <c r="GJ22" s="527">
        <v>17.333567810917273</v>
      </c>
      <c r="GK22" s="528">
        <f t="shared" si="62"/>
        <v>0.33620202515501818</v>
      </c>
      <c r="GL22" s="529">
        <f t="shared" si="173"/>
        <v>0</v>
      </c>
      <c r="GM22" s="527"/>
      <c r="GN22" s="528">
        <f t="shared" si="63"/>
        <v>0</v>
      </c>
      <c r="GO22" s="529">
        <f t="shared" si="174"/>
        <v>0</v>
      </c>
      <c r="GP22" s="527">
        <v>39.619583567810913</v>
      </c>
      <c r="GQ22" s="528">
        <f t="shared" si="64"/>
        <v>0.76846177178289876</v>
      </c>
      <c r="GR22" s="529">
        <f t="shared" si="175"/>
        <v>0</v>
      </c>
      <c r="GS22" s="527">
        <v>247.62239729881821</v>
      </c>
      <c r="GT22" s="528">
        <f t="shared" si="65"/>
        <v>4.8028860736431174</v>
      </c>
      <c r="GU22" s="529">
        <f t="shared" si="176"/>
        <v>0</v>
      </c>
      <c r="GV22" s="527">
        <v>64.381823297692733</v>
      </c>
      <c r="GW22" s="528">
        <f t="shared" si="66"/>
        <v>1.2487503791472105</v>
      </c>
      <c r="GX22" s="529">
        <f t="shared" si="177"/>
        <v>0</v>
      </c>
      <c r="GY22" s="527"/>
      <c r="GZ22" s="528">
        <f t="shared" si="67"/>
        <v>0</v>
      </c>
      <c r="HA22" s="529">
        <f t="shared" si="178"/>
        <v>0</v>
      </c>
      <c r="HB22" s="527"/>
      <c r="HC22" s="528">
        <f t="shared" si="68"/>
        <v>0</v>
      </c>
      <c r="HD22" s="529">
        <f t="shared" si="179"/>
        <v>0</v>
      </c>
      <c r="HE22" s="527"/>
      <c r="HF22" s="528">
        <f t="shared" si="69"/>
        <v>0</v>
      </c>
      <c r="HG22" s="529">
        <f t="shared" si="180"/>
        <v>0</v>
      </c>
      <c r="HH22" s="527"/>
      <c r="HI22" s="528">
        <f t="shared" si="70"/>
        <v>0</v>
      </c>
      <c r="HJ22" s="529">
        <f t="shared" si="181"/>
        <v>0</v>
      </c>
      <c r="HK22" s="527"/>
      <c r="HL22" s="528">
        <f t="shared" si="71"/>
        <v>0</v>
      </c>
      <c r="HM22" s="529">
        <f t="shared" si="182"/>
        <v>0</v>
      </c>
      <c r="HN22" s="527">
        <v>787.43922341024188</v>
      </c>
      <c r="HO22" s="528">
        <f t="shared" si="72"/>
        <v>15.273177714185113</v>
      </c>
      <c r="HP22" s="529">
        <f t="shared" si="183"/>
        <v>0</v>
      </c>
      <c r="HQ22" s="527"/>
      <c r="HR22" s="528">
        <f t="shared" si="73"/>
        <v>0</v>
      </c>
      <c r="HS22" s="529">
        <f t="shared" si="184"/>
        <v>0</v>
      </c>
      <c r="HT22" s="527"/>
      <c r="HU22" s="528">
        <f t="shared" si="74"/>
        <v>0</v>
      </c>
      <c r="HV22" s="529">
        <f t="shared" si="185"/>
        <v>0</v>
      </c>
      <c r="HW22" s="527"/>
      <c r="HX22" s="528">
        <f t="shared" si="75"/>
        <v>0</v>
      </c>
      <c r="HY22" s="529">
        <f t="shared" si="186"/>
        <v>0</v>
      </c>
      <c r="HZ22" s="527"/>
      <c r="IA22" s="528">
        <f t="shared" si="76"/>
        <v>0</v>
      </c>
      <c r="IB22" s="529">
        <f t="shared" si="187"/>
        <v>0</v>
      </c>
      <c r="IC22" s="527"/>
      <c r="ID22" s="528">
        <f t="shared" si="77"/>
        <v>0</v>
      </c>
      <c r="IE22" s="529">
        <f t="shared" si="188"/>
        <v>0</v>
      </c>
      <c r="IF22" s="527"/>
      <c r="IG22" s="528">
        <f t="shared" si="78"/>
        <v>0</v>
      </c>
      <c r="IH22" s="529">
        <f t="shared" si="189"/>
        <v>0</v>
      </c>
      <c r="II22" s="527">
        <v>24.76223972988182</v>
      </c>
      <c r="IJ22" s="528">
        <f t="shared" si="79"/>
        <v>0.48028860736431173</v>
      </c>
      <c r="IK22" s="529">
        <f t="shared" si="190"/>
        <v>0</v>
      </c>
      <c r="IL22" s="527"/>
      <c r="IM22" s="528">
        <f t="shared" si="80"/>
        <v>0</v>
      </c>
      <c r="IN22" s="529">
        <f t="shared" si="191"/>
        <v>0</v>
      </c>
      <c r="IO22" s="527"/>
      <c r="IP22" s="528">
        <f t="shared" si="81"/>
        <v>0</v>
      </c>
      <c r="IQ22" s="529">
        <f t="shared" si="192"/>
        <v>0</v>
      </c>
      <c r="IR22" s="527">
        <v>49.52447945976364</v>
      </c>
      <c r="IS22" s="528">
        <f t="shared" si="82"/>
        <v>0.96057721472862345</v>
      </c>
      <c r="IT22" s="529">
        <f t="shared" si="193"/>
        <v>0</v>
      </c>
      <c r="IU22" s="527"/>
      <c r="IV22" s="528">
        <f t="shared" si="83"/>
        <v>0</v>
      </c>
      <c r="IW22" s="529">
        <f t="shared" si="194"/>
        <v>0</v>
      </c>
      <c r="IX22" s="527"/>
      <c r="IY22" s="528">
        <f t="shared" si="84"/>
        <v>0</v>
      </c>
      <c r="IZ22" s="529">
        <f t="shared" si="195"/>
        <v>0</v>
      </c>
      <c r="JA22" s="527"/>
      <c r="JB22" s="528">
        <f t="shared" si="85"/>
        <v>0</v>
      </c>
      <c r="JC22" s="529">
        <f t="shared" si="196"/>
        <v>0</v>
      </c>
      <c r="JD22" s="527"/>
      <c r="JE22" s="528">
        <f t="shared" si="86"/>
        <v>0</v>
      </c>
      <c r="JF22" s="529">
        <f t="shared" si="197"/>
        <v>0</v>
      </c>
      <c r="JG22" s="527"/>
      <c r="JH22" s="528">
        <f t="shared" si="87"/>
        <v>0</v>
      </c>
      <c r="JI22" s="529">
        <f t="shared" si="198"/>
        <v>0</v>
      </c>
      <c r="JJ22" s="527">
        <v>24.76223972988182</v>
      </c>
      <c r="JK22" s="529" t="str">
        <f t="shared" si="88"/>
        <v>0</v>
      </c>
      <c r="JL22" s="529" t="str">
        <f t="shared" si="89"/>
        <v>0</v>
      </c>
      <c r="JM22" s="527"/>
      <c r="JN22" s="529" t="str">
        <f t="shared" si="90"/>
        <v>0</v>
      </c>
      <c r="JO22" s="529" t="str">
        <f t="shared" si="91"/>
        <v>0</v>
      </c>
      <c r="JP22" s="527"/>
      <c r="JQ22" s="529" t="str">
        <f t="shared" si="92"/>
        <v>0</v>
      </c>
      <c r="JR22" s="529" t="str">
        <f t="shared" si="93"/>
        <v>0</v>
      </c>
      <c r="JS22" s="527"/>
      <c r="JT22" s="529" t="str">
        <f t="shared" si="94"/>
        <v>0</v>
      </c>
      <c r="JU22" s="529" t="str">
        <f t="shared" si="95"/>
        <v>0</v>
      </c>
      <c r="JV22" s="527"/>
      <c r="JW22" s="529" t="str">
        <f t="shared" si="96"/>
        <v>0</v>
      </c>
      <c r="JX22" s="529" t="str">
        <f t="shared" si="97"/>
        <v>0</v>
      </c>
      <c r="JY22" s="527"/>
      <c r="JZ22" s="529" t="str">
        <f t="shared" si="98"/>
        <v>0</v>
      </c>
      <c r="KA22" s="529" t="str">
        <f t="shared" si="99"/>
        <v>0</v>
      </c>
      <c r="KB22" s="527"/>
      <c r="KC22" s="529" t="str">
        <f t="shared" si="100"/>
        <v>0</v>
      </c>
      <c r="KD22" s="529" t="str">
        <f t="shared" si="101"/>
        <v>0</v>
      </c>
      <c r="KE22" s="527"/>
      <c r="KF22" s="529" t="str">
        <f t="shared" si="102"/>
        <v>0</v>
      </c>
      <c r="KG22" s="529" t="str">
        <f t="shared" si="103"/>
        <v>0</v>
      </c>
      <c r="KH22" s="527"/>
      <c r="KI22" s="529" t="str">
        <f t="shared" si="104"/>
        <v>0</v>
      </c>
      <c r="KJ22" s="529" t="str">
        <f t="shared" si="105"/>
        <v>0</v>
      </c>
      <c r="KK22" s="527"/>
      <c r="KL22" s="529" t="str">
        <f t="shared" si="106"/>
        <v>0</v>
      </c>
      <c r="KM22" s="529" t="str">
        <f t="shared" si="107"/>
        <v>0</v>
      </c>
      <c r="KN22" s="527"/>
      <c r="KO22" s="529" t="str">
        <f t="shared" si="108"/>
        <v>0</v>
      </c>
      <c r="KP22" s="529" t="str">
        <f t="shared" si="109"/>
        <v>0</v>
      </c>
      <c r="KQ22" s="527"/>
      <c r="KR22" s="529" t="str">
        <f t="shared" si="110"/>
        <v>0</v>
      </c>
      <c r="KS22" s="529" t="str">
        <f t="shared" si="111"/>
        <v>0</v>
      </c>
      <c r="KT22" s="529">
        <f t="shared" si="201"/>
        <v>0</v>
      </c>
      <c r="KU22" s="529">
        <f t="shared" si="202"/>
        <v>0</v>
      </c>
      <c r="KV22" s="268">
        <f t="shared" si="199"/>
        <v>2443.4761803138504</v>
      </c>
    </row>
    <row r="23" spans="1:309" ht="15" customHeight="1">
      <c r="A23" s="270">
        <f t="shared" si="200"/>
        <v>46096</v>
      </c>
      <c r="B23" s="271" t="str">
        <f>+Report1!B23</f>
        <v>Towel</v>
      </c>
      <c r="C23" s="271" t="str">
        <f>+Report1!C23</f>
        <v>22</v>
      </c>
      <c r="D23" s="272">
        <f>+Report1!P23</f>
        <v>52.868000000000002</v>
      </c>
      <c r="E23" s="273">
        <f>+Report1!R23</f>
        <v>52.259</v>
      </c>
      <c r="F23" s="527"/>
      <c r="G23" s="528">
        <f t="shared" si="0"/>
        <v>0</v>
      </c>
      <c r="H23" s="529">
        <f t="shared" si="112"/>
        <v>0</v>
      </c>
      <c r="I23" s="527"/>
      <c r="J23" s="528">
        <f t="shared" si="1"/>
        <v>0</v>
      </c>
      <c r="K23" s="529">
        <f t="shared" si="113"/>
        <v>0</v>
      </c>
      <c r="L23" s="527"/>
      <c r="M23" s="528">
        <f t="shared" si="2"/>
        <v>0</v>
      </c>
      <c r="N23" s="529">
        <f t="shared" si="114"/>
        <v>0</v>
      </c>
      <c r="O23" s="527">
        <v>12</v>
      </c>
      <c r="P23" s="528">
        <f t="shared" si="3"/>
        <v>0.22962551904935036</v>
      </c>
      <c r="Q23" s="529">
        <f t="shared" si="115"/>
        <v>0</v>
      </c>
      <c r="R23" s="527"/>
      <c r="S23" s="528">
        <f t="shared" si="4"/>
        <v>0</v>
      </c>
      <c r="T23" s="529">
        <f t="shared" si="116"/>
        <v>0</v>
      </c>
      <c r="U23" s="527">
        <v>7.6875</v>
      </c>
      <c r="V23" s="528">
        <f t="shared" si="5"/>
        <v>0.14710384814099006</v>
      </c>
      <c r="W23" s="529">
        <f t="shared" si="117"/>
        <v>0</v>
      </c>
      <c r="X23" s="527"/>
      <c r="Y23" s="528">
        <f t="shared" si="6"/>
        <v>0</v>
      </c>
      <c r="Z23" s="529">
        <f t="shared" si="118"/>
        <v>0</v>
      </c>
      <c r="AA23" s="527">
        <v>6.25</v>
      </c>
      <c r="AB23" s="528">
        <f t="shared" si="7"/>
        <v>0.11959662450486998</v>
      </c>
      <c r="AC23" s="529">
        <f t="shared" si="119"/>
        <v>0</v>
      </c>
      <c r="AD23" s="527"/>
      <c r="AE23" s="528">
        <f t="shared" si="8"/>
        <v>0</v>
      </c>
      <c r="AF23" s="529">
        <f t="shared" si="120"/>
        <v>0</v>
      </c>
      <c r="AG23" s="527"/>
      <c r="AH23" s="528">
        <f t="shared" si="9"/>
        <v>0</v>
      </c>
      <c r="AI23" s="529">
        <f t="shared" si="121"/>
        <v>0</v>
      </c>
      <c r="AJ23" s="527">
        <v>27.906250000000007</v>
      </c>
      <c r="AK23" s="528">
        <f t="shared" si="10"/>
        <v>0.53399892841424457</v>
      </c>
      <c r="AL23" s="529">
        <f t="shared" si="122"/>
        <v>0</v>
      </c>
      <c r="AM23" s="527"/>
      <c r="AN23" s="528">
        <f t="shared" si="11"/>
        <v>0</v>
      </c>
      <c r="AO23" s="529">
        <f t="shared" si="123"/>
        <v>0</v>
      </c>
      <c r="AP23" s="527"/>
      <c r="AQ23" s="528">
        <f t="shared" si="12"/>
        <v>0</v>
      </c>
      <c r="AR23" s="529">
        <f t="shared" si="124"/>
        <v>0</v>
      </c>
      <c r="AS23" s="527"/>
      <c r="AT23" s="528">
        <f t="shared" si="13"/>
        <v>0</v>
      </c>
      <c r="AU23" s="529">
        <f t="shared" si="125"/>
        <v>0</v>
      </c>
      <c r="AV23" s="527"/>
      <c r="AW23" s="528">
        <f t="shared" si="14"/>
        <v>0</v>
      </c>
      <c r="AX23" s="529">
        <f t="shared" si="126"/>
        <v>0</v>
      </c>
      <c r="AY23" s="527"/>
      <c r="AZ23" s="528">
        <f t="shared" si="15"/>
        <v>0</v>
      </c>
      <c r="BA23" s="529">
        <f t="shared" si="127"/>
        <v>0</v>
      </c>
      <c r="BB23" s="527"/>
      <c r="BC23" s="528">
        <f t="shared" si="16"/>
        <v>0</v>
      </c>
      <c r="BD23" s="529">
        <f t="shared" si="128"/>
        <v>0</v>
      </c>
      <c r="BE23" s="527"/>
      <c r="BF23" s="528">
        <f t="shared" si="17"/>
        <v>0</v>
      </c>
      <c r="BG23" s="529">
        <f t="shared" si="129"/>
        <v>0</v>
      </c>
      <c r="BH23" s="527"/>
      <c r="BI23" s="528">
        <f t="shared" si="18"/>
        <v>0</v>
      </c>
      <c r="BJ23" s="529">
        <f t="shared" si="130"/>
        <v>0</v>
      </c>
      <c r="BK23" s="527"/>
      <c r="BL23" s="528">
        <f t="shared" si="19"/>
        <v>0</v>
      </c>
      <c r="BM23" s="529">
        <f t="shared" si="131"/>
        <v>0</v>
      </c>
      <c r="BN23" s="527"/>
      <c r="BO23" s="528">
        <f t="shared" si="20"/>
        <v>0</v>
      </c>
      <c r="BP23" s="529">
        <f t="shared" si="132"/>
        <v>0</v>
      </c>
      <c r="BQ23" s="527"/>
      <c r="BR23" s="528">
        <f t="shared" si="21"/>
        <v>0</v>
      </c>
      <c r="BS23" s="529">
        <f t="shared" si="133"/>
        <v>0</v>
      </c>
      <c r="BT23" s="527"/>
      <c r="BU23" s="528">
        <f t="shared" si="22"/>
        <v>0</v>
      </c>
      <c r="BV23" s="529">
        <f t="shared" si="134"/>
        <v>0</v>
      </c>
      <c r="BW23" s="527"/>
      <c r="BX23" s="528">
        <f t="shared" si="23"/>
        <v>0</v>
      </c>
      <c r="BY23" s="529">
        <f t="shared" si="135"/>
        <v>0</v>
      </c>
      <c r="BZ23" s="527"/>
      <c r="CA23" s="528">
        <f t="shared" si="24"/>
        <v>0</v>
      </c>
      <c r="CB23" s="529">
        <f t="shared" si="136"/>
        <v>0</v>
      </c>
      <c r="CC23" s="527">
        <v>7.5</v>
      </c>
      <c r="CD23" s="528">
        <f t="shared" si="25"/>
        <v>0.14351594940584397</v>
      </c>
      <c r="CE23" s="529">
        <f t="shared" si="137"/>
        <v>0</v>
      </c>
      <c r="CF23" s="527">
        <v>4.5</v>
      </c>
      <c r="CG23" s="528">
        <f t="shared" si="26"/>
        <v>8.6109569643506384E-2</v>
      </c>
      <c r="CH23" s="529">
        <f t="shared" si="138"/>
        <v>0</v>
      </c>
      <c r="CI23" s="527"/>
      <c r="CJ23" s="528">
        <f t="shared" si="27"/>
        <v>0</v>
      </c>
      <c r="CK23" s="529">
        <f t="shared" si="139"/>
        <v>0</v>
      </c>
      <c r="CL23" s="527"/>
      <c r="CM23" s="528">
        <f t="shared" si="28"/>
        <v>0</v>
      </c>
      <c r="CN23" s="529">
        <f t="shared" si="140"/>
        <v>0</v>
      </c>
      <c r="CO23" s="527"/>
      <c r="CP23" s="528">
        <f t="shared" si="29"/>
        <v>0</v>
      </c>
      <c r="CQ23" s="529">
        <f t="shared" si="141"/>
        <v>0</v>
      </c>
      <c r="CR23" s="527"/>
      <c r="CS23" s="528">
        <f t="shared" si="30"/>
        <v>0</v>
      </c>
      <c r="CT23" s="529">
        <f t="shared" si="142"/>
        <v>0</v>
      </c>
      <c r="CU23" s="527"/>
      <c r="CV23" s="528">
        <f t="shared" si="31"/>
        <v>0</v>
      </c>
      <c r="CW23" s="529">
        <f t="shared" si="143"/>
        <v>0</v>
      </c>
      <c r="CX23" s="527"/>
      <c r="CY23" s="528">
        <f t="shared" si="32"/>
        <v>0</v>
      </c>
      <c r="CZ23" s="529">
        <f t="shared" si="144"/>
        <v>0</v>
      </c>
      <c r="DA23" s="527">
        <v>0</v>
      </c>
      <c r="DB23" s="528">
        <f t="shared" si="33"/>
        <v>0</v>
      </c>
      <c r="DC23" s="529">
        <f t="shared" si="145"/>
        <v>0</v>
      </c>
      <c r="DD23" s="527"/>
      <c r="DE23" s="528">
        <f t="shared" si="34"/>
        <v>0</v>
      </c>
      <c r="DF23" s="529">
        <f t="shared" si="146"/>
        <v>0</v>
      </c>
      <c r="DG23" s="527"/>
      <c r="DH23" s="528">
        <f t="shared" si="35"/>
        <v>0</v>
      </c>
      <c r="DI23" s="529">
        <f t="shared" si="203"/>
        <v>0</v>
      </c>
      <c r="DJ23" s="527"/>
      <c r="DK23" s="528">
        <f t="shared" si="36"/>
        <v>0</v>
      </c>
      <c r="DL23" s="529">
        <f t="shared" si="147"/>
        <v>0</v>
      </c>
      <c r="DM23" s="527"/>
      <c r="DN23" s="528">
        <f t="shared" si="37"/>
        <v>0</v>
      </c>
      <c r="DO23" s="529">
        <f t="shared" si="148"/>
        <v>0</v>
      </c>
      <c r="DP23" s="527"/>
      <c r="DQ23" s="528">
        <f t="shared" si="38"/>
        <v>0</v>
      </c>
      <c r="DR23" s="529">
        <f t="shared" si="149"/>
        <v>0</v>
      </c>
      <c r="DS23" s="527"/>
      <c r="DT23" s="528">
        <f t="shared" si="39"/>
        <v>0</v>
      </c>
      <c r="DU23" s="529">
        <f t="shared" si="150"/>
        <v>0</v>
      </c>
      <c r="DV23" s="527"/>
      <c r="DW23" s="528">
        <f t="shared" si="40"/>
        <v>0</v>
      </c>
      <c r="DX23" s="529">
        <f t="shared" si="151"/>
        <v>0</v>
      </c>
      <c r="DY23" s="527"/>
      <c r="DZ23" s="528">
        <f t="shared" si="41"/>
        <v>0</v>
      </c>
      <c r="EA23" s="529">
        <f t="shared" si="152"/>
        <v>0</v>
      </c>
      <c r="EB23" s="527">
        <v>796.51162790697663</v>
      </c>
      <c r="EC23" s="528">
        <f t="shared" si="42"/>
        <v>15.241616332248544</v>
      </c>
      <c r="ED23" s="529">
        <f t="shared" si="153"/>
        <v>0</v>
      </c>
      <c r="EE23" s="527">
        <v>14.534883720930239</v>
      </c>
      <c r="EF23" s="528">
        <f t="shared" si="43"/>
        <v>0.27813168489504658</v>
      </c>
      <c r="EG23" s="529">
        <f t="shared" si="154"/>
        <v>0</v>
      </c>
      <c r="EH23" s="527">
        <v>234.82352941176464</v>
      </c>
      <c r="EI23" s="528">
        <f t="shared" si="44"/>
        <v>4.4934562355147367</v>
      </c>
      <c r="EJ23" s="529">
        <f t="shared" si="155"/>
        <v>0</v>
      </c>
      <c r="EK23" s="527">
        <v>0</v>
      </c>
      <c r="EL23" s="528">
        <f t="shared" si="45"/>
        <v>0</v>
      </c>
      <c r="EM23" s="529">
        <f t="shared" si="156"/>
        <v>0</v>
      </c>
      <c r="EN23" s="527">
        <v>24.390243902439124</v>
      </c>
      <c r="EO23" s="528">
        <f t="shared" si="46"/>
        <v>0.46671853465315305</v>
      </c>
      <c r="EP23" s="529">
        <f t="shared" si="157"/>
        <v>0</v>
      </c>
      <c r="EQ23" s="527">
        <v>34.593023255813961</v>
      </c>
      <c r="ER23" s="528">
        <f t="shared" si="47"/>
        <v>0.66195341005021069</v>
      </c>
      <c r="ES23" s="529">
        <f t="shared" si="158"/>
        <v>0</v>
      </c>
      <c r="ET23" s="527"/>
      <c r="EU23" s="528">
        <f t="shared" si="48"/>
        <v>0</v>
      </c>
      <c r="EV23" s="529">
        <f t="shared" si="159"/>
        <v>0</v>
      </c>
      <c r="EW23" s="527"/>
      <c r="EX23" s="528">
        <f t="shared" si="49"/>
        <v>0</v>
      </c>
      <c r="EY23" s="529">
        <f t="shared" si="160"/>
        <v>0</v>
      </c>
      <c r="EZ23" s="527"/>
      <c r="FA23" s="528">
        <f t="shared" si="50"/>
        <v>0</v>
      </c>
      <c r="FB23" s="529">
        <f t="shared" si="161"/>
        <v>0</v>
      </c>
      <c r="FC23" s="527"/>
      <c r="FD23" s="528">
        <f t="shared" si="51"/>
        <v>0</v>
      </c>
      <c r="FE23" s="529">
        <f t="shared" si="162"/>
        <v>0</v>
      </c>
      <c r="FF23" s="527"/>
      <c r="FG23" s="528">
        <f t="shared" si="52"/>
        <v>0</v>
      </c>
      <c r="FH23" s="529">
        <f t="shared" si="163"/>
        <v>0</v>
      </c>
      <c r="FI23" s="527"/>
      <c r="FJ23" s="528">
        <f t="shared" si="53"/>
        <v>0</v>
      </c>
      <c r="FK23" s="529">
        <f t="shared" si="164"/>
        <v>0</v>
      </c>
      <c r="FL23" s="527"/>
      <c r="FM23" s="528">
        <f t="shared" si="54"/>
        <v>0</v>
      </c>
      <c r="FN23" s="529">
        <f t="shared" si="165"/>
        <v>0</v>
      </c>
      <c r="FO23" s="527"/>
      <c r="FP23" s="528">
        <f t="shared" si="55"/>
        <v>0</v>
      </c>
      <c r="FQ23" s="529">
        <f t="shared" si="166"/>
        <v>0</v>
      </c>
      <c r="FR23" s="527"/>
      <c r="FS23" s="528">
        <f t="shared" si="56"/>
        <v>0</v>
      </c>
      <c r="FT23" s="529">
        <f t="shared" si="167"/>
        <v>0</v>
      </c>
      <c r="FU23" s="527"/>
      <c r="FV23" s="528">
        <f t="shared" si="57"/>
        <v>0</v>
      </c>
      <c r="FW23" s="529">
        <f t="shared" si="168"/>
        <v>0</v>
      </c>
      <c r="FX23" s="527"/>
      <c r="FY23" s="528">
        <f t="shared" si="58"/>
        <v>0</v>
      </c>
      <c r="FZ23" s="529">
        <f t="shared" si="169"/>
        <v>0</v>
      </c>
      <c r="GA23" s="527"/>
      <c r="GB23" s="528">
        <f t="shared" si="59"/>
        <v>0</v>
      </c>
      <c r="GC23" s="529">
        <f t="shared" si="170"/>
        <v>0</v>
      </c>
      <c r="GD23" s="527"/>
      <c r="GE23" s="528">
        <f t="shared" si="60"/>
        <v>0</v>
      </c>
      <c r="GF23" s="529">
        <f t="shared" si="171"/>
        <v>0</v>
      </c>
      <c r="GG23" s="527">
        <v>17.989830541431306</v>
      </c>
      <c r="GH23" s="528">
        <f t="shared" si="61"/>
        <v>0.34424368130716826</v>
      </c>
      <c r="GI23" s="529">
        <f t="shared" si="172"/>
        <v>0</v>
      </c>
      <c r="GJ23" s="527">
        <v>17.989830541431306</v>
      </c>
      <c r="GK23" s="528">
        <f t="shared" si="62"/>
        <v>0.34424368130716826</v>
      </c>
      <c r="GL23" s="529">
        <f t="shared" si="173"/>
        <v>0</v>
      </c>
      <c r="GM23" s="527"/>
      <c r="GN23" s="528">
        <f t="shared" si="63"/>
        <v>0</v>
      </c>
      <c r="GO23" s="529">
        <f t="shared" si="174"/>
        <v>0</v>
      </c>
      <c r="GP23" s="527">
        <v>41.119612666128702</v>
      </c>
      <c r="GQ23" s="528">
        <f t="shared" si="64"/>
        <v>0.78684270013067037</v>
      </c>
      <c r="GR23" s="529">
        <f t="shared" si="175"/>
        <v>0</v>
      </c>
      <c r="GS23" s="527">
        <v>256.99757916330441</v>
      </c>
      <c r="GT23" s="528">
        <f t="shared" si="65"/>
        <v>4.9177668758166897</v>
      </c>
      <c r="GU23" s="529">
        <f t="shared" si="176"/>
        <v>0</v>
      </c>
      <c r="GV23" s="527">
        <v>77.099273748991322</v>
      </c>
      <c r="GW23" s="528">
        <f t="shared" si="66"/>
        <v>1.475330062745007</v>
      </c>
      <c r="GX23" s="529">
        <f t="shared" si="177"/>
        <v>0</v>
      </c>
      <c r="GY23" s="527"/>
      <c r="GZ23" s="528">
        <f t="shared" si="67"/>
        <v>0</v>
      </c>
      <c r="HA23" s="529">
        <f t="shared" si="178"/>
        <v>0</v>
      </c>
      <c r="HB23" s="527"/>
      <c r="HC23" s="528">
        <f t="shared" si="68"/>
        <v>0</v>
      </c>
      <c r="HD23" s="529">
        <f t="shared" si="179"/>
        <v>0</v>
      </c>
      <c r="HE23" s="527"/>
      <c r="HF23" s="528">
        <f t="shared" si="69"/>
        <v>0</v>
      </c>
      <c r="HG23" s="529">
        <f t="shared" si="180"/>
        <v>0</v>
      </c>
      <c r="HH23" s="527"/>
      <c r="HI23" s="528">
        <f t="shared" si="70"/>
        <v>0</v>
      </c>
      <c r="HJ23" s="529">
        <f t="shared" si="181"/>
        <v>0</v>
      </c>
      <c r="HK23" s="527"/>
      <c r="HL23" s="528">
        <f t="shared" si="71"/>
        <v>0</v>
      </c>
      <c r="HM23" s="529">
        <f t="shared" si="182"/>
        <v>0</v>
      </c>
      <c r="HN23" s="527">
        <v>925.19128498789587</v>
      </c>
      <c r="HO23" s="528">
        <f t="shared" si="72"/>
        <v>17.703960752940084</v>
      </c>
      <c r="HP23" s="529">
        <f t="shared" si="183"/>
        <v>0</v>
      </c>
      <c r="HQ23" s="527"/>
      <c r="HR23" s="528">
        <f t="shared" si="73"/>
        <v>0</v>
      </c>
      <c r="HS23" s="529">
        <f t="shared" si="184"/>
        <v>0</v>
      </c>
      <c r="HT23" s="527"/>
      <c r="HU23" s="528">
        <f t="shared" si="74"/>
        <v>0</v>
      </c>
      <c r="HV23" s="529">
        <f t="shared" si="185"/>
        <v>0</v>
      </c>
      <c r="HW23" s="527"/>
      <c r="HX23" s="528">
        <f t="shared" si="75"/>
        <v>0</v>
      </c>
      <c r="HY23" s="529">
        <f t="shared" si="186"/>
        <v>0</v>
      </c>
      <c r="HZ23" s="527"/>
      <c r="IA23" s="528">
        <f t="shared" si="76"/>
        <v>0</v>
      </c>
      <c r="IB23" s="529">
        <f t="shared" si="187"/>
        <v>0</v>
      </c>
      <c r="IC23" s="527"/>
      <c r="ID23" s="528">
        <f t="shared" si="77"/>
        <v>0</v>
      </c>
      <c r="IE23" s="529">
        <f t="shared" si="188"/>
        <v>0</v>
      </c>
      <c r="IF23" s="527"/>
      <c r="IG23" s="528">
        <f t="shared" si="78"/>
        <v>0</v>
      </c>
      <c r="IH23" s="529">
        <f t="shared" si="189"/>
        <v>0</v>
      </c>
      <c r="II23" s="527">
        <v>25.699757916330441</v>
      </c>
      <c r="IJ23" s="528">
        <f t="shared" si="79"/>
        <v>0.49177668758166898</v>
      </c>
      <c r="IK23" s="529">
        <f t="shared" si="190"/>
        <v>0</v>
      </c>
      <c r="IL23" s="527"/>
      <c r="IM23" s="528">
        <f t="shared" si="80"/>
        <v>0</v>
      </c>
      <c r="IN23" s="529">
        <f t="shared" si="191"/>
        <v>0</v>
      </c>
      <c r="IO23" s="527"/>
      <c r="IP23" s="528">
        <f t="shared" si="81"/>
        <v>0</v>
      </c>
      <c r="IQ23" s="529">
        <f t="shared" si="192"/>
        <v>0</v>
      </c>
      <c r="IR23" s="527">
        <v>51.399515832660882</v>
      </c>
      <c r="IS23" s="528">
        <f t="shared" si="82"/>
        <v>0.98355337516333796</v>
      </c>
      <c r="IT23" s="529">
        <f t="shared" si="193"/>
        <v>0</v>
      </c>
      <c r="IU23" s="527"/>
      <c r="IV23" s="528">
        <f t="shared" si="83"/>
        <v>0</v>
      </c>
      <c r="IW23" s="529">
        <f t="shared" si="194"/>
        <v>0</v>
      </c>
      <c r="IX23" s="527"/>
      <c r="IY23" s="528">
        <f t="shared" si="84"/>
        <v>0</v>
      </c>
      <c r="IZ23" s="529">
        <f t="shared" si="195"/>
        <v>0</v>
      </c>
      <c r="JA23" s="527"/>
      <c r="JB23" s="528">
        <f t="shared" si="85"/>
        <v>0</v>
      </c>
      <c r="JC23" s="529">
        <f t="shared" si="196"/>
        <v>0</v>
      </c>
      <c r="JD23" s="527"/>
      <c r="JE23" s="528">
        <f t="shared" si="86"/>
        <v>0</v>
      </c>
      <c r="JF23" s="529">
        <f t="shared" si="197"/>
        <v>0</v>
      </c>
      <c r="JG23" s="527"/>
      <c r="JH23" s="528">
        <f t="shared" si="87"/>
        <v>0</v>
      </c>
      <c r="JI23" s="529">
        <f t="shared" si="198"/>
        <v>0</v>
      </c>
      <c r="JJ23" s="527">
        <v>25.699757916330441</v>
      </c>
      <c r="JK23" s="529" t="str">
        <f t="shared" si="88"/>
        <v>0</v>
      </c>
      <c r="JL23" s="529" t="str">
        <f t="shared" si="89"/>
        <v>0</v>
      </c>
      <c r="JM23" s="527"/>
      <c r="JN23" s="529" t="str">
        <f t="shared" si="90"/>
        <v>0</v>
      </c>
      <c r="JO23" s="529" t="str">
        <f t="shared" si="91"/>
        <v>0</v>
      </c>
      <c r="JP23" s="527"/>
      <c r="JQ23" s="529" t="str">
        <f t="shared" si="92"/>
        <v>0</v>
      </c>
      <c r="JR23" s="529" t="str">
        <f t="shared" si="93"/>
        <v>0</v>
      </c>
      <c r="JS23" s="527"/>
      <c r="JT23" s="529" t="str">
        <f t="shared" si="94"/>
        <v>0</v>
      </c>
      <c r="JU23" s="529" t="str">
        <f t="shared" si="95"/>
        <v>0</v>
      </c>
      <c r="JV23" s="527"/>
      <c r="JW23" s="529" t="str">
        <f t="shared" si="96"/>
        <v>0</v>
      </c>
      <c r="JX23" s="529" t="str">
        <f t="shared" si="97"/>
        <v>0</v>
      </c>
      <c r="JY23" s="527"/>
      <c r="JZ23" s="529" t="str">
        <f t="shared" si="98"/>
        <v>0</v>
      </c>
      <c r="KA23" s="529" t="str">
        <f t="shared" si="99"/>
        <v>0</v>
      </c>
      <c r="KB23" s="527"/>
      <c r="KC23" s="529" t="str">
        <f t="shared" si="100"/>
        <v>0</v>
      </c>
      <c r="KD23" s="529" t="str">
        <f t="shared" si="101"/>
        <v>0</v>
      </c>
      <c r="KE23" s="527"/>
      <c r="KF23" s="529" t="str">
        <f t="shared" si="102"/>
        <v>0</v>
      </c>
      <c r="KG23" s="529" t="str">
        <f t="shared" si="103"/>
        <v>0</v>
      </c>
      <c r="KH23" s="527"/>
      <c r="KI23" s="529" t="str">
        <f t="shared" si="104"/>
        <v>0</v>
      </c>
      <c r="KJ23" s="529" t="str">
        <f t="shared" si="105"/>
        <v>0</v>
      </c>
      <c r="KK23" s="527"/>
      <c r="KL23" s="529" t="str">
        <f t="shared" si="106"/>
        <v>0</v>
      </c>
      <c r="KM23" s="529" t="str">
        <f t="shared" si="107"/>
        <v>0</v>
      </c>
      <c r="KN23" s="527"/>
      <c r="KO23" s="529" t="str">
        <f t="shared" si="108"/>
        <v>0</v>
      </c>
      <c r="KP23" s="529" t="str">
        <f t="shared" si="109"/>
        <v>0</v>
      </c>
      <c r="KQ23" s="527"/>
      <c r="KR23" s="529" t="str">
        <f t="shared" si="110"/>
        <v>0</v>
      </c>
      <c r="KS23" s="529" t="str">
        <f t="shared" si="111"/>
        <v>0</v>
      </c>
      <c r="KT23" s="529">
        <f t="shared" si="201"/>
        <v>0</v>
      </c>
      <c r="KU23" s="529">
        <f t="shared" si="202"/>
        <v>0</v>
      </c>
      <c r="KV23" s="268">
        <f t="shared" si="199"/>
        <v>2609.8835015124291</v>
      </c>
    </row>
    <row r="24" spans="1:309" ht="15" customHeight="1">
      <c r="A24" s="270">
        <f t="shared" si="200"/>
        <v>46097</v>
      </c>
      <c r="B24" s="271" t="str">
        <f>+Report1!B24</f>
        <v>Towel</v>
      </c>
      <c r="C24" s="271" t="str">
        <f>+Report1!C24</f>
        <v>22</v>
      </c>
      <c r="D24" s="272">
        <f>+Report1!P24</f>
        <v>53.505000000000003</v>
      </c>
      <c r="E24" s="273">
        <f>+Report1!R24</f>
        <v>53.363</v>
      </c>
      <c r="F24" s="527"/>
      <c r="G24" s="528">
        <f t="shared" si="0"/>
        <v>0</v>
      </c>
      <c r="H24" s="529">
        <f t="shared" si="112"/>
        <v>0</v>
      </c>
      <c r="I24" s="527"/>
      <c r="J24" s="528">
        <f t="shared" si="1"/>
        <v>0</v>
      </c>
      <c r="K24" s="529">
        <f t="shared" si="113"/>
        <v>0</v>
      </c>
      <c r="L24" s="527"/>
      <c r="M24" s="528">
        <f t="shared" si="2"/>
        <v>0</v>
      </c>
      <c r="N24" s="529">
        <f t="shared" si="114"/>
        <v>0</v>
      </c>
      <c r="O24" s="527">
        <v>12</v>
      </c>
      <c r="P24" s="528">
        <f t="shared" si="3"/>
        <v>0.2248749133294605</v>
      </c>
      <c r="Q24" s="529">
        <f t="shared" si="115"/>
        <v>0</v>
      </c>
      <c r="R24" s="527"/>
      <c r="S24" s="528">
        <f t="shared" si="4"/>
        <v>0</v>
      </c>
      <c r="T24" s="529">
        <f t="shared" si="116"/>
        <v>0</v>
      </c>
      <c r="U24" s="527">
        <v>7.6874999999999929</v>
      </c>
      <c r="V24" s="528">
        <f t="shared" si="5"/>
        <v>0.1440604913516855</v>
      </c>
      <c r="W24" s="529">
        <f t="shared" si="117"/>
        <v>0</v>
      </c>
      <c r="X24" s="527"/>
      <c r="Y24" s="528">
        <f t="shared" si="6"/>
        <v>0</v>
      </c>
      <c r="Z24" s="529">
        <f t="shared" si="118"/>
        <v>0</v>
      </c>
      <c r="AA24" s="527">
        <v>6.25</v>
      </c>
      <c r="AB24" s="528">
        <f t="shared" si="7"/>
        <v>0.11712235069242734</v>
      </c>
      <c r="AC24" s="529">
        <f t="shared" si="119"/>
        <v>0</v>
      </c>
      <c r="AD24" s="527"/>
      <c r="AE24" s="528">
        <f t="shared" si="8"/>
        <v>0</v>
      </c>
      <c r="AF24" s="529">
        <f t="shared" si="120"/>
        <v>0</v>
      </c>
      <c r="AG24" s="527"/>
      <c r="AH24" s="528">
        <f t="shared" si="9"/>
        <v>0</v>
      </c>
      <c r="AI24" s="529">
        <f t="shared" si="121"/>
        <v>0</v>
      </c>
      <c r="AJ24" s="527">
        <v>17.625</v>
      </c>
      <c r="AK24" s="528">
        <f t="shared" si="10"/>
        <v>0.33028502895264511</v>
      </c>
      <c r="AL24" s="529">
        <f t="shared" si="122"/>
        <v>0</v>
      </c>
      <c r="AM24" s="527"/>
      <c r="AN24" s="528">
        <f t="shared" si="11"/>
        <v>0</v>
      </c>
      <c r="AO24" s="529">
        <f t="shared" si="123"/>
        <v>0</v>
      </c>
      <c r="AP24" s="527"/>
      <c r="AQ24" s="528">
        <f t="shared" si="12"/>
        <v>0</v>
      </c>
      <c r="AR24" s="529">
        <f t="shared" si="124"/>
        <v>0</v>
      </c>
      <c r="AS24" s="527"/>
      <c r="AT24" s="528">
        <f t="shared" si="13"/>
        <v>0</v>
      </c>
      <c r="AU24" s="529">
        <f t="shared" si="125"/>
        <v>0</v>
      </c>
      <c r="AV24" s="527"/>
      <c r="AW24" s="528">
        <f t="shared" si="14"/>
        <v>0</v>
      </c>
      <c r="AX24" s="529">
        <f t="shared" si="126"/>
        <v>0</v>
      </c>
      <c r="AY24" s="527"/>
      <c r="AZ24" s="528">
        <f t="shared" si="15"/>
        <v>0</v>
      </c>
      <c r="BA24" s="529">
        <f t="shared" si="127"/>
        <v>0</v>
      </c>
      <c r="BB24" s="527"/>
      <c r="BC24" s="528">
        <f t="shared" si="16"/>
        <v>0</v>
      </c>
      <c r="BD24" s="529">
        <f t="shared" si="128"/>
        <v>0</v>
      </c>
      <c r="BE24" s="527"/>
      <c r="BF24" s="528">
        <f t="shared" si="17"/>
        <v>0</v>
      </c>
      <c r="BG24" s="529">
        <f t="shared" si="129"/>
        <v>0</v>
      </c>
      <c r="BH24" s="527"/>
      <c r="BI24" s="528">
        <f t="shared" si="18"/>
        <v>0</v>
      </c>
      <c r="BJ24" s="529">
        <f t="shared" si="130"/>
        <v>0</v>
      </c>
      <c r="BK24" s="527"/>
      <c r="BL24" s="528">
        <f t="shared" si="19"/>
        <v>0</v>
      </c>
      <c r="BM24" s="529">
        <f t="shared" si="131"/>
        <v>0</v>
      </c>
      <c r="BN24" s="527"/>
      <c r="BO24" s="528">
        <f t="shared" si="20"/>
        <v>0</v>
      </c>
      <c r="BP24" s="529">
        <f t="shared" si="132"/>
        <v>0</v>
      </c>
      <c r="BQ24" s="527"/>
      <c r="BR24" s="528">
        <f t="shared" si="21"/>
        <v>0</v>
      </c>
      <c r="BS24" s="529">
        <f t="shared" si="133"/>
        <v>0</v>
      </c>
      <c r="BT24" s="527"/>
      <c r="BU24" s="528">
        <f t="shared" si="22"/>
        <v>0</v>
      </c>
      <c r="BV24" s="529">
        <f t="shared" si="134"/>
        <v>0</v>
      </c>
      <c r="BW24" s="527"/>
      <c r="BX24" s="528">
        <f t="shared" si="23"/>
        <v>0</v>
      </c>
      <c r="BY24" s="529">
        <f t="shared" si="135"/>
        <v>0</v>
      </c>
      <c r="BZ24" s="527"/>
      <c r="CA24" s="528">
        <f t="shared" si="24"/>
        <v>0</v>
      </c>
      <c r="CB24" s="529">
        <f t="shared" si="136"/>
        <v>0</v>
      </c>
      <c r="CC24" s="527"/>
      <c r="CD24" s="528">
        <f t="shared" si="25"/>
        <v>0</v>
      </c>
      <c r="CE24" s="529">
        <f t="shared" si="137"/>
        <v>0</v>
      </c>
      <c r="CF24" s="527">
        <v>4.5</v>
      </c>
      <c r="CG24" s="528">
        <f t="shared" si="26"/>
        <v>8.4328092498547683E-2</v>
      </c>
      <c r="CH24" s="529">
        <f t="shared" si="138"/>
        <v>0</v>
      </c>
      <c r="CI24" s="527"/>
      <c r="CJ24" s="528">
        <f t="shared" si="27"/>
        <v>0</v>
      </c>
      <c r="CK24" s="529">
        <f t="shared" si="139"/>
        <v>0</v>
      </c>
      <c r="CL24" s="527"/>
      <c r="CM24" s="528">
        <f t="shared" si="28"/>
        <v>0</v>
      </c>
      <c r="CN24" s="529">
        <f t="shared" si="140"/>
        <v>0</v>
      </c>
      <c r="CO24" s="527"/>
      <c r="CP24" s="528">
        <f t="shared" si="29"/>
        <v>0</v>
      </c>
      <c r="CQ24" s="529">
        <f t="shared" si="141"/>
        <v>0</v>
      </c>
      <c r="CR24" s="527"/>
      <c r="CS24" s="528">
        <f t="shared" si="30"/>
        <v>0</v>
      </c>
      <c r="CT24" s="529">
        <f t="shared" si="142"/>
        <v>0</v>
      </c>
      <c r="CU24" s="527"/>
      <c r="CV24" s="528">
        <f t="shared" si="31"/>
        <v>0</v>
      </c>
      <c r="CW24" s="529">
        <f t="shared" si="143"/>
        <v>0</v>
      </c>
      <c r="CX24" s="527"/>
      <c r="CY24" s="528">
        <f t="shared" si="32"/>
        <v>0</v>
      </c>
      <c r="CZ24" s="529">
        <f t="shared" si="144"/>
        <v>0</v>
      </c>
      <c r="DA24" s="527">
        <v>0</v>
      </c>
      <c r="DB24" s="528">
        <f t="shared" si="33"/>
        <v>0</v>
      </c>
      <c r="DC24" s="529">
        <f t="shared" si="145"/>
        <v>0</v>
      </c>
      <c r="DD24" s="527"/>
      <c r="DE24" s="528">
        <f t="shared" si="34"/>
        <v>0</v>
      </c>
      <c r="DF24" s="529">
        <f t="shared" si="146"/>
        <v>0</v>
      </c>
      <c r="DG24" s="527"/>
      <c r="DH24" s="528">
        <f t="shared" si="35"/>
        <v>0</v>
      </c>
      <c r="DI24" s="529">
        <f t="shared" si="203"/>
        <v>0</v>
      </c>
      <c r="DJ24" s="527"/>
      <c r="DK24" s="528">
        <f t="shared" si="36"/>
        <v>0</v>
      </c>
      <c r="DL24" s="529">
        <f t="shared" si="147"/>
        <v>0</v>
      </c>
      <c r="DM24" s="527"/>
      <c r="DN24" s="528">
        <f t="shared" si="37"/>
        <v>0</v>
      </c>
      <c r="DO24" s="529">
        <f t="shared" si="148"/>
        <v>0</v>
      </c>
      <c r="DP24" s="527"/>
      <c r="DQ24" s="528">
        <f t="shared" si="38"/>
        <v>0</v>
      </c>
      <c r="DR24" s="529">
        <f t="shared" si="149"/>
        <v>0</v>
      </c>
      <c r="DS24" s="527"/>
      <c r="DT24" s="528">
        <f t="shared" si="39"/>
        <v>0</v>
      </c>
      <c r="DU24" s="529">
        <f t="shared" si="150"/>
        <v>0</v>
      </c>
      <c r="DV24" s="527"/>
      <c r="DW24" s="528">
        <f t="shared" si="40"/>
        <v>0</v>
      </c>
      <c r="DX24" s="529">
        <f t="shared" si="151"/>
        <v>0</v>
      </c>
      <c r="DY24" s="527"/>
      <c r="DZ24" s="528">
        <f t="shared" si="41"/>
        <v>0</v>
      </c>
      <c r="EA24" s="529">
        <f t="shared" si="152"/>
        <v>0</v>
      </c>
      <c r="EB24" s="527">
        <v>941.8604651162791</v>
      </c>
      <c r="EC24" s="528">
        <f t="shared" si="42"/>
        <v>17.65006587178905</v>
      </c>
      <c r="ED24" s="529">
        <f t="shared" si="153"/>
        <v>0</v>
      </c>
      <c r="EE24" s="527">
        <v>14.534883720930239</v>
      </c>
      <c r="EF24" s="528">
        <f t="shared" si="43"/>
        <v>0.27237755974983113</v>
      </c>
      <c r="EG24" s="529">
        <f t="shared" si="154"/>
        <v>0</v>
      </c>
      <c r="EH24" s="527">
        <v>234.82352941176464</v>
      </c>
      <c r="EI24" s="528">
        <f t="shared" si="44"/>
        <v>4.4004934020157158</v>
      </c>
      <c r="EJ24" s="529">
        <f t="shared" si="155"/>
        <v>0</v>
      </c>
      <c r="EK24" s="527">
        <v>0</v>
      </c>
      <c r="EL24" s="528">
        <f t="shared" si="45"/>
        <v>0</v>
      </c>
      <c r="EM24" s="529">
        <f t="shared" si="156"/>
        <v>0</v>
      </c>
      <c r="EN24" s="527">
        <v>36.585365853658459</v>
      </c>
      <c r="EO24" s="528">
        <f t="shared" si="46"/>
        <v>0.68559424795567081</v>
      </c>
      <c r="EP24" s="529">
        <f t="shared" si="157"/>
        <v>0</v>
      </c>
      <c r="EQ24" s="527">
        <v>24.709302325581405</v>
      </c>
      <c r="ER24" s="528">
        <f t="shared" si="47"/>
        <v>0.46304185157471289</v>
      </c>
      <c r="ES24" s="529">
        <f t="shared" si="158"/>
        <v>0</v>
      </c>
      <c r="ET24" s="527"/>
      <c r="EU24" s="528">
        <f t="shared" si="48"/>
        <v>0</v>
      </c>
      <c r="EV24" s="529">
        <f t="shared" si="159"/>
        <v>0</v>
      </c>
      <c r="EW24" s="527"/>
      <c r="EX24" s="528">
        <f t="shared" si="49"/>
        <v>0</v>
      </c>
      <c r="EY24" s="529">
        <f t="shared" si="160"/>
        <v>0</v>
      </c>
      <c r="EZ24" s="527"/>
      <c r="FA24" s="528">
        <f t="shared" si="50"/>
        <v>0</v>
      </c>
      <c r="FB24" s="529">
        <f t="shared" si="161"/>
        <v>0</v>
      </c>
      <c r="FC24" s="527"/>
      <c r="FD24" s="528">
        <f t="shared" si="51"/>
        <v>0</v>
      </c>
      <c r="FE24" s="529">
        <f t="shared" si="162"/>
        <v>0</v>
      </c>
      <c r="FF24" s="527"/>
      <c r="FG24" s="528">
        <f t="shared" si="52"/>
        <v>0</v>
      </c>
      <c r="FH24" s="529">
        <f t="shared" si="163"/>
        <v>0</v>
      </c>
      <c r="FI24" s="527"/>
      <c r="FJ24" s="528">
        <f t="shared" si="53"/>
        <v>0</v>
      </c>
      <c r="FK24" s="529">
        <f t="shared" si="164"/>
        <v>0</v>
      </c>
      <c r="FL24" s="527"/>
      <c r="FM24" s="528">
        <f t="shared" si="54"/>
        <v>0</v>
      </c>
      <c r="FN24" s="529">
        <f t="shared" si="165"/>
        <v>0</v>
      </c>
      <c r="FO24" s="527"/>
      <c r="FP24" s="528">
        <f t="shared" si="55"/>
        <v>0</v>
      </c>
      <c r="FQ24" s="529">
        <f t="shared" si="166"/>
        <v>0</v>
      </c>
      <c r="FR24" s="527"/>
      <c r="FS24" s="528">
        <f t="shared" si="56"/>
        <v>0</v>
      </c>
      <c r="FT24" s="529">
        <f t="shared" si="167"/>
        <v>0</v>
      </c>
      <c r="FU24" s="527"/>
      <c r="FV24" s="528">
        <f t="shared" si="57"/>
        <v>0</v>
      </c>
      <c r="FW24" s="529">
        <f t="shared" si="168"/>
        <v>0</v>
      </c>
      <c r="FX24" s="527"/>
      <c r="FY24" s="528">
        <f t="shared" si="58"/>
        <v>0</v>
      </c>
      <c r="FZ24" s="529">
        <f t="shared" si="169"/>
        <v>0</v>
      </c>
      <c r="GA24" s="527"/>
      <c r="GB24" s="528">
        <f t="shared" si="59"/>
        <v>0</v>
      </c>
      <c r="GC24" s="529">
        <f t="shared" si="170"/>
        <v>0</v>
      </c>
      <c r="GD24" s="527"/>
      <c r="GE24" s="528">
        <f t="shared" si="60"/>
        <v>0</v>
      </c>
      <c r="GF24" s="529">
        <f t="shared" si="171"/>
        <v>0</v>
      </c>
      <c r="GG24" s="527">
        <v>12.943922972711439</v>
      </c>
      <c r="GH24" s="528">
        <f t="shared" si="61"/>
        <v>0.24256362971930812</v>
      </c>
      <c r="GI24" s="529">
        <f t="shared" si="172"/>
        <v>0</v>
      </c>
      <c r="GJ24" s="527">
        <v>12.943922972711439</v>
      </c>
      <c r="GK24" s="528">
        <f t="shared" si="62"/>
        <v>0.24256362971930812</v>
      </c>
      <c r="GL24" s="529">
        <f t="shared" si="173"/>
        <v>0</v>
      </c>
      <c r="GM24" s="527"/>
      <c r="GN24" s="528">
        <f t="shared" si="63"/>
        <v>0</v>
      </c>
      <c r="GO24" s="529">
        <f t="shared" si="174"/>
        <v>0</v>
      </c>
      <c r="GP24" s="527">
        <v>41.420553512676605</v>
      </c>
      <c r="GQ24" s="528">
        <f t="shared" si="64"/>
        <v>0.77620361510178604</v>
      </c>
      <c r="GR24" s="529">
        <f t="shared" si="175"/>
        <v>0</v>
      </c>
      <c r="GS24" s="527">
        <v>284.76630539965163</v>
      </c>
      <c r="GT24" s="528">
        <f t="shared" si="65"/>
        <v>5.3363998538247781</v>
      </c>
      <c r="GU24" s="529">
        <f t="shared" si="176"/>
        <v>0</v>
      </c>
      <c r="GV24" s="527">
        <v>72.485968647184052</v>
      </c>
      <c r="GW24" s="528">
        <f t="shared" si="66"/>
        <v>1.3583563264281253</v>
      </c>
      <c r="GX24" s="529">
        <f t="shared" si="177"/>
        <v>0</v>
      </c>
      <c r="GY24" s="527"/>
      <c r="GZ24" s="528">
        <f t="shared" si="67"/>
        <v>0</v>
      </c>
      <c r="HA24" s="529">
        <f t="shared" si="178"/>
        <v>0</v>
      </c>
      <c r="HB24" s="527"/>
      <c r="HC24" s="528">
        <f t="shared" si="68"/>
        <v>0</v>
      </c>
      <c r="HD24" s="529">
        <f t="shared" si="179"/>
        <v>0</v>
      </c>
      <c r="HE24" s="527"/>
      <c r="HF24" s="528">
        <f t="shared" si="69"/>
        <v>0</v>
      </c>
      <c r="HG24" s="529">
        <f t="shared" si="180"/>
        <v>0</v>
      </c>
      <c r="HH24" s="527"/>
      <c r="HI24" s="528">
        <f t="shared" si="70"/>
        <v>0</v>
      </c>
      <c r="HJ24" s="529">
        <f t="shared" si="181"/>
        <v>0</v>
      </c>
      <c r="HK24" s="527"/>
      <c r="HL24" s="528">
        <f t="shared" si="71"/>
        <v>0</v>
      </c>
      <c r="HM24" s="529">
        <f t="shared" si="182"/>
        <v>0</v>
      </c>
      <c r="HN24" s="527">
        <v>724.85968647184052</v>
      </c>
      <c r="HO24" s="528">
        <f t="shared" si="72"/>
        <v>13.583563264281253</v>
      </c>
      <c r="HP24" s="529">
        <f t="shared" si="183"/>
        <v>0</v>
      </c>
      <c r="HQ24" s="527"/>
      <c r="HR24" s="528">
        <f t="shared" si="73"/>
        <v>0</v>
      </c>
      <c r="HS24" s="529">
        <f t="shared" si="184"/>
        <v>0</v>
      </c>
      <c r="HT24" s="527"/>
      <c r="HU24" s="528">
        <f t="shared" si="74"/>
        <v>0</v>
      </c>
      <c r="HV24" s="529">
        <f t="shared" si="185"/>
        <v>0</v>
      </c>
      <c r="HW24" s="527"/>
      <c r="HX24" s="528">
        <f t="shared" si="75"/>
        <v>0</v>
      </c>
      <c r="HY24" s="529">
        <f t="shared" si="186"/>
        <v>0</v>
      </c>
      <c r="HZ24" s="527"/>
      <c r="IA24" s="528">
        <f t="shared" si="76"/>
        <v>0</v>
      </c>
      <c r="IB24" s="529">
        <f t="shared" si="187"/>
        <v>0</v>
      </c>
      <c r="IC24" s="527"/>
      <c r="ID24" s="528">
        <f t="shared" si="77"/>
        <v>0</v>
      </c>
      <c r="IE24" s="529">
        <f t="shared" si="188"/>
        <v>0</v>
      </c>
      <c r="IF24" s="527"/>
      <c r="IG24" s="528">
        <f t="shared" si="78"/>
        <v>0</v>
      </c>
      <c r="IH24" s="529">
        <f t="shared" si="189"/>
        <v>0</v>
      </c>
      <c r="II24" s="527">
        <v>25.887845945422878</v>
      </c>
      <c r="IJ24" s="528">
        <f t="shared" si="79"/>
        <v>0.48512725943861623</v>
      </c>
      <c r="IK24" s="529">
        <f t="shared" si="190"/>
        <v>0</v>
      </c>
      <c r="IL24" s="527"/>
      <c r="IM24" s="528">
        <f t="shared" si="80"/>
        <v>0</v>
      </c>
      <c r="IN24" s="529">
        <f t="shared" si="191"/>
        <v>0</v>
      </c>
      <c r="IO24" s="527"/>
      <c r="IP24" s="528">
        <f t="shared" si="81"/>
        <v>0</v>
      </c>
      <c r="IQ24" s="529">
        <f t="shared" si="192"/>
        <v>0</v>
      </c>
      <c r="IR24" s="527">
        <v>41.420553512676605</v>
      </c>
      <c r="IS24" s="528">
        <f t="shared" si="82"/>
        <v>0.77620361510178604</v>
      </c>
      <c r="IT24" s="529">
        <f t="shared" si="193"/>
        <v>0</v>
      </c>
      <c r="IU24" s="527"/>
      <c r="IV24" s="528">
        <f t="shared" si="83"/>
        <v>0</v>
      </c>
      <c r="IW24" s="529">
        <f t="shared" si="194"/>
        <v>0</v>
      </c>
      <c r="IX24" s="527"/>
      <c r="IY24" s="528">
        <f t="shared" si="84"/>
        <v>0</v>
      </c>
      <c r="IZ24" s="529">
        <f t="shared" si="195"/>
        <v>0</v>
      </c>
      <c r="JA24" s="527"/>
      <c r="JB24" s="528">
        <f t="shared" si="85"/>
        <v>0</v>
      </c>
      <c r="JC24" s="529">
        <f t="shared" si="196"/>
        <v>0</v>
      </c>
      <c r="JD24" s="527"/>
      <c r="JE24" s="528">
        <f t="shared" si="86"/>
        <v>0</v>
      </c>
      <c r="JF24" s="529">
        <f t="shared" si="197"/>
        <v>0</v>
      </c>
      <c r="JG24" s="527"/>
      <c r="JH24" s="528">
        <f t="shared" si="87"/>
        <v>0</v>
      </c>
      <c r="JI24" s="529">
        <f t="shared" si="198"/>
        <v>0</v>
      </c>
      <c r="JJ24" s="527">
        <v>25.887845945422878</v>
      </c>
      <c r="JK24" s="529" t="str">
        <f t="shared" si="88"/>
        <v>0</v>
      </c>
      <c r="JL24" s="529" t="str">
        <f t="shared" si="89"/>
        <v>0</v>
      </c>
      <c r="JM24" s="527"/>
      <c r="JN24" s="529" t="str">
        <f t="shared" si="90"/>
        <v>0</v>
      </c>
      <c r="JO24" s="529" t="str">
        <f t="shared" si="91"/>
        <v>0</v>
      </c>
      <c r="JP24" s="527"/>
      <c r="JQ24" s="529" t="str">
        <f t="shared" si="92"/>
        <v>0</v>
      </c>
      <c r="JR24" s="529" t="str">
        <f t="shared" si="93"/>
        <v>0</v>
      </c>
      <c r="JS24" s="527"/>
      <c r="JT24" s="529" t="str">
        <f t="shared" si="94"/>
        <v>0</v>
      </c>
      <c r="JU24" s="529" t="str">
        <f t="shared" si="95"/>
        <v>0</v>
      </c>
      <c r="JV24" s="527"/>
      <c r="JW24" s="529" t="str">
        <f t="shared" si="96"/>
        <v>0</v>
      </c>
      <c r="JX24" s="529" t="str">
        <f t="shared" si="97"/>
        <v>0</v>
      </c>
      <c r="JY24" s="527"/>
      <c r="JZ24" s="529" t="str">
        <f t="shared" si="98"/>
        <v>0</v>
      </c>
      <c r="KA24" s="529" t="str">
        <f t="shared" si="99"/>
        <v>0</v>
      </c>
      <c r="KB24" s="527"/>
      <c r="KC24" s="529" t="str">
        <f t="shared" si="100"/>
        <v>0</v>
      </c>
      <c r="KD24" s="529" t="str">
        <f t="shared" si="101"/>
        <v>0</v>
      </c>
      <c r="KE24" s="527"/>
      <c r="KF24" s="529" t="str">
        <f t="shared" si="102"/>
        <v>0</v>
      </c>
      <c r="KG24" s="529" t="str">
        <f t="shared" si="103"/>
        <v>0</v>
      </c>
      <c r="KH24" s="527"/>
      <c r="KI24" s="529" t="str">
        <f t="shared" si="104"/>
        <v>0</v>
      </c>
      <c r="KJ24" s="529" t="str">
        <f t="shared" si="105"/>
        <v>0</v>
      </c>
      <c r="KK24" s="527"/>
      <c r="KL24" s="529" t="str">
        <f t="shared" si="106"/>
        <v>0</v>
      </c>
      <c r="KM24" s="529" t="str">
        <f t="shared" si="107"/>
        <v>0</v>
      </c>
      <c r="KN24" s="527"/>
      <c r="KO24" s="529" t="str">
        <f t="shared" si="108"/>
        <v>0</v>
      </c>
      <c r="KP24" s="529" t="str">
        <f t="shared" si="109"/>
        <v>0</v>
      </c>
      <c r="KQ24" s="527"/>
      <c r="KR24" s="529" t="str">
        <f t="shared" si="110"/>
        <v>0</v>
      </c>
      <c r="KS24" s="529" t="str">
        <f t="shared" si="111"/>
        <v>0</v>
      </c>
      <c r="KT24" s="529">
        <f t="shared" si="201"/>
        <v>0</v>
      </c>
      <c r="KU24" s="529">
        <f t="shared" si="202"/>
        <v>0</v>
      </c>
      <c r="KV24" s="268">
        <f t="shared" si="199"/>
        <v>2543.192651808512</v>
      </c>
    </row>
    <row r="25" spans="1:309" ht="15" customHeight="1">
      <c r="A25" s="270">
        <f t="shared" si="200"/>
        <v>46098</v>
      </c>
      <c r="B25" s="271" t="str">
        <f>+Report1!B25</f>
        <v>Towel</v>
      </c>
      <c r="C25" s="271" t="str">
        <f>+Report1!C25</f>
        <v>22</v>
      </c>
      <c r="D25" s="272">
        <f>+Report1!P25</f>
        <v>54.037999999999997</v>
      </c>
      <c r="E25" s="273">
        <f>+Report1!R25</f>
        <v>53.381999999999998</v>
      </c>
      <c r="F25" s="527"/>
      <c r="G25" s="528">
        <f t="shared" si="0"/>
        <v>0</v>
      </c>
      <c r="H25" s="529">
        <f t="shared" si="112"/>
        <v>0</v>
      </c>
      <c r="I25" s="527"/>
      <c r="J25" s="528">
        <f t="shared" si="1"/>
        <v>0</v>
      </c>
      <c r="K25" s="529">
        <f t="shared" si="113"/>
        <v>0</v>
      </c>
      <c r="L25" s="527"/>
      <c r="M25" s="528">
        <f t="shared" si="2"/>
        <v>0</v>
      </c>
      <c r="N25" s="529">
        <f t="shared" si="114"/>
        <v>0</v>
      </c>
      <c r="O25" s="527">
        <v>12</v>
      </c>
      <c r="P25" s="528">
        <f t="shared" si="3"/>
        <v>0.22479487467685738</v>
      </c>
      <c r="Q25" s="529">
        <f t="shared" si="115"/>
        <v>0</v>
      </c>
      <c r="R25" s="527"/>
      <c r="S25" s="528">
        <f t="shared" si="4"/>
        <v>0</v>
      </c>
      <c r="T25" s="529">
        <f t="shared" si="116"/>
        <v>0</v>
      </c>
      <c r="U25" s="527">
        <v>7.6875000000000071</v>
      </c>
      <c r="V25" s="528">
        <f t="shared" si="5"/>
        <v>0.14400921658986188</v>
      </c>
      <c r="W25" s="529">
        <f t="shared" si="117"/>
        <v>0</v>
      </c>
      <c r="X25" s="527"/>
      <c r="Y25" s="528">
        <f t="shared" si="6"/>
        <v>0</v>
      </c>
      <c r="Z25" s="529">
        <f t="shared" si="118"/>
        <v>0</v>
      </c>
      <c r="AA25" s="527">
        <v>6.25</v>
      </c>
      <c r="AB25" s="528">
        <f t="shared" si="7"/>
        <v>0.11708066389419655</v>
      </c>
      <c r="AC25" s="529">
        <f t="shared" si="119"/>
        <v>0</v>
      </c>
      <c r="AD25" s="527"/>
      <c r="AE25" s="528">
        <f t="shared" si="8"/>
        <v>0</v>
      </c>
      <c r="AF25" s="529">
        <f t="shared" si="120"/>
        <v>0</v>
      </c>
      <c r="AG25" s="527"/>
      <c r="AH25" s="528">
        <f t="shared" si="9"/>
        <v>0</v>
      </c>
      <c r="AI25" s="529">
        <f t="shared" si="121"/>
        <v>0</v>
      </c>
      <c r="AJ25" s="527">
        <v>23.5</v>
      </c>
      <c r="AK25" s="528">
        <f t="shared" si="10"/>
        <v>0.44022329624217904</v>
      </c>
      <c r="AL25" s="529">
        <f t="shared" si="122"/>
        <v>0</v>
      </c>
      <c r="AM25" s="527"/>
      <c r="AN25" s="528">
        <f t="shared" si="11"/>
        <v>0</v>
      </c>
      <c r="AO25" s="529">
        <f t="shared" si="123"/>
        <v>0</v>
      </c>
      <c r="AP25" s="527"/>
      <c r="AQ25" s="528">
        <f t="shared" si="12"/>
        <v>0</v>
      </c>
      <c r="AR25" s="529">
        <f t="shared" si="124"/>
        <v>0</v>
      </c>
      <c r="AS25" s="527"/>
      <c r="AT25" s="528">
        <f t="shared" si="13"/>
        <v>0</v>
      </c>
      <c r="AU25" s="529">
        <f t="shared" si="125"/>
        <v>0</v>
      </c>
      <c r="AV25" s="527"/>
      <c r="AW25" s="528">
        <f t="shared" si="14"/>
        <v>0</v>
      </c>
      <c r="AX25" s="529">
        <f t="shared" si="126"/>
        <v>0</v>
      </c>
      <c r="AY25" s="527"/>
      <c r="AZ25" s="528">
        <f t="shared" si="15"/>
        <v>0</v>
      </c>
      <c r="BA25" s="529">
        <f t="shared" si="127"/>
        <v>0</v>
      </c>
      <c r="BB25" s="527"/>
      <c r="BC25" s="528">
        <f t="shared" si="16"/>
        <v>0</v>
      </c>
      <c r="BD25" s="529">
        <f t="shared" si="128"/>
        <v>0</v>
      </c>
      <c r="BE25" s="527"/>
      <c r="BF25" s="528">
        <f t="shared" si="17"/>
        <v>0</v>
      </c>
      <c r="BG25" s="529">
        <f t="shared" si="129"/>
        <v>0</v>
      </c>
      <c r="BH25" s="527"/>
      <c r="BI25" s="528">
        <f t="shared" si="18"/>
        <v>0</v>
      </c>
      <c r="BJ25" s="529">
        <f t="shared" si="130"/>
        <v>0</v>
      </c>
      <c r="BK25" s="527"/>
      <c r="BL25" s="528">
        <f t="shared" si="19"/>
        <v>0</v>
      </c>
      <c r="BM25" s="529">
        <f t="shared" si="131"/>
        <v>0</v>
      </c>
      <c r="BN25" s="527"/>
      <c r="BO25" s="528">
        <f t="shared" si="20"/>
        <v>0</v>
      </c>
      <c r="BP25" s="529">
        <f t="shared" si="132"/>
        <v>0</v>
      </c>
      <c r="BQ25" s="527"/>
      <c r="BR25" s="528">
        <f t="shared" si="21"/>
        <v>0</v>
      </c>
      <c r="BS25" s="529">
        <f t="shared" si="133"/>
        <v>0</v>
      </c>
      <c r="BT25" s="527"/>
      <c r="BU25" s="528">
        <f t="shared" si="22"/>
        <v>0</v>
      </c>
      <c r="BV25" s="529">
        <f t="shared" si="134"/>
        <v>0</v>
      </c>
      <c r="BW25" s="527"/>
      <c r="BX25" s="528">
        <f t="shared" si="23"/>
        <v>0</v>
      </c>
      <c r="BY25" s="529">
        <f t="shared" si="135"/>
        <v>0</v>
      </c>
      <c r="BZ25" s="527"/>
      <c r="CA25" s="528">
        <f t="shared" si="24"/>
        <v>0</v>
      </c>
      <c r="CB25" s="529">
        <f t="shared" si="136"/>
        <v>0</v>
      </c>
      <c r="CC25" s="527"/>
      <c r="CD25" s="528">
        <f t="shared" si="25"/>
        <v>0</v>
      </c>
      <c r="CE25" s="529">
        <f t="shared" si="137"/>
        <v>0</v>
      </c>
      <c r="CF25" s="527">
        <v>4.5</v>
      </c>
      <c r="CG25" s="528">
        <f t="shared" si="26"/>
        <v>8.4298078003821511E-2</v>
      </c>
      <c r="CH25" s="529">
        <f t="shared" si="138"/>
        <v>0</v>
      </c>
      <c r="CI25" s="527"/>
      <c r="CJ25" s="528">
        <f t="shared" si="27"/>
        <v>0</v>
      </c>
      <c r="CK25" s="529">
        <f t="shared" si="139"/>
        <v>0</v>
      </c>
      <c r="CL25" s="527"/>
      <c r="CM25" s="528">
        <f t="shared" si="28"/>
        <v>0</v>
      </c>
      <c r="CN25" s="529">
        <f t="shared" si="140"/>
        <v>0</v>
      </c>
      <c r="CO25" s="527"/>
      <c r="CP25" s="528">
        <f t="shared" si="29"/>
        <v>0</v>
      </c>
      <c r="CQ25" s="529">
        <f t="shared" si="141"/>
        <v>0</v>
      </c>
      <c r="CR25" s="527"/>
      <c r="CS25" s="528">
        <f t="shared" si="30"/>
        <v>0</v>
      </c>
      <c r="CT25" s="529">
        <f t="shared" si="142"/>
        <v>0</v>
      </c>
      <c r="CU25" s="527"/>
      <c r="CV25" s="528">
        <f t="shared" si="31"/>
        <v>0</v>
      </c>
      <c r="CW25" s="529">
        <f t="shared" si="143"/>
        <v>0</v>
      </c>
      <c r="CX25" s="527"/>
      <c r="CY25" s="528">
        <f t="shared" si="32"/>
        <v>0</v>
      </c>
      <c r="CZ25" s="529">
        <f t="shared" si="144"/>
        <v>0</v>
      </c>
      <c r="DA25" s="527">
        <v>0</v>
      </c>
      <c r="DB25" s="528">
        <f t="shared" si="33"/>
        <v>0</v>
      </c>
      <c r="DC25" s="529">
        <f t="shared" si="145"/>
        <v>0</v>
      </c>
      <c r="DD25" s="527"/>
      <c r="DE25" s="528">
        <f t="shared" si="34"/>
        <v>0</v>
      </c>
      <c r="DF25" s="529">
        <f t="shared" si="146"/>
        <v>0</v>
      </c>
      <c r="DG25" s="527"/>
      <c r="DH25" s="528">
        <f t="shared" si="35"/>
        <v>0</v>
      </c>
      <c r="DI25" s="529">
        <f t="shared" si="203"/>
        <v>0</v>
      </c>
      <c r="DJ25" s="527"/>
      <c r="DK25" s="528">
        <f t="shared" si="36"/>
        <v>0</v>
      </c>
      <c r="DL25" s="529">
        <f t="shared" si="147"/>
        <v>0</v>
      </c>
      <c r="DM25" s="527"/>
      <c r="DN25" s="528">
        <f t="shared" si="37"/>
        <v>0</v>
      </c>
      <c r="DO25" s="529">
        <f t="shared" si="148"/>
        <v>0</v>
      </c>
      <c r="DP25" s="527"/>
      <c r="DQ25" s="528">
        <f t="shared" si="38"/>
        <v>0</v>
      </c>
      <c r="DR25" s="529">
        <f t="shared" si="149"/>
        <v>0</v>
      </c>
      <c r="DS25" s="527"/>
      <c r="DT25" s="528">
        <f t="shared" si="39"/>
        <v>0</v>
      </c>
      <c r="DU25" s="529">
        <f t="shared" si="150"/>
        <v>0</v>
      </c>
      <c r="DV25" s="527"/>
      <c r="DW25" s="528">
        <f t="shared" si="40"/>
        <v>0</v>
      </c>
      <c r="DX25" s="529">
        <f t="shared" si="151"/>
        <v>0</v>
      </c>
      <c r="DY25" s="527"/>
      <c r="DZ25" s="528">
        <f t="shared" si="41"/>
        <v>0</v>
      </c>
      <c r="EA25" s="529">
        <f t="shared" si="152"/>
        <v>0</v>
      </c>
      <c r="EB25" s="527">
        <v>860.46511627906966</v>
      </c>
      <c r="EC25" s="528">
        <f t="shared" si="42"/>
        <v>16.119012331480082</v>
      </c>
      <c r="ED25" s="529">
        <f t="shared" si="153"/>
        <v>0</v>
      </c>
      <c r="EE25" s="527">
        <v>14.534883720930239</v>
      </c>
      <c r="EF25" s="528">
        <f t="shared" si="43"/>
        <v>0.27228061370743395</v>
      </c>
      <c r="EG25" s="529">
        <f t="shared" si="154"/>
        <v>0</v>
      </c>
      <c r="EH25" s="527">
        <v>234.82352941176487</v>
      </c>
      <c r="EI25" s="528">
        <f t="shared" si="44"/>
        <v>4.3989271554412515</v>
      </c>
      <c r="EJ25" s="529">
        <f t="shared" si="155"/>
        <v>0</v>
      </c>
      <c r="EK25" s="527">
        <v>0</v>
      </c>
      <c r="EL25" s="528">
        <f t="shared" si="45"/>
        <v>0</v>
      </c>
      <c r="EM25" s="529">
        <f t="shared" si="156"/>
        <v>0</v>
      </c>
      <c r="EN25" s="527">
        <v>36.585365853658686</v>
      </c>
      <c r="EO25" s="528">
        <f t="shared" si="46"/>
        <v>0.68535022767334841</v>
      </c>
      <c r="EP25" s="529">
        <f t="shared" si="157"/>
        <v>0</v>
      </c>
      <c r="EQ25" s="527">
        <v>34.593023255813932</v>
      </c>
      <c r="ER25" s="528">
        <f t="shared" si="47"/>
        <v>0.64802786062369211</v>
      </c>
      <c r="ES25" s="529">
        <f t="shared" si="158"/>
        <v>0</v>
      </c>
      <c r="ET25" s="527"/>
      <c r="EU25" s="528">
        <f t="shared" si="48"/>
        <v>0</v>
      </c>
      <c r="EV25" s="529">
        <f t="shared" si="159"/>
        <v>0</v>
      </c>
      <c r="EW25" s="527"/>
      <c r="EX25" s="528">
        <f t="shared" si="49"/>
        <v>0</v>
      </c>
      <c r="EY25" s="529">
        <f t="shared" si="160"/>
        <v>0</v>
      </c>
      <c r="EZ25" s="527"/>
      <c r="FA25" s="528">
        <f t="shared" si="50"/>
        <v>0</v>
      </c>
      <c r="FB25" s="529">
        <f t="shared" si="161"/>
        <v>0</v>
      </c>
      <c r="FC25" s="527"/>
      <c r="FD25" s="528">
        <f t="shared" si="51"/>
        <v>0</v>
      </c>
      <c r="FE25" s="529">
        <f t="shared" si="162"/>
        <v>0</v>
      </c>
      <c r="FF25" s="527"/>
      <c r="FG25" s="528">
        <f t="shared" si="52"/>
        <v>0</v>
      </c>
      <c r="FH25" s="529">
        <f t="shared" si="163"/>
        <v>0</v>
      </c>
      <c r="FI25" s="527"/>
      <c r="FJ25" s="528">
        <f t="shared" si="53"/>
        <v>0</v>
      </c>
      <c r="FK25" s="529">
        <f t="shared" si="164"/>
        <v>0</v>
      </c>
      <c r="FL25" s="527"/>
      <c r="FM25" s="528">
        <f t="shared" si="54"/>
        <v>0</v>
      </c>
      <c r="FN25" s="529">
        <f t="shared" si="165"/>
        <v>0</v>
      </c>
      <c r="FO25" s="527"/>
      <c r="FP25" s="528">
        <f t="shared" si="55"/>
        <v>0</v>
      </c>
      <c r="FQ25" s="529">
        <f t="shared" si="166"/>
        <v>0</v>
      </c>
      <c r="FR25" s="527"/>
      <c r="FS25" s="528">
        <f t="shared" si="56"/>
        <v>0</v>
      </c>
      <c r="FT25" s="529">
        <f t="shared" si="167"/>
        <v>0</v>
      </c>
      <c r="FU25" s="527"/>
      <c r="FV25" s="528">
        <f t="shared" si="57"/>
        <v>0</v>
      </c>
      <c r="FW25" s="529">
        <f t="shared" si="168"/>
        <v>0</v>
      </c>
      <c r="FX25" s="527"/>
      <c r="FY25" s="528">
        <f t="shared" si="58"/>
        <v>0</v>
      </c>
      <c r="FZ25" s="529">
        <f t="shared" si="169"/>
        <v>0</v>
      </c>
      <c r="GA25" s="527"/>
      <c r="GB25" s="528">
        <f t="shared" si="59"/>
        <v>0</v>
      </c>
      <c r="GC25" s="529">
        <f t="shared" si="170"/>
        <v>0</v>
      </c>
      <c r="GD25" s="527"/>
      <c r="GE25" s="528">
        <f t="shared" si="60"/>
        <v>0</v>
      </c>
      <c r="GF25" s="529">
        <f t="shared" si="171"/>
        <v>0</v>
      </c>
      <c r="GG25" s="527">
        <v>13.048118528820893</v>
      </c>
      <c r="GH25" s="528">
        <f t="shared" si="61"/>
        <v>0.24442918078792278</v>
      </c>
      <c r="GI25" s="529">
        <f t="shared" si="172"/>
        <v>0</v>
      </c>
      <c r="GJ25" s="527">
        <v>13.048118528820893</v>
      </c>
      <c r="GK25" s="528">
        <f t="shared" si="62"/>
        <v>0.24442918078792278</v>
      </c>
      <c r="GL25" s="529">
        <f t="shared" si="173"/>
        <v>0</v>
      </c>
      <c r="GM25" s="527"/>
      <c r="GN25" s="528">
        <f t="shared" si="63"/>
        <v>0</v>
      </c>
      <c r="GO25" s="529">
        <f t="shared" si="174"/>
        <v>0</v>
      </c>
      <c r="GP25" s="527">
        <v>41.753979292226859</v>
      </c>
      <c r="GQ25" s="528">
        <f t="shared" si="64"/>
        <v>0.78217337852135294</v>
      </c>
      <c r="GR25" s="529">
        <f t="shared" si="175"/>
        <v>0</v>
      </c>
      <c r="GS25" s="527">
        <v>287.05860763405963</v>
      </c>
      <c r="GT25" s="528">
        <f t="shared" si="65"/>
        <v>5.3774419773343007</v>
      </c>
      <c r="GU25" s="529">
        <f t="shared" si="176"/>
        <v>0</v>
      </c>
      <c r="GV25" s="527">
        <v>73.069463761397003</v>
      </c>
      <c r="GW25" s="528">
        <f t="shared" si="66"/>
        <v>1.3688034124123676</v>
      </c>
      <c r="GX25" s="529">
        <f t="shared" si="177"/>
        <v>0</v>
      </c>
      <c r="GY25" s="527"/>
      <c r="GZ25" s="528">
        <f t="shared" si="67"/>
        <v>0</v>
      </c>
      <c r="HA25" s="529">
        <f t="shared" si="178"/>
        <v>0</v>
      </c>
      <c r="HB25" s="527"/>
      <c r="HC25" s="528">
        <f t="shared" si="68"/>
        <v>0</v>
      </c>
      <c r="HD25" s="529">
        <f t="shared" si="179"/>
        <v>0</v>
      </c>
      <c r="HE25" s="527"/>
      <c r="HF25" s="528">
        <f t="shared" si="69"/>
        <v>0</v>
      </c>
      <c r="HG25" s="529">
        <f t="shared" si="180"/>
        <v>0</v>
      </c>
      <c r="HH25" s="527"/>
      <c r="HI25" s="528">
        <f t="shared" si="70"/>
        <v>0</v>
      </c>
      <c r="HJ25" s="529">
        <f t="shared" si="181"/>
        <v>0</v>
      </c>
      <c r="HK25" s="527"/>
      <c r="HL25" s="528">
        <f t="shared" si="71"/>
        <v>0</v>
      </c>
      <c r="HM25" s="529">
        <f t="shared" si="182"/>
        <v>0</v>
      </c>
      <c r="HN25" s="527">
        <v>885.18436099520932</v>
      </c>
      <c r="HO25" s="528">
        <f t="shared" si="72"/>
        <v>16.582075624652681</v>
      </c>
      <c r="HP25" s="529">
        <f t="shared" si="183"/>
        <v>0</v>
      </c>
      <c r="HQ25" s="527"/>
      <c r="HR25" s="528">
        <f t="shared" si="73"/>
        <v>0</v>
      </c>
      <c r="HS25" s="529">
        <f t="shared" si="184"/>
        <v>0</v>
      </c>
      <c r="HT25" s="527"/>
      <c r="HU25" s="528">
        <f t="shared" si="74"/>
        <v>0</v>
      </c>
      <c r="HV25" s="529">
        <f t="shared" si="185"/>
        <v>0</v>
      </c>
      <c r="HW25" s="527"/>
      <c r="HX25" s="528">
        <f t="shared" si="75"/>
        <v>0</v>
      </c>
      <c r="HY25" s="529">
        <f t="shared" si="186"/>
        <v>0</v>
      </c>
      <c r="HZ25" s="527"/>
      <c r="IA25" s="528">
        <f t="shared" si="76"/>
        <v>0</v>
      </c>
      <c r="IB25" s="529">
        <f t="shared" si="187"/>
        <v>0</v>
      </c>
      <c r="IC25" s="527"/>
      <c r="ID25" s="528">
        <f t="shared" si="77"/>
        <v>0</v>
      </c>
      <c r="IE25" s="529">
        <f t="shared" si="188"/>
        <v>0</v>
      </c>
      <c r="IF25" s="527"/>
      <c r="IG25" s="528">
        <f t="shared" si="78"/>
        <v>0</v>
      </c>
      <c r="IH25" s="529">
        <f t="shared" si="189"/>
        <v>0</v>
      </c>
      <c r="II25" s="527">
        <v>26.096237057641787</v>
      </c>
      <c r="IJ25" s="528">
        <f t="shared" si="79"/>
        <v>0.48885836157584556</v>
      </c>
      <c r="IK25" s="529">
        <f t="shared" si="190"/>
        <v>0</v>
      </c>
      <c r="IL25" s="527"/>
      <c r="IM25" s="528">
        <f t="shared" si="80"/>
        <v>0</v>
      </c>
      <c r="IN25" s="529">
        <f t="shared" si="191"/>
        <v>0</v>
      </c>
      <c r="IO25" s="527"/>
      <c r="IP25" s="528">
        <f t="shared" si="81"/>
        <v>0</v>
      </c>
      <c r="IQ25" s="529">
        <f t="shared" si="192"/>
        <v>0</v>
      </c>
      <c r="IR25" s="527">
        <v>36.534731880698502</v>
      </c>
      <c r="IS25" s="528">
        <f t="shared" si="82"/>
        <v>0.68440170620618379</v>
      </c>
      <c r="IT25" s="529">
        <f t="shared" si="193"/>
        <v>0</v>
      </c>
      <c r="IU25" s="527"/>
      <c r="IV25" s="528">
        <f t="shared" si="83"/>
        <v>0</v>
      </c>
      <c r="IW25" s="529">
        <f t="shared" si="194"/>
        <v>0</v>
      </c>
      <c r="IX25" s="527"/>
      <c r="IY25" s="528">
        <f t="shared" si="84"/>
        <v>0</v>
      </c>
      <c r="IZ25" s="529">
        <f t="shared" si="195"/>
        <v>0</v>
      </c>
      <c r="JA25" s="527"/>
      <c r="JB25" s="528">
        <f t="shared" si="85"/>
        <v>0</v>
      </c>
      <c r="JC25" s="529">
        <f t="shared" si="196"/>
        <v>0</v>
      </c>
      <c r="JD25" s="527"/>
      <c r="JE25" s="528">
        <f t="shared" si="86"/>
        <v>0</v>
      </c>
      <c r="JF25" s="529">
        <f t="shared" si="197"/>
        <v>0</v>
      </c>
      <c r="JG25" s="527"/>
      <c r="JH25" s="528">
        <f t="shared" si="87"/>
        <v>0</v>
      </c>
      <c r="JI25" s="529">
        <f t="shared" si="198"/>
        <v>0</v>
      </c>
      <c r="JJ25" s="527">
        <v>20.876989646113429</v>
      </c>
      <c r="JK25" s="529" t="str">
        <f t="shared" si="88"/>
        <v>0</v>
      </c>
      <c r="JL25" s="529" t="str">
        <f t="shared" si="89"/>
        <v>0</v>
      </c>
      <c r="JM25" s="527"/>
      <c r="JN25" s="529" t="str">
        <f t="shared" si="90"/>
        <v>0</v>
      </c>
      <c r="JO25" s="529" t="str">
        <f t="shared" si="91"/>
        <v>0</v>
      </c>
      <c r="JP25" s="527"/>
      <c r="JQ25" s="529" t="str">
        <f t="shared" si="92"/>
        <v>0</v>
      </c>
      <c r="JR25" s="529" t="str">
        <f t="shared" si="93"/>
        <v>0</v>
      </c>
      <c r="JS25" s="527"/>
      <c r="JT25" s="529" t="str">
        <f t="shared" si="94"/>
        <v>0</v>
      </c>
      <c r="JU25" s="529" t="str">
        <f t="shared" si="95"/>
        <v>0</v>
      </c>
      <c r="JV25" s="527"/>
      <c r="JW25" s="529" t="str">
        <f t="shared" si="96"/>
        <v>0</v>
      </c>
      <c r="JX25" s="529" t="str">
        <f t="shared" si="97"/>
        <v>0</v>
      </c>
      <c r="JY25" s="527"/>
      <c r="JZ25" s="529" t="str">
        <f t="shared" si="98"/>
        <v>0</v>
      </c>
      <c r="KA25" s="529" t="str">
        <f t="shared" si="99"/>
        <v>0</v>
      </c>
      <c r="KB25" s="527"/>
      <c r="KC25" s="529" t="str">
        <f t="shared" si="100"/>
        <v>0</v>
      </c>
      <c r="KD25" s="529" t="str">
        <f t="shared" si="101"/>
        <v>0</v>
      </c>
      <c r="KE25" s="527"/>
      <c r="KF25" s="529" t="str">
        <f t="shared" si="102"/>
        <v>0</v>
      </c>
      <c r="KG25" s="529" t="str">
        <f t="shared" si="103"/>
        <v>0</v>
      </c>
      <c r="KH25" s="527"/>
      <c r="KI25" s="529" t="str">
        <f t="shared" si="104"/>
        <v>0</v>
      </c>
      <c r="KJ25" s="529" t="str">
        <f t="shared" si="105"/>
        <v>0</v>
      </c>
      <c r="KK25" s="527"/>
      <c r="KL25" s="529" t="str">
        <f t="shared" si="106"/>
        <v>0</v>
      </c>
      <c r="KM25" s="529" t="str">
        <f t="shared" si="107"/>
        <v>0</v>
      </c>
      <c r="KN25" s="527"/>
      <c r="KO25" s="529" t="str">
        <f t="shared" si="108"/>
        <v>0</v>
      </c>
      <c r="KP25" s="529" t="str">
        <f t="shared" si="109"/>
        <v>0</v>
      </c>
      <c r="KQ25" s="527"/>
      <c r="KR25" s="529" t="str">
        <f t="shared" si="110"/>
        <v>0</v>
      </c>
      <c r="KS25" s="529" t="str">
        <f t="shared" si="111"/>
        <v>0</v>
      </c>
      <c r="KT25" s="529">
        <f t="shared" si="201"/>
        <v>0</v>
      </c>
      <c r="KU25" s="529">
        <f t="shared" si="202"/>
        <v>0</v>
      </c>
      <c r="KV25" s="268">
        <f t="shared" si="199"/>
        <v>2631.6100258462257</v>
      </c>
    </row>
    <row r="26" spans="1:309" ht="15" customHeight="1">
      <c r="A26" s="270">
        <f t="shared" si="200"/>
        <v>46099</v>
      </c>
      <c r="B26" s="271" t="str">
        <f>+Report1!B26</f>
        <v>Towel/Toilet</v>
      </c>
      <c r="C26" s="271" t="str">
        <f>+Report1!C26</f>
        <v>22/14</v>
      </c>
      <c r="D26" s="272">
        <f>+Report1!P26</f>
        <v>47.552999999999997</v>
      </c>
      <c r="E26" s="273">
        <f>+Report1!R26</f>
        <v>46.094999999999999</v>
      </c>
      <c r="F26" s="527"/>
      <c r="G26" s="528">
        <f t="shared" si="0"/>
        <v>0</v>
      </c>
      <c r="H26" s="529">
        <f t="shared" si="112"/>
        <v>0</v>
      </c>
      <c r="I26" s="527"/>
      <c r="J26" s="528">
        <f t="shared" si="1"/>
        <v>0</v>
      </c>
      <c r="K26" s="529">
        <f t="shared" si="113"/>
        <v>0</v>
      </c>
      <c r="L26" s="527"/>
      <c r="M26" s="528">
        <f t="shared" si="2"/>
        <v>0</v>
      </c>
      <c r="N26" s="529">
        <f t="shared" si="114"/>
        <v>0</v>
      </c>
      <c r="O26" s="527">
        <v>10.5</v>
      </c>
      <c r="P26" s="528">
        <f t="shared" si="3"/>
        <v>0.22779043280182232</v>
      </c>
      <c r="Q26" s="529">
        <f t="shared" si="115"/>
        <v>0</v>
      </c>
      <c r="R26" s="527"/>
      <c r="S26" s="528">
        <f t="shared" si="4"/>
        <v>0</v>
      </c>
      <c r="T26" s="529">
        <f t="shared" si="116"/>
        <v>0</v>
      </c>
      <c r="U26" s="527">
        <v>7.6875</v>
      </c>
      <c r="V26" s="528">
        <f t="shared" si="5"/>
        <v>0.1667751383013342</v>
      </c>
      <c r="W26" s="529">
        <f t="shared" si="117"/>
        <v>0</v>
      </c>
      <c r="X26" s="527"/>
      <c r="Y26" s="528">
        <f t="shared" si="6"/>
        <v>0</v>
      </c>
      <c r="Z26" s="529">
        <f t="shared" si="118"/>
        <v>0</v>
      </c>
      <c r="AA26" s="527">
        <v>6.25</v>
      </c>
      <c r="AB26" s="528">
        <f t="shared" si="7"/>
        <v>0.13558954333441806</v>
      </c>
      <c r="AC26" s="529">
        <f t="shared" si="119"/>
        <v>0</v>
      </c>
      <c r="AD26" s="527"/>
      <c r="AE26" s="528">
        <f t="shared" si="8"/>
        <v>0</v>
      </c>
      <c r="AF26" s="529">
        <f t="shared" si="120"/>
        <v>0</v>
      </c>
      <c r="AG26" s="527"/>
      <c r="AH26" s="528">
        <f t="shared" si="9"/>
        <v>0</v>
      </c>
      <c r="AI26" s="529">
        <f t="shared" si="121"/>
        <v>0</v>
      </c>
      <c r="AJ26" s="527">
        <v>22.03125</v>
      </c>
      <c r="AK26" s="528">
        <f t="shared" si="10"/>
        <v>0.47795314025382363</v>
      </c>
      <c r="AL26" s="529">
        <f t="shared" si="122"/>
        <v>0</v>
      </c>
      <c r="AM26" s="527"/>
      <c r="AN26" s="528">
        <f t="shared" si="11"/>
        <v>0</v>
      </c>
      <c r="AO26" s="529">
        <f t="shared" si="123"/>
        <v>0</v>
      </c>
      <c r="AP26" s="527"/>
      <c r="AQ26" s="528">
        <f t="shared" si="12"/>
        <v>0</v>
      </c>
      <c r="AR26" s="529">
        <f t="shared" si="124"/>
        <v>0</v>
      </c>
      <c r="AS26" s="527"/>
      <c r="AT26" s="528">
        <f t="shared" si="13"/>
        <v>0</v>
      </c>
      <c r="AU26" s="529">
        <f t="shared" si="125"/>
        <v>0</v>
      </c>
      <c r="AV26" s="527"/>
      <c r="AW26" s="528">
        <f t="shared" si="14"/>
        <v>0</v>
      </c>
      <c r="AX26" s="529">
        <f t="shared" si="126"/>
        <v>0</v>
      </c>
      <c r="AY26" s="527"/>
      <c r="AZ26" s="528">
        <f t="shared" si="15"/>
        <v>0</v>
      </c>
      <c r="BA26" s="529">
        <f t="shared" si="127"/>
        <v>0</v>
      </c>
      <c r="BB26" s="527"/>
      <c r="BC26" s="528">
        <f t="shared" si="16"/>
        <v>0</v>
      </c>
      <c r="BD26" s="529">
        <f t="shared" si="128"/>
        <v>0</v>
      </c>
      <c r="BE26" s="527"/>
      <c r="BF26" s="528">
        <f t="shared" si="17"/>
        <v>0</v>
      </c>
      <c r="BG26" s="529">
        <f t="shared" si="129"/>
        <v>0</v>
      </c>
      <c r="BH26" s="527"/>
      <c r="BI26" s="528">
        <f t="shared" si="18"/>
        <v>0</v>
      </c>
      <c r="BJ26" s="529">
        <f t="shared" si="130"/>
        <v>0</v>
      </c>
      <c r="BK26" s="527"/>
      <c r="BL26" s="528">
        <f t="shared" si="19"/>
        <v>0</v>
      </c>
      <c r="BM26" s="529">
        <f t="shared" si="131"/>
        <v>0</v>
      </c>
      <c r="BN26" s="527"/>
      <c r="BO26" s="528">
        <f t="shared" si="20"/>
        <v>0</v>
      </c>
      <c r="BP26" s="529">
        <f t="shared" si="132"/>
        <v>0</v>
      </c>
      <c r="BQ26" s="527"/>
      <c r="BR26" s="528">
        <f t="shared" si="21"/>
        <v>0</v>
      </c>
      <c r="BS26" s="529">
        <f t="shared" si="133"/>
        <v>0</v>
      </c>
      <c r="BT26" s="527"/>
      <c r="BU26" s="528">
        <f t="shared" si="22"/>
        <v>0</v>
      </c>
      <c r="BV26" s="529">
        <f t="shared" si="134"/>
        <v>0</v>
      </c>
      <c r="BW26" s="527"/>
      <c r="BX26" s="528">
        <f t="shared" si="23"/>
        <v>0</v>
      </c>
      <c r="BY26" s="529">
        <f t="shared" si="135"/>
        <v>0</v>
      </c>
      <c r="BZ26" s="527"/>
      <c r="CA26" s="528">
        <f t="shared" si="24"/>
        <v>0</v>
      </c>
      <c r="CB26" s="529">
        <f t="shared" si="136"/>
        <v>0</v>
      </c>
      <c r="CC26" s="527"/>
      <c r="CD26" s="528">
        <f t="shared" si="25"/>
        <v>0</v>
      </c>
      <c r="CE26" s="529">
        <f t="shared" si="137"/>
        <v>0</v>
      </c>
      <c r="CF26" s="527">
        <v>4.75</v>
      </c>
      <c r="CG26" s="528">
        <f t="shared" si="26"/>
        <v>0.10304805293415772</v>
      </c>
      <c r="CH26" s="529">
        <f t="shared" si="138"/>
        <v>0</v>
      </c>
      <c r="CI26" s="527"/>
      <c r="CJ26" s="528">
        <f t="shared" si="27"/>
        <v>0</v>
      </c>
      <c r="CK26" s="529">
        <f t="shared" si="139"/>
        <v>0</v>
      </c>
      <c r="CL26" s="527"/>
      <c r="CM26" s="528">
        <f t="shared" si="28"/>
        <v>0</v>
      </c>
      <c r="CN26" s="529">
        <f t="shared" si="140"/>
        <v>0</v>
      </c>
      <c r="CO26" s="527"/>
      <c r="CP26" s="528">
        <f t="shared" si="29"/>
        <v>0</v>
      </c>
      <c r="CQ26" s="529">
        <f t="shared" si="141"/>
        <v>0</v>
      </c>
      <c r="CR26" s="527"/>
      <c r="CS26" s="528">
        <f t="shared" si="30"/>
        <v>0</v>
      </c>
      <c r="CT26" s="529">
        <f t="shared" si="142"/>
        <v>0</v>
      </c>
      <c r="CU26" s="527"/>
      <c r="CV26" s="528">
        <f t="shared" si="31"/>
        <v>0</v>
      </c>
      <c r="CW26" s="529">
        <f t="shared" si="143"/>
        <v>0</v>
      </c>
      <c r="CX26" s="527"/>
      <c r="CY26" s="528">
        <f t="shared" si="32"/>
        <v>0</v>
      </c>
      <c r="CZ26" s="529">
        <f t="shared" si="144"/>
        <v>0</v>
      </c>
      <c r="DA26" s="527">
        <v>203.48837209302326</v>
      </c>
      <c r="DB26" s="528">
        <f t="shared" si="33"/>
        <v>4.4145432713531463</v>
      </c>
      <c r="DC26" s="529">
        <f t="shared" si="145"/>
        <v>0</v>
      </c>
      <c r="DD26" s="527"/>
      <c r="DE26" s="528">
        <f t="shared" si="34"/>
        <v>0</v>
      </c>
      <c r="DF26" s="529">
        <f t="shared" si="146"/>
        <v>0</v>
      </c>
      <c r="DG26" s="527"/>
      <c r="DH26" s="528">
        <f t="shared" si="35"/>
        <v>0</v>
      </c>
      <c r="DI26" s="529">
        <f t="shared" si="203"/>
        <v>0</v>
      </c>
      <c r="DJ26" s="527"/>
      <c r="DK26" s="528">
        <f t="shared" si="36"/>
        <v>0</v>
      </c>
      <c r="DL26" s="529">
        <f t="shared" si="147"/>
        <v>0</v>
      </c>
      <c r="DM26" s="527"/>
      <c r="DN26" s="528">
        <f t="shared" si="37"/>
        <v>0</v>
      </c>
      <c r="DO26" s="529">
        <f t="shared" si="148"/>
        <v>0</v>
      </c>
      <c r="DP26" s="527"/>
      <c r="DQ26" s="528">
        <f t="shared" si="38"/>
        <v>0</v>
      </c>
      <c r="DR26" s="529">
        <f t="shared" si="149"/>
        <v>0</v>
      </c>
      <c r="DS26" s="527"/>
      <c r="DT26" s="528">
        <f t="shared" si="39"/>
        <v>0</v>
      </c>
      <c r="DU26" s="529">
        <f t="shared" si="150"/>
        <v>0</v>
      </c>
      <c r="DV26" s="527"/>
      <c r="DW26" s="528">
        <f t="shared" si="40"/>
        <v>0</v>
      </c>
      <c r="DX26" s="529">
        <f t="shared" si="151"/>
        <v>0</v>
      </c>
      <c r="DY26" s="527"/>
      <c r="DZ26" s="528">
        <f t="shared" si="41"/>
        <v>0</v>
      </c>
      <c r="EA26" s="529">
        <f t="shared" si="152"/>
        <v>0</v>
      </c>
      <c r="EB26" s="527">
        <v>127.9069767441863</v>
      </c>
      <c r="EC26" s="528">
        <f t="shared" si="42"/>
        <v>2.77485577056484</v>
      </c>
      <c r="ED26" s="529">
        <f t="shared" si="153"/>
        <v>0</v>
      </c>
      <c r="EE26" s="527">
        <v>14.535</v>
      </c>
      <c r="EF26" s="528">
        <f t="shared" si="43"/>
        <v>0.31532704197852263</v>
      </c>
      <c r="EG26" s="529">
        <f t="shared" si="154"/>
        <v>0</v>
      </c>
      <c r="EH26" s="527">
        <v>240.69411764705876</v>
      </c>
      <c r="EI26" s="528">
        <f t="shared" si="44"/>
        <v>5.2216968792072622</v>
      </c>
      <c r="EJ26" s="529">
        <f t="shared" si="155"/>
        <v>0</v>
      </c>
      <c r="EK26" s="527">
        <v>0</v>
      </c>
      <c r="EL26" s="528">
        <f t="shared" si="45"/>
        <v>0</v>
      </c>
      <c r="EM26" s="529">
        <f t="shared" si="156"/>
        <v>0</v>
      </c>
      <c r="EN26" s="527">
        <v>45.731707317073187</v>
      </c>
      <c r="EO26" s="528">
        <f t="shared" si="46"/>
        <v>0.99211860976403488</v>
      </c>
      <c r="EP26" s="529">
        <f t="shared" si="157"/>
        <v>0</v>
      </c>
      <c r="EQ26" s="527">
        <v>49.418604651162781</v>
      </c>
      <c r="ER26" s="528">
        <f t="shared" si="47"/>
        <v>1.0721033659000494</v>
      </c>
      <c r="ES26" s="529">
        <f t="shared" si="158"/>
        <v>0</v>
      </c>
      <c r="ET26" s="527"/>
      <c r="EU26" s="528">
        <f t="shared" si="48"/>
        <v>0</v>
      </c>
      <c r="EV26" s="529">
        <f t="shared" si="159"/>
        <v>0</v>
      </c>
      <c r="EW26" s="527"/>
      <c r="EX26" s="528">
        <f t="shared" si="49"/>
        <v>0</v>
      </c>
      <c r="EY26" s="529">
        <f t="shared" si="160"/>
        <v>0</v>
      </c>
      <c r="EZ26" s="527"/>
      <c r="FA26" s="528">
        <f t="shared" si="50"/>
        <v>0</v>
      </c>
      <c r="FB26" s="529">
        <f t="shared" si="161"/>
        <v>0</v>
      </c>
      <c r="FC26" s="527"/>
      <c r="FD26" s="528">
        <f t="shared" si="51"/>
        <v>0</v>
      </c>
      <c r="FE26" s="529">
        <f t="shared" si="162"/>
        <v>0</v>
      </c>
      <c r="FF26" s="527"/>
      <c r="FG26" s="528">
        <f t="shared" si="52"/>
        <v>0</v>
      </c>
      <c r="FH26" s="529">
        <f t="shared" si="163"/>
        <v>0</v>
      </c>
      <c r="FI26" s="527"/>
      <c r="FJ26" s="528">
        <f t="shared" si="53"/>
        <v>0</v>
      </c>
      <c r="FK26" s="529">
        <f t="shared" si="164"/>
        <v>0</v>
      </c>
      <c r="FL26" s="527"/>
      <c r="FM26" s="528">
        <f t="shared" si="54"/>
        <v>0</v>
      </c>
      <c r="FN26" s="529">
        <f t="shared" si="165"/>
        <v>0</v>
      </c>
      <c r="FO26" s="527"/>
      <c r="FP26" s="528">
        <f t="shared" si="55"/>
        <v>0</v>
      </c>
      <c r="FQ26" s="529">
        <f t="shared" si="166"/>
        <v>0</v>
      </c>
      <c r="FR26" s="527"/>
      <c r="FS26" s="528">
        <f t="shared" si="56"/>
        <v>0</v>
      </c>
      <c r="FT26" s="529">
        <f t="shared" si="167"/>
        <v>0</v>
      </c>
      <c r="FU26" s="527"/>
      <c r="FV26" s="528">
        <f t="shared" si="57"/>
        <v>0</v>
      </c>
      <c r="FW26" s="529">
        <f t="shared" si="168"/>
        <v>0</v>
      </c>
      <c r="FX26" s="527"/>
      <c r="FY26" s="528">
        <f t="shared" si="58"/>
        <v>0</v>
      </c>
      <c r="FZ26" s="529">
        <f t="shared" si="169"/>
        <v>0</v>
      </c>
      <c r="GA26" s="527"/>
      <c r="GB26" s="528">
        <f t="shared" si="59"/>
        <v>0</v>
      </c>
      <c r="GC26" s="529">
        <f t="shared" si="170"/>
        <v>0</v>
      </c>
      <c r="GD26" s="527"/>
      <c r="GE26" s="528">
        <f t="shared" si="60"/>
        <v>0</v>
      </c>
      <c r="GF26" s="529">
        <f t="shared" si="171"/>
        <v>0</v>
      </c>
      <c r="GG26" s="527">
        <v>13.66845196462619</v>
      </c>
      <c r="GH26" s="528">
        <f t="shared" si="61"/>
        <v>0.29652786559553507</v>
      </c>
      <c r="GI26" s="529">
        <f t="shared" si="172"/>
        <v>0</v>
      </c>
      <c r="GJ26" s="527">
        <v>13.66845196462619</v>
      </c>
      <c r="GK26" s="528">
        <f t="shared" ref="GK26:GK28" si="204">+GJ26/$E26</f>
        <v>0.29652786559553507</v>
      </c>
      <c r="GL26" s="529">
        <f t="shared" ref="GL26:GL28" si="205">+GJ26*$H$8</f>
        <v>0</v>
      </c>
      <c r="GM26" s="527"/>
      <c r="GN26" s="528">
        <f t="shared" ref="GN26:GN28" si="206">+GM26/$E26</f>
        <v>0</v>
      </c>
      <c r="GO26" s="529">
        <f t="shared" ref="GO26:GO28" si="207">+GM26*$H$8</f>
        <v>0</v>
      </c>
      <c r="GP26" s="527">
        <v>36.44920523900317</v>
      </c>
      <c r="GQ26" s="528">
        <f t="shared" ref="GQ26:GQ28" si="208">+GP26/$E26</f>
        <v>0.79074097492142681</v>
      </c>
      <c r="GR26" s="529">
        <f t="shared" ref="GR26:GR28" si="209">+GP26*$H$8</f>
        <v>0</v>
      </c>
      <c r="GS26" s="527">
        <v>205.02677946939284</v>
      </c>
      <c r="GT26" s="528">
        <f t="shared" ref="GT26:GT28" si="210">+GS26/$E26</f>
        <v>4.4479179839330261</v>
      </c>
      <c r="GU26" s="529">
        <f t="shared" ref="GU26:GU28" si="211">+GS26*$H$8</f>
        <v>0</v>
      </c>
      <c r="GV26" s="527">
        <v>63.78610916825555</v>
      </c>
      <c r="GW26" s="528">
        <f t="shared" si="66"/>
        <v>1.3837967061124969</v>
      </c>
      <c r="GX26" s="529">
        <f t="shared" si="177"/>
        <v>0</v>
      </c>
      <c r="GY26" s="527"/>
      <c r="GZ26" s="528">
        <f t="shared" si="67"/>
        <v>0</v>
      </c>
      <c r="HA26" s="529">
        <f t="shared" si="178"/>
        <v>0</v>
      </c>
      <c r="HB26" s="527"/>
      <c r="HC26" s="528">
        <f t="shared" si="68"/>
        <v>0</v>
      </c>
      <c r="HD26" s="529">
        <f t="shared" si="179"/>
        <v>0</v>
      </c>
      <c r="HE26" s="527"/>
      <c r="HF26" s="528">
        <f t="shared" si="69"/>
        <v>0</v>
      </c>
      <c r="HG26" s="529">
        <f t="shared" si="180"/>
        <v>0</v>
      </c>
      <c r="HH26" s="527"/>
      <c r="HI26" s="528">
        <f t="shared" si="70"/>
        <v>0</v>
      </c>
      <c r="HJ26" s="529">
        <f t="shared" si="181"/>
        <v>0</v>
      </c>
      <c r="HK26" s="527"/>
      <c r="HL26" s="528">
        <f t="shared" si="71"/>
        <v>0</v>
      </c>
      <c r="HM26" s="529">
        <f t="shared" si="182"/>
        <v>0</v>
      </c>
      <c r="HN26" s="527">
        <v>501.17657203629363</v>
      </c>
      <c r="HO26" s="528">
        <f t="shared" si="72"/>
        <v>10.872688405169621</v>
      </c>
      <c r="HP26" s="529">
        <f t="shared" si="183"/>
        <v>0</v>
      </c>
      <c r="HQ26" s="527"/>
      <c r="HR26" s="528">
        <f t="shared" si="73"/>
        <v>0</v>
      </c>
      <c r="HS26" s="529">
        <f t="shared" si="184"/>
        <v>0</v>
      </c>
      <c r="HT26" s="527"/>
      <c r="HU26" s="528">
        <f t="shared" si="74"/>
        <v>0</v>
      </c>
      <c r="HV26" s="529">
        <f t="shared" si="185"/>
        <v>0</v>
      </c>
      <c r="HW26" s="527"/>
      <c r="HX26" s="528">
        <f t="shared" si="75"/>
        <v>0</v>
      </c>
      <c r="HY26" s="529">
        <f t="shared" si="186"/>
        <v>0</v>
      </c>
      <c r="HZ26" s="527"/>
      <c r="IA26" s="528">
        <f t="shared" si="76"/>
        <v>0</v>
      </c>
      <c r="IB26" s="529">
        <f t="shared" si="187"/>
        <v>0</v>
      </c>
      <c r="IC26" s="527"/>
      <c r="ID26" s="528">
        <f t="shared" si="77"/>
        <v>0</v>
      </c>
      <c r="IE26" s="529">
        <f t="shared" si="188"/>
        <v>0</v>
      </c>
      <c r="IF26" s="527"/>
      <c r="IG26" s="528">
        <f t="shared" si="78"/>
        <v>0</v>
      </c>
      <c r="IH26" s="529">
        <f t="shared" si="189"/>
        <v>0</v>
      </c>
      <c r="II26" s="527">
        <v>20.502677946939286</v>
      </c>
      <c r="IJ26" s="528">
        <f t="shared" si="79"/>
        <v>0.44479179839330268</v>
      </c>
      <c r="IK26" s="529">
        <f t="shared" si="190"/>
        <v>0</v>
      </c>
      <c r="IL26" s="527"/>
      <c r="IM26" s="528">
        <f t="shared" si="80"/>
        <v>0</v>
      </c>
      <c r="IN26" s="529">
        <f t="shared" si="191"/>
        <v>0</v>
      </c>
      <c r="IO26" s="527"/>
      <c r="IP26" s="528">
        <f t="shared" si="81"/>
        <v>0</v>
      </c>
      <c r="IQ26" s="529">
        <f t="shared" si="192"/>
        <v>0</v>
      </c>
      <c r="IR26" s="527">
        <v>31.893054584127775</v>
      </c>
      <c r="IS26" s="528">
        <f t="shared" si="82"/>
        <v>0.69189835305624847</v>
      </c>
      <c r="IT26" s="529">
        <f t="shared" si="193"/>
        <v>0</v>
      </c>
      <c r="IU26" s="527"/>
      <c r="IV26" s="528">
        <f t="shared" si="83"/>
        <v>0</v>
      </c>
      <c r="IW26" s="529">
        <f t="shared" si="194"/>
        <v>0</v>
      </c>
      <c r="IX26" s="527"/>
      <c r="IY26" s="528">
        <f t="shared" si="84"/>
        <v>0</v>
      </c>
      <c r="IZ26" s="529">
        <f t="shared" si="195"/>
        <v>0</v>
      </c>
      <c r="JA26" s="527"/>
      <c r="JB26" s="528">
        <f t="shared" si="85"/>
        <v>0</v>
      </c>
      <c r="JC26" s="529">
        <f t="shared" si="196"/>
        <v>0</v>
      </c>
      <c r="JD26" s="527"/>
      <c r="JE26" s="528">
        <f t="shared" si="86"/>
        <v>0</v>
      </c>
      <c r="JF26" s="529">
        <f t="shared" si="197"/>
        <v>0</v>
      </c>
      <c r="JG26" s="527"/>
      <c r="JH26" s="528">
        <f t="shared" si="87"/>
        <v>0</v>
      </c>
      <c r="JI26" s="529">
        <f t="shared" si="198"/>
        <v>0</v>
      </c>
      <c r="JJ26" s="527">
        <v>22.780753274376984</v>
      </c>
      <c r="JK26" s="529" t="str">
        <f t="shared" si="88"/>
        <v>0</v>
      </c>
      <c r="JL26" s="529" t="str">
        <f t="shared" si="89"/>
        <v>0</v>
      </c>
      <c r="JM26" s="527"/>
      <c r="JN26" s="529" t="str">
        <f t="shared" si="90"/>
        <v>0</v>
      </c>
      <c r="JO26" s="529" t="str">
        <f t="shared" si="91"/>
        <v>0</v>
      </c>
      <c r="JP26" s="527"/>
      <c r="JQ26" s="529" t="str">
        <f t="shared" si="92"/>
        <v>0</v>
      </c>
      <c r="JR26" s="529" t="str">
        <f t="shared" si="93"/>
        <v>0</v>
      </c>
      <c r="JS26" s="527"/>
      <c r="JT26" s="529" t="str">
        <f t="shared" si="94"/>
        <v>0</v>
      </c>
      <c r="JU26" s="529" t="str">
        <f t="shared" si="95"/>
        <v>0</v>
      </c>
      <c r="JV26" s="527"/>
      <c r="JW26" s="529" t="str">
        <f t="shared" si="96"/>
        <v>0</v>
      </c>
      <c r="JX26" s="529" t="str">
        <f t="shared" si="97"/>
        <v>0</v>
      </c>
      <c r="JY26" s="527"/>
      <c r="JZ26" s="529" t="str">
        <f t="shared" si="98"/>
        <v>0</v>
      </c>
      <c r="KA26" s="529" t="str">
        <f t="shared" si="99"/>
        <v>0</v>
      </c>
      <c r="KB26" s="527"/>
      <c r="KC26" s="529" t="str">
        <f t="shared" si="100"/>
        <v>0</v>
      </c>
      <c r="KD26" s="529" t="str">
        <f t="shared" si="101"/>
        <v>0</v>
      </c>
      <c r="KE26" s="527"/>
      <c r="KF26" s="529" t="str">
        <f t="shared" si="102"/>
        <v>0</v>
      </c>
      <c r="KG26" s="529" t="str">
        <f t="shared" si="103"/>
        <v>0</v>
      </c>
      <c r="KH26" s="527"/>
      <c r="KI26" s="529" t="str">
        <f t="shared" si="104"/>
        <v>0</v>
      </c>
      <c r="KJ26" s="529" t="str">
        <f t="shared" si="105"/>
        <v>0</v>
      </c>
      <c r="KK26" s="527"/>
      <c r="KL26" s="529" t="str">
        <f t="shared" si="106"/>
        <v>0</v>
      </c>
      <c r="KM26" s="529" t="str">
        <f t="shared" si="107"/>
        <v>0</v>
      </c>
      <c r="KN26" s="527"/>
      <c r="KO26" s="529" t="str">
        <f t="shared" si="108"/>
        <v>0</v>
      </c>
      <c r="KP26" s="529" t="str">
        <f t="shared" si="109"/>
        <v>0</v>
      </c>
      <c r="KQ26" s="527"/>
      <c r="KR26" s="529" t="str">
        <f t="shared" si="110"/>
        <v>0</v>
      </c>
      <c r="KS26" s="529" t="str">
        <f t="shared" si="111"/>
        <v>0</v>
      </c>
      <c r="KT26" s="529">
        <f t="shared" si="201"/>
        <v>0</v>
      </c>
      <c r="KU26" s="529">
        <f t="shared" si="202"/>
        <v>0</v>
      </c>
      <c r="KV26" s="268">
        <f t="shared" si="199"/>
        <v>1641.9455841001461</v>
      </c>
      <c r="KW26" s="268">
        <f>+KV26-'[4]18'!$F$92</f>
        <v>0</v>
      </c>
    </row>
    <row r="27" spans="1:309" ht="15" customHeight="1">
      <c r="A27" s="270">
        <f t="shared" si="200"/>
        <v>46100</v>
      </c>
      <c r="B27" s="271" t="str">
        <f>+Report1!B27</f>
        <v>Toilet</v>
      </c>
      <c r="C27" s="271" t="str">
        <f>+Report1!C27</f>
        <v>14</v>
      </c>
      <c r="D27" s="272">
        <f>+Report1!P27</f>
        <v>47.244</v>
      </c>
      <c r="E27" s="273">
        <f>+Report1!R27</f>
        <v>47.469000000000001</v>
      </c>
      <c r="F27" s="527"/>
      <c r="G27" s="528">
        <f t="shared" si="0"/>
        <v>0</v>
      </c>
      <c r="H27" s="529">
        <f t="shared" si="112"/>
        <v>0</v>
      </c>
      <c r="I27" s="527"/>
      <c r="J27" s="528">
        <f t="shared" si="1"/>
        <v>0</v>
      </c>
      <c r="K27" s="529">
        <f t="shared" si="113"/>
        <v>0</v>
      </c>
      <c r="L27" s="527"/>
      <c r="M27" s="528">
        <f t="shared" si="2"/>
        <v>0</v>
      </c>
      <c r="N27" s="529">
        <f t="shared" si="114"/>
        <v>0</v>
      </c>
      <c r="O27" s="527">
        <v>10.5</v>
      </c>
      <c r="P27" s="528">
        <f t="shared" si="3"/>
        <v>0.22119699172091259</v>
      </c>
      <c r="Q27" s="529">
        <f t="shared" si="115"/>
        <v>0</v>
      </c>
      <c r="R27" s="527"/>
      <c r="S27" s="528">
        <f t="shared" si="4"/>
        <v>0</v>
      </c>
      <c r="T27" s="529">
        <f t="shared" si="116"/>
        <v>0</v>
      </c>
      <c r="U27" s="527">
        <v>7.6875</v>
      </c>
      <c r="V27" s="528">
        <f t="shared" si="5"/>
        <v>0.16194779750995386</v>
      </c>
      <c r="W27" s="529">
        <f t="shared" si="117"/>
        <v>0</v>
      </c>
      <c r="X27" s="527"/>
      <c r="Y27" s="528">
        <f t="shared" si="6"/>
        <v>0</v>
      </c>
      <c r="Z27" s="529">
        <f t="shared" si="118"/>
        <v>0</v>
      </c>
      <c r="AA27" s="527">
        <v>6.25</v>
      </c>
      <c r="AB27" s="528">
        <f t="shared" si="7"/>
        <v>0.13166487602435273</v>
      </c>
      <c r="AC27" s="529">
        <f t="shared" si="119"/>
        <v>0</v>
      </c>
      <c r="AD27" s="527"/>
      <c r="AE27" s="528">
        <f t="shared" si="8"/>
        <v>0</v>
      </c>
      <c r="AF27" s="529">
        <f t="shared" si="120"/>
        <v>0</v>
      </c>
      <c r="AG27" s="527"/>
      <c r="AH27" s="528">
        <f t="shared" si="9"/>
        <v>0</v>
      </c>
      <c r="AI27" s="529">
        <f t="shared" si="121"/>
        <v>0</v>
      </c>
      <c r="AJ27" s="527">
        <v>22.03125</v>
      </c>
      <c r="AK27" s="528">
        <f t="shared" si="10"/>
        <v>0.46411868798584338</v>
      </c>
      <c r="AL27" s="529">
        <f t="shared" si="122"/>
        <v>0</v>
      </c>
      <c r="AM27" s="527"/>
      <c r="AN27" s="528">
        <f t="shared" si="11"/>
        <v>0</v>
      </c>
      <c r="AO27" s="529">
        <f t="shared" si="123"/>
        <v>0</v>
      </c>
      <c r="AP27" s="527"/>
      <c r="AQ27" s="528">
        <f t="shared" si="12"/>
        <v>0</v>
      </c>
      <c r="AR27" s="529">
        <f t="shared" si="124"/>
        <v>0</v>
      </c>
      <c r="AS27" s="527"/>
      <c r="AT27" s="528">
        <f t="shared" si="13"/>
        <v>0</v>
      </c>
      <c r="AU27" s="529">
        <f t="shared" si="125"/>
        <v>0</v>
      </c>
      <c r="AV27" s="527"/>
      <c r="AW27" s="528">
        <f t="shared" si="14"/>
        <v>0</v>
      </c>
      <c r="AX27" s="529">
        <f t="shared" si="126"/>
        <v>0</v>
      </c>
      <c r="AY27" s="527"/>
      <c r="AZ27" s="528">
        <f t="shared" si="15"/>
        <v>0</v>
      </c>
      <c r="BA27" s="529">
        <f t="shared" si="127"/>
        <v>0</v>
      </c>
      <c r="BB27" s="527"/>
      <c r="BC27" s="528">
        <f t="shared" si="16"/>
        <v>0</v>
      </c>
      <c r="BD27" s="529">
        <f t="shared" si="128"/>
        <v>0</v>
      </c>
      <c r="BE27" s="527"/>
      <c r="BF27" s="528">
        <f t="shared" si="17"/>
        <v>0</v>
      </c>
      <c r="BG27" s="529">
        <f t="shared" si="129"/>
        <v>0</v>
      </c>
      <c r="BH27" s="527"/>
      <c r="BI27" s="528">
        <f t="shared" si="18"/>
        <v>0</v>
      </c>
      <c r="BJ27" s="529">
        <f t="shared" si="130"/>
        <v>0</v>
      </c>
      <c r="BK27" s="527"/>
      <c r="BL27" s="528">
        <f t="shared" si="19"/>
        <v>0</v>
      </c>
      <c r="BM27" s="529">
        <f t="shared" si="131"/>
        <v>0</v>
      </c>
      <c r="BN27" s="527"/>
      <c r="BO27" s="528">
        <f t="shared" si="20"/>
        <v>0</v>
      </c>
      <c r="BP27" s="529">
        <f t="shared" si="132"/>
        <v>0</v>
      </c>
      <c r="BQ27" s="527"/>
      <c r="BR27" s="528">
        <f t="shared" si="21"/>
        <v>0</v>
      </c>
      <c r="BS27" s="529">
        <f t="shared" si="133"/>
        <v>0</v>
      </c>
      <c r="BT27" s="527"/>
      <c r="BU27" s="528">
        <f t="shared" si="22"/>
        <v>0</v>
      </c>
      <c r="BV27" s="529">
        <f t="shared" si="134"/>
        <v>0</v>
      </c>
      <c r="BW27" s="527"/>
      <c r="BX27" s="528">
        <f t="shared" si="23"/>
        <v>0</v>
      </c>
      <c r="BY27" s="529">
        <f t="shared" si="135"/>
        <v>0</v>
      </c>
      <c r="BZ27" s="527"/>
      <c r="CA27" s="528">
        <f t="shared" si="24"/>
        <v>0</v>
      </c>
      <c r="CB27" s="529">
        <f t="shared" si="136"/>
        <v>0</v>
      </c>
      <c r="CC27" s="527"/>
      <c r="CD27" s="528">
        <f t="shared" si="25"/>
        <v>0</v>
      </c>
      <c r="CE27" s="529">
        <f t="shared" si="137"/>
        <v>0</v>
      </c>
      <c r="CF27" s="527">
        <v>4.75</v>
      </c>
      <c r="CG27" s="528">
        <f t="shared" si="26"/>
        <v>0.10006530577850807</v>
      </c>
      <c r="CH27" s="529">
        <f t="shared" si="138"/>
        <v>0</v>
      </c>
      <c r="CI27" s="527"/>
      <c r="CJ27" s="528">
        <f t="shared" si="27"/>
        <v>0</v>
      </c>
      <c r="CK27" s="529">
        <f t="shared" si="139"/>
        <v>0</v>
      </c>
      <c r="CL27" s="527"/>
      <c r="CM27" s="528">
        <f t="shared" si="28"/>
        <v>0</v>
      </c>
      <c r="CN27" s="529">
        <f t="shared" si="140"/>
        <v>0</v>
      </c>
      <c r="CO27" s="527"/>
      <c r="CP27" s="528">
        <f t="shared" si="29"/>
        <v>0</v>
      </c>
      <c r="CQ27" s="529">
        <f t="shared" si="141"/>
        <v>0</v>
      </c>
      <c r="CR27" s="527"/>
      <c r="CS27" s="528">
        <f t="shared" si="30"/>
        <v>0</v>
      </c>
      <c r="CT27" s="529">
        <f t="shared" si="142"/>
        <v>0</v>
      </c>
      <c r="CU27" s="527"/>
      <c r="CV27" s="528">
        <f t="shared" si="31"/>
        <v>0</v>
      </c>
      <c r="CW27" s="529">
        <f t="shared" si="143"/>
        <v>0</v>
      </c>
      <c r="CX27" s="527"/>
      <c r="CY27" s="528">
        <f t="shared" si="32"/>
        <v>0</v>
      </c>
      <c r="CZ27" s="529">
        <f t="shared" si="144"/>
        <v>0</v>
      </c>
      <c r="DA27" s="527">
        <v>203.48837209302326</v>
      </c>
      <c r="DB27" s="528">
        <f t="shared" si="33"/>
        <v>4.2867634054440424</v>
      </c>
      <c r="DC27" s="529">
        <f t="shared" si="145"/>
        <v>0</v>
      </c>
      <c r="DD27" s="527"/>
      <c r="DE27" s="528">
        <f t="shared" si="34"/>
        <v>0</v>
      </c>
      <c r="DF27" s="529">
        <f t="shared" si="146"/>
        <v>0</v>
      </c>
      <c r="DG27" s="527"/>
      <c r="DH27" s="528">
        <f t="shared" si="35"/>
        <v>0</v>
      </c>
      <c r="DI27" s="529">
        <f t="shared" si="203"/>
        <v>0</v>
      </c>
      <c r="DJ27" s="527"/>
      <c r="DK27" s="528">
        <f t="shared" si="36"/>
        <v>0</v>
      </c>
      <c r="DL27" s="529">
        <f t="shared" si="147"/>
        <v>0</v>
      </c>
      <c r="DM27" s="527"/>
      <c r="DN27" s="528">
        <f t="shared" si="37"/>
        <v>0</v>
      </c>
      <c r="DO27" s="529">
        <f t="shared" si="148"/>
        <v>0</v>
      </c>
      <c r="DP27" s="527"/>
      <c r="DQ27" s="528">
        <f t="shared" si="38"/>
        <v>0</v>
      </c>
      <c r="DR27" s="529">
        <f t="shared" si="149"/>
        <v>0</v>
      </c>
      <c r="DS27" s="527"/>
      <c r="DT27" s="528">
        <f t="shared" si="39"/>
        <v>0</v>
      </c>
      <c r="DU27" s="529">
        <f t="shared" si="150"/>
        <v>0</v>
      </c>
      <c r="DV27" s="527"/>
      <c r="DW27" s="528">
        <f t="shared" si="40"/>
        <v>0</v>
      </c>
      <c r="DX27" s="529">
        <f t="shared" si="151"/>
        <v>0</v>
      </c>
      <c r="DY27" s="527"/>
      <c r="DZ27" s="528">
        <f t="shared" si="41"/>
        <v>0</v>
      </c>
      <c r="EA27" s="529">
        <f t="shared" si="152"/>
        <v>0</v>
      </c>
      <c r="EB27" s="527">
        <v>0</v>
      </c>
      <c r="EC27" s="528">
        <f t="shared" si="42"/>
        <v>0</v>
      </c>
      <c r="ED27" s="529">
        <f t="shared" si="153"/>
        <v>0</v>
      </c>
      <c r="EE27" s="527">
        <v>14.535</v>
      </c>
      <c r="EF27" s="528">
        <f t="shared" si="43"/>
        <v>0.30619983568223474</v>
      </c>
      <c r="EG27" s="529">
        <f t="shared" si="154"/>
        <v>0</v>
      </c>
      <c r="EH27" s="527">
        <v>240.69411764705876</v>
      </c>
      <c r="EI27" s="528">
        <f t="shared" si="44"/>
        <v>5.0705537855665543</v>
      </c>
      <c r="EJ27" s="529">
        <f t="shared" si="155"/>
        <v>0</v>
      </c>
      <c r="EK27" s="527">
        <v>3.5</v>
      </c>
      <c r="EL27" s="528">
        <f t="shared" si="45"/>
        <v>7.3732330573637525E-2</v>
      </c>
      <c r="EM27" s="529">
        <f t="shared" si="156"/>
        <v>0</v>
      </c>
      <c r="EN27" s="527">
        <v>45.731707317073187</v>
      </c>
      <c r="EO27" s="528">
        <f t="shared" si="46"/>
        <v>0.96340153188550814</v>
      </c>
      <c r="EP27" s="529">
        <f t="shared" si="157"/>
        <v>0</v>
      </c>
      <c r="EQ27" s="527">
        <v>49.418604651162781</v>
      </c>
      <c r="ER27" s="528">
        <f t="shared" si="47"/>
        <v>1.0410711127506957</v>
      </c>
      <c r="ES27" s="529">
        <f t="shared" si="158"/>
        <v>0</v>
      </c>
      <c r="ET27" s="527"/>
      <c r="EU27" s="528">
        <f t="shared" si="48"/>
        <v>0</v>
      </c>
      <c r="EV27" s="529">
        <f t="shared" si="159"/>
        <v>0</v>
      </c>
      <c r="EW27" s="527"/>
      <c r="EX27" s="528">
        <f t="shared" si="49"/>
        <v>0</v>
      </c>
      <c r="EY27" s="529">
        <f t="shared" si="160"/>
        <v>0</v>
      </c>
      <c r="EZ27" s="527"/>
      <c r="FA27" s="528">
        <f t="shared" si="50"/>
        <v>0</v>
      </c>
      <c r="FB27" s="529">
        <f t="shared" si="161"/>
        <v>0</v>
      </c>
      <c r="FC27" s="527"/>
      <c r="FD27" s="528">
        <f t="shared" si="51"/>
        <v>0</v>
      </c>
      <c r="FE27" s="529">
        <f t="shared" si="162"/>
        <v>0</v>
      </c>
      <c r="FF27" s="527"/>
      <c r="FG27" s="528">
        <f t="shared" si="52"/>
        <v>0</v>
      </c>
      <c r="FH27" s="529">
        <f t="shared" si="163"/>
        <v>0</v>
      </c>
      <c r="FI27" s="527"/>
      <c r="FJ27" s="528">
        <f t="shared" si="53"/>
        <v>0</v>
      </c>
      <c r="FK27" s="529">
        <f t="shared" si="164"/>
        <v>0</v>
      </c>
      <c r="FL27" s="527"/>
      <c r="FM27" s="528">
        <f t="shared" si="54"/>
        <v>0</v>
      </c>
      <c r="FN27" s="529">
        <f t="shared" si="165"/>
        <v>0</v>
      </c>
      <c r="FO27" s="527"/>
      <c r="FP27" s="528">
        <f t="shared" si="55"/>
        <v>0</v>
      </c>
      <c r="FQ27" s="529">
        <f t="shared" si="166"/>
        <v>0</v>
      </c>
      <c r="FR27" s="527"/>
      <c r="FS27" s="528">
        <f t="shared" si="56"/>
        <v>0</v>
      </c>
      <c r="FT27" s="529">
        <f t="shared" si="167"/>
        <v>0</v>
      </c>
      <c r="FU27" s="527"/>
      <c r="FV27" s="528">
        <f t="shared" si="57"/>
        <v>0</v>
      </c>
      <c r="FW27" s="529">
        <f t="shared" si="168"/>
        <v>0</v>
      </c>
      <c r="FX27" s="527"/>
      <c r="FY27" s="528">
        <f t="shared" si="58"/>
        <v>0</v>
      </c>
      <c r="FZ27" s="529">
        <f t="shared" si="169"/>
        <v>0</v>
      </c>
      <c r="GA27" s="527"/>
      <c r="GB27" s="528">
        <f t="shared" si="59"/>
        <v>0</v>
      </c>
      <c r="GC27" s="529">
        <f t="shared" si="170"/>
        <v>0</v>
      </c>
      <c r="GD27" s="527"/>
      <c r="GE27" s="528">
        <f t="shared" si="60"/>
        <v>0</v>
      </c>
      <c r="GF27" s="529">
        <f t="shared" si="171"/>
        <v>0</v>
      </c>
      <c r="GG27" s="527">
        <v>13.158300298014169</v>
      </c>
      <c r="GH27" s="528">
        <f t="shared" si="61"/>
        <v>0.27719775638867827</v>
      </c>
      <c r="GI27" s="529">
        <f t="shared" si="172"/>
        <v>0</v>
      </c>
      <c r="GJ27" s="527">
        <v>13.158300298014169</v>
      </c>
      <c r="GK27" s="528">
        <f t="shared" si="204"/>
        <v>0.27719775638867827</v>
      </c>
      <c r="GL27" s="529">
        <f t="shared" si="205"/>
        <v>0</v>
      </c>
      <c r="GM27" s="527"/>
      <c r="GN27" s="528">
        <f t="shared" si="206"/>
        <v>0</v>
      </c>
      <c r="GO27" s="529">
        <f t="shared" si="207"/>
        <v>0</v>
      </c>
      <c r="GP27" s="527">
        <v>35.088800794704447</v>
      </c>
      <c r="GQ27" s="528">
        <f t="shared" si="208"/>
        <v>0.73919401703647536</v>
      </c>
      <c r="GR27" s="529">
        <f t="shared" si="209"/>
        <v>0</v>
      </c>
      <c r="GS27" s="527">
        <v>201.76060456955059</v>
      </c>
      <c r="GT27" s="528">
        <f t="shared" si="210"/>
        <v>4.2503655979597337</v>
      </c>
      <c r="GU27" s="529">
        <f t="shared" si="211"/>
        <v>0</v>
      </c>
      <c r="GV27" s="527">
        <v>57.019301291394733</v>
      </c>
      <c r="GW27" s="528">
        <f t="shared" si="66"/>
        <v>1.2011902776842724</v>
      </c>
      <c r="GX27" s="529">
        <f t="shared" si="177"/>
        <v>0</v>
      </c>
      <c r="GY27" s="527"/>
      <c r="GZ27" s="528">
        <f t="shared" si="67"/>
        <v>0</v>
      </c>
      <c r="HA27" s="529">
        <f t="shared" si="178"/>
        <v>0</v>
      </c>
      <c r="HB27" s="527"/>
      <c r="HC27" s="528">
        <f t="shared" si="68"/>
        <v>0</v>
      </c>
      <c r="HD27" s="529">
        <f t="shared" si="179"/>
        <v>0</v>
      </c>
      <c r="HE27" s="527"/>
      <c r="HF27" s="528">
        <f t="shared" si="69"/>
        <v>0</v>
      </c>
      <c r="HG27" s="529">
        <f t="shared" si="180"/>
        <v>0</v>
      </c>
      <c r="HH27" s="527"/>
      <c r="HI27" s="528">
        <f t="shared" si="70"/>
        <v>0</v>
      </c>
      <c r="HJ27" s="529">
        <f t="shared" si="181"/>
        <v>0</v>
      </c>
      <c r="HK27" s="527"/>
      <c r="HL27" s="528">
        <f t="shared" si="71"/>
        <v>0</v>
      </c>
      <c r="HM27" s="529">
        <f t="shared" si="182"/>
        <v>0</v>
      </c>
      <c r="HN27" s="527">
        <v>700.02157585435373</v>
      </c>
      <c r="HO27" s="528">
        <f t="shared" si="72"/>
        <v>14.746920639877683</v>
      </c>
      <c r="HP27" s="529">
        <f t="shared" si="183"/>
        <v>0</v>
      </c>
      <c r="HQ27" s="527"/>
      <c r="HR27" s="528">
        <f t="shared" si="73"/>
        <v>0</v>
      </c>
      <c r="HS27" s="529">
        <f t="shared" si="184"/>
        <v>0</v>
      </c>
      <c r="HT27" s="527"/>
      <c r="HU27" s="528">
        <f t="shared" si="74"/>
        <v>0</v>
      </c>
      <c r="HV27" s="529">
        <f t="shared" si="185"/>
        <v>0</v>
      </c>
      <c r="HW27" s="527"/>
      <c r="HX27" s="528">
        <f t="shared" si="75"/>
        <v>0</v>
      </c>
      <c r="HY27" s="529">
        <f t="shared" si="186"/>
        <v>0</v>
      </c>
      <c r="HZ27" s="527"/>
      <c r="IA27" s="528">
        <f t="shared" si="76"/>
        <v>0</v>
      </c>
      <c r="IB27" s="529">
        <f t="shared" si="187"/>
        <v>0</v>
      </c>
      <c r="IC27" s="527"/>
      <c r="ID27" s="528">
        <f t="shared" si="77"/>
        <v>0</v>
      </c>
      <c r="IE27" s="529">
        <f t="shared" si="188"/>
        <v>0</v>
      </c>
      <c r="IF27" s="527"/>
      <c r="IG27" s="528">
        <f t="shared" si="78"/>
        <v>0</v>
      </c>
      <c r="IH27" s="529">
        <f t="shared" si="189"/>
        <v>0</v>
      </c>
      <c r="II27" s="527">
        <v>19.737450447021253</v>
      </c>
      <c r="IJ27" s="528">
        <f t="shared" si="79"/>
        <v>0.41579663458301741</v>
      </c>
      <c r="IK27" s="529">
        <f t="shared" si="190"/>
        <v>0</v>
      </c>
      <c r="IL27" s="527"/>
      <c r="IM27" s="528">
        <f t="shared" si="80"/>
        <v>0</v>
      </c>
      <c r="IN27" s="529">
        <f t="shared" si="191"/>
        <v>0</v>
      </c>
      <c r="IO27" s="527"/>
      <c r="IP27" s="528">
        <f t="shared" si="81"/>
        <v>0</v>
      </c>
      <c r="IQ27" s="529">
        <f t="shared" si="192"/>
        <v>0</v>
      </c>
      <c r="IR27" s="527">
        <v>39.474900894042506</v>
      </c>
      <c r="IS27" s="528">
        <f t="shared" si="82"/>
        <v>0.83159326916603482</v>
      </c>
      <c r="IT27" s="529">
        <f t="shared" si="193"/>
        <v>0</v>
      </c>
      <c r="IU27" s="527"/>
      <c r="IV27" s="528">
        <f t="shared" si="83"/>
        <v>0</v>
      </c>
      <c r="IW27" s="529">
        <f t="shared" si="194"/>
        <v>0</v>
      </c>
      <c r="IX27" s="527"/>
      <c r="IY27" s="528">
        <f t="shared" si="84"/>
        <v>0</v>
      </c>
      <c r="IZ27" s="529">
        <f t="shared" si="195"/>
        <v>0</v>
      </c>
      <c r="JA27" s="527"/>
      <c r="JB27" s="528">
        <f t="shared" si="85"/>
        <v>0</v>
      </c>
      <c r="JC27" s="529">
        <f t="shared" si="196"/>
        <v>0</v>
      </c>
      <c r="JD27" s="527"/>
      <c r="JE27" s="528">
        <f t="shared" si="86"/>
        <v>0</v>
      </c>
      <c r="JF27" s="529">
        <f t="shared" si="197"/>
        <v>0</v>
      </c>
      <c r="JG27" s="527"/>
      <c r="JH27" s="528">
        <f t="shared" si="87"/>
        <v>0</v>
      </c>
      <c r="JI27" s="529">
        <f t="shared" si="198"/>
        <v>0</v>
      </c>
      <c r="JJ27" s="527">
        <v>21.930500496690282</v>
      </c>
      <c r="JK27" s="529" t="str">
        <f t="shared" si="88"/>
        <v>0</v>
      </c>
      <c r="JL27" s="529" t="str">
        <f t="shared" si="89"/>
        <v>0</v>
      </c>
      <c r="JM27" s="527"/>
      <c r="JN27" s="529" t="str">
        <f t="shared" si="90"/>
        <v>0</v>
      </c>
      <c r="JO27" s="529" t="str">
        <f t="shared" si="91"/>
        <v>0</v>
      </c>
      <c r="JP27" s="527"/>
      <c r="JQ27" s="529" t="str">
        <f t="shared" si="92"/>
        <v>0</v>
      </c>
      <c r="JR27" s="529" t="str">
        <f t="shared" si="93"/>
        <v>0</v>
      </c>
      <c r="JS27" s="527"/>
      <c r="JT27" s="529" t="str">
        <f t="shared" si="94"/>
        <v>0</v>
      </c>
      <c r="JU27" s="529" t="str">
        <f t="shared" si="95"/>
        <v>0</v>
      </c>
      <c r="JV27" s="527"/>
      <c r="JW27" s="529" t="str">
        <f t="shared" si="96"/>
        <v>0</v>
      </c>
      <c r="JX27" s="529" t="str">
        <f t="shared" si="97"/>
        <v>0</v>
      </c>
      <c r="JY27" s="527"/>
      <c r="JZ27" s="529" t="str">
        <f t="shared" si="98"/>
        <v>0</v>
      </c>
      <c r="KA27" s="529" t="str">
        <f t="shared" si="99"/>
        <v>0</v>
      </c>
      <c r="KB27" s="527"/>
      <c r="KC27" s="529" t="str">
        <f t="shared" si="100"/>
        <v>0</v>
      </c>
      <c r="KD27" s="529" t="str">
        <f t="shared" si="101"/>
        <v>0</v>
      </c>
      <c r="KE27" s="527"/>
      <c r="KF27" s="529" t="str">
        <f t="shared" si="102"/>
        <v>0</v>
      </c>
      <c r="KG27" s="529" t="str">
        <f t="shared" si="103"/>
        <v>0</v>
      </c>
      <c r="KH27" s="527"/>
      <c r="KI27" s="529" t="str">
        <f t="shared" si="104"/>
        <v>0</v>
      </c>
      <c r="KJ27" s="529" t="str">
        <f t="shared" si="105"/>
        <v>0</v>
      </c>
      <c r="KK27" s="527"/>
      <c r="KL27" s="529" t="str">
        <f t="shared" si="106"/>
        <v>0</v>
      </c>
      <c r="KM27" s="529" t="str">
        <f t="shared" si="107"/>
        <v>0</v>
      </c>
      <c r="KN27" s="527"/>
      <c r="KO27" s="529" t="str">
        <f t="shared" si="108"/>
        <v>0</v>
      </c>
      <c r="KP27" s="529" t="str">
        <f t="shared" si="109"/>
        <v>0</v>
      </c>
      <c r="KQ27" s="527"/>
      <c r="KR27" s="529" t="str">
        <f t="shared" si="110"/>
        <v>0</v>
      </c>
      <c r="KS27" s="529" t="str">
        <f t="shared" si="111"/>
        <v>0</v>
      </c>
      <c r="KT27" s="529">
        <f t="shared" si="201"/>
        <v>0</v>
      </c>
      <c r="KU27" s="529">
        <f t="shared" si="202"/>
        <v>0</v>
      </c>
      <c r="KV27" s="268">
        <f t="shared" si="199"/>
        <v>1709.9362866521039</v>
      </c>
    </row>
    <row r="28" spans="1:309" ht="15" customHeight="1">
      <c r="A28" s="270">
        <f t="shared" si="200"/>
        <v>46101</v>
      </c>
      <c r="B28" s="271" t="str">
        <f>+Report1!B28</f>
        <v>Toilet</v>
      </c>
      <c r="C28" s="271" t="str">
        <f>+Report1!C28</f>
        <v>14</v>
      </c>
      <c r="D28" s="272">
        <f>+Report1!P28</f>
        <v>46.688000000000002</v>
      </c>
      <c r="E28" s="273">
        <f>+Report1!R28</f>
        <v>45.683999999999997</v>
      </c>
      <c r="F28" s="527"/>
      <c r="G28" s="528">
        <f t="shared" si="0"/>
        <v>0</v>
      </c>
      <c r="H28" s="529">
        <f t="shared" si="112"/>
        <v>0</v>
      </c>
      <c r="I28" s="527"/>
      <c r="J28" s="528">
        <f t="shared" si="1"/>
        <v>0</v>
      </c>
      <c r="K28" s="529">
        <f t="shared" si="113"/>
        <v>0</v>
      </c>
      <c r="L28" s="527"/>
      <c r="M28" s="528">
        <f t="shared" si="2"/>
        <v>0</v>
      </c>
      <c r="N28" s="529">
        <f t="shared" si="114"/>
        <v>0</v>
      </c>
      <c r="O28" s="527">
        <v>11.520000000000039</v>
      </c>
      <c r="P28" s="528">
        <f t="shared" si="3"/>
        <v>0.25216706067769984</v>
      </c>
      <c r="Q28" s="529">
        <f t="shared" si="115"/>
        <v>0</v>
      </c>
      <c r="R28" s="527"/>
      <c r="S28" s="528">
        <f t="shared" si="4"/>
        <v>0</v>
      </c>
      <c r="T28" s="529">
        <f t="shared" si="116"/>
        <v>0</v>
      </c>
      <c r="U28" s="527">
        <v>10.6584</v>
      </c>
      <c r="V28" s="528">
        <f t="shared" si="5"/>
        <v>0.23330706593117942</v>
      </c>
      <c r="W28" s="529">
        <f t="shared" si="117"/>
        <v>0</v>
      </c>
      <c r="X28" s="527"/>
      <c r="Y28" s="528">
        <f t="shared" si="6"/>
        <v>0</v>
      </c>
      <c r="Z28" s="529">
        <f t="shared" si="118"/>
        <v>0</v>
      </c>
      <c r="AA28" s="527">
        <v>6.25</v>
      </c>
      <c r="AB28" s="528">
        <f t="shared" si="7"/>
        <v>0.13680938621836969</v>
      </c>
      <c r="AC28" s="529">
        <f t="shared" si="119"/>
        <v>0</v>
      </c>
      <c r="AD28" s="527"/>
      <c r="AE28" s="528">
        <f t="shared" si="8"/>
        <v>0</v>
      </c>
      <c r="AF28" s="529">
        <f t="shared" si="120"/>
        <v>0</v>
      </c>
      <c r="AG28" s="527"/>
      <c r="AH28" s="528">
        <f t="shared" si="9"/>
        <v>0</v>
      </c>
      <c r="AI28" s="529">
        <f t="shared" si="121"/>
        <v>0</v>
      </c>
      <c r="AJ28" s="527">
        <v>6.573599999999999</v>
      </c>
      <c r="AK28" s="528">
        <f t="shared" si="10"/>
        <v>0.14389282899921196</v>
      </c>
      <c r="AL28" s="529">
        <f t="shared" si="122"/>
        <v>0</v>
      </c>
      <c r="AM28" s="527"/>
      <c r="AN28" s="528">
        <f t="shared" si="11"/>
        <v>0</v>
      </c>
      <c r="AO28" s="529">
        <f t="shared" si="123"/>
        <v>0</v>
      </c>
      <c r="AP28" s="527"/>
      <c r="AQ28" s="528">
        <f t="shared" si="12"/>
        <v>0</v>
      </c>
      <c r="AR28" s="529">
        <f t="shared" si="124"/>
        <v>0</v>
      </c>
      <c r="AS28" s="527"/>
      <c r="AT28" s="528">
        <f t="shared" si="13"/>
        <v>0</v>
      </c>
      <c r="AU28" s="529">
        <f t="shared" si="125"/>
        <v>0</v>
      </c>
      <c r="AV28" s="527"/>
      <c r="AW28" s="528">
        <f t="shared" si="14"/>
        <v>0</v>
      </c>
      <c r="AX28" s="529">
        <f t="shared" si="126"/>
        <v>0</v>
      </c>
      <c r="AY28" s="527"/>
      <c r="AZ28" s="528">
        <f t="shared" si="15"/>
        <v>0</v>
      </c>
      <c r="BA28" s="529">
        <f t="shared" si="127"/>
        <v>0</v>
      </c>
      <c r="BB28" s="527"/>
      <c r="BC28" s="528">
        <f t="shared" si="16"/>
        <v>0</v>
      </c>
      <c r="BD28" s="529">
        <f t="shared" si="128"/>
        <v>0</v>
      </c>
      <c r="BE28" s="527"/>
      <c r="BF28" s="528">
        <f t="shared" si="17"/>
        <v>0</v>
      </c>
      <c r="BG28" s="529">
        <f t="shared" si="129"/>
        <v>0</v>
      </c>
      <c r="BH28" s="527"/>
      <c r="BI28" s="528">
        <f t="shared" si="18"/>
        <v>0</v>
      </c>
      <c r="BJ28" s="529">
        <f t="shared" si="130"/>
        <v>0</v>
      </c>
      <c r="BK28" s="527"/>
      <c r="BL28" s="528">
        <f t="shared" si="19"/>
        <v>0</v>
      </c>
      <c r="BM28" s="529">
        <f t="shared" si="131"/>
        <v>0</v>
      </c>
      <c r="BN28" s="527"/>
      <c r="BO28" s="528">
        <f t="shared" si="20"/>
        <v>0</v>
      </c>
      <c r="BP28" s="529">
        <f t="shared" si="132"/>
        <v>0</v>
      </c>
      <c r="BQ28" s="527"/>
      <c r="BR28" s="528">
        <f t="shared" si="21"/>
        <v>0</v>
      </c>
      <c r="BS28" s="529">
        <f t="shared" si="133"/>
        <v>0</v>
      </c>
      <c r="BT28" s="527"/>
      <c r="BU28" s="528">
        <f t="shared" si="22"/>
        <v>0</v>
      </c>
      <c r="BV28" s="529">
        <f t="shared" si="134"/>
        <v>0</v>
      </c>
      <c r="BW28" s="527"/>
      <c r="BX28" s="528">
        <f t="shared" si="23"/>
        <v>0</v>
      </c>
      <c r="BY28" s="529">
        <f t="shared" si="135"/>
        <v>0</v>
      </c>
      <c r="BZ28" s="527"/>
      <c r="CA28" s="528">
        <f t="shared" si="24"/>
        <v>0</v>
      </c>
      <c r="CB28" s="529">
        <f t="shared" si="136"/>
        <v>0</v>
      </c>
      <c r="CC28" s="527"/>
      <c r="CD28" s="528">
        <f t="shared" si="25"/>
        <v>0</v>
      </c>
      <c r="CE28" s="529">
        <f t="shared" si="137"/>
        <v>0</v>
      </c>
      <c r="CF28" s="527">
        <v>5</v>
      </c>
      <c r="CG28" s="528">
        <f t="shared" si="26"/>
        <v>0.10944750897469574</v>
      </c>
      <c r="CH28" s="529">
        <f t="shared" si="138"/>
        <v>0</v>
      </c>
      <c r="CI28" s="527"/>
      <c r="CJ28" s="528">
        <f t="shared" si="27"/>
        <v>0</v>
      </c>
      <c r="CK28" s="529">
        <f t="shared" si="139"/>
        <v>0</v>
      </c>
      <c r="CL28" s="527"/>
      <c r="CM28" s="528">
        <f t="shared" si="28"/>
        <v>0</v>
      </c>
      <c r="CN28" s="529">
        <f t="shared" si="140"/>
        <v>0</v>
      </c>
      <c r="CO28" s="527"/>
      <c r="CP28" s="528">
        <f t="shared" si="29"/>
        <v>0</v>
      </c>
      <c r="CQ28" s="529">
        <f t="shared" si="141"/>
        <v>0</v>
      </c>
      <c r="CR28" s="527"/>
      <c r="CS28" s="528">
        <f t="shared" si="30"/>
        <v>0</v>
      </c>
      <c r="CT28" s="529">
        <f t="shared" si="142"/>
        <v>0</v>
      </c>
      <c r="CU28" s="527"/>
      <c r="CV28" s="528">
        <f t="shared" si="31"/>
        <v>0</v>
      </c>
      <c r="CW28" s="529">
        <f t="shared" si="143"/>
        <v>0</v>
      </c>
      <c r="CX28" s="527"/>
      <c r="CY28" s="528">
        <f t="shared" si="32"/>
        <v>0</v>
      </c>
      <c r="CZ28" s="529">
        <f t="shared" si="144"/>
        <v>0</v>
      </c>
      <c r="DA28" s="527">
        <v>144.17581395348861</v>
      </c>
      <c r="DB28" s="528">
        <f t="shared" si="33"/>
        <v>3.1559367383217016</v>
      </c>
      <c r="DC28" s="529">
        <f t="shared" si="145"/>
        <v>0</v>
      </c>
      <c r="DD28" s="527"/>
      <c r="DE28" s="528">
        <f t="shared" si="34"/>
        <v>0</v>
      </c>
      <c r="DF28" s="529">
        <f t="shared" si="146"/>
        <v>0</v>
      </c>
      <c r="DG28" s="527"/>
      <c r="DH28" s="528">
        <f t="shared" si="35"/>
        <v>0</v>
      </c>
      <c r="DI28" s="529">
        <f t="shared" si="203"/>
        <v>0</v>
      </c>
      <c r="DJ28" s="527"/>
      <c r="DK28" s="528">
        <f t="shared" si="36"/>
        <v>0</v>
      </c>
      <c r="DL28" s="529">
        <f t="shared" si="147"/>
        <v>0</v>
      </c>
      <c r="DM28" s="527"/>
      <c r="DN28" s="528">
        <f t="shared" si="37"/>
        <v>0</v>
      </c>
      <c r="DO28" s="529">
        <f t="shared" si="148"/>
        <v>0</v>
      </c>
      <c r="DP28" s="527"/>
      <c r="DQ28" s="528">
        <f t="shared" si="38"/>
        <v>0</v>
      </c>
      <c r="DR28" s="529">
        <f t="shared" si="149"/>
        <v>0</v>
      </c>
      <c r="DS28" s="527"/>
      <c r="DT28" s="528">
        <f t="shared" si="39"/>
        <v>0</v>
      </c>
      <c r="DU28" s="529">
        <f t="shared" si="150"/>
        <v>0</v>
      </c>
      <c r="DV28" s="527"/>
      <c r="DW28" s="528">
        <f t="shared" si="40"/>
        <v>0</v>
      </c>
      <c r="DX28" s="529">
        <f t="shared" si="151"/>
        <v>0</v>
      </c>
      <c r="DY28" s="527"/>
      <c r="DZ28" s="528">
        <f t="shared" si="41"/>
        <v>0</v>
      </c>
      <c r="EA28" s="529">
        <f t="shared" si="152"/>
        <v>0</v>
      </c>
      <c r="EB28" s="527"/>
      <c r="EC28" s="528">
        <f t="shared" si="42"/>
        <v>0</v>
      </c>
      <c r="ED28" s="529">
        <f t="shared" si="153"/>
        <v>0</v>
      </c>
      <c r="EE28" s="527">
        <v>14.534883720930262</v>
      </c>
      <c r="EF28" s="528">
        <f t="shared" si="43"/>
        <v>0.31816136329853478</v>
      </c>
      <c r="EG28" s="529">
        <f t="shared" si="154"/>
        <v>0</v>
      </c>
      <c r="EH28" s="527">
        <v>225.84117647058883</v>
      </c>
      <c r="EI28" s="528">
        <f t="shared" si="44"/>
        <v>4.9435508377241231</v>
      </c>
      <c r="EJ28" s="529">
        <f t="shared" si="155"/>
        <v>0</v>
      </c>
      <c r="EK28" s="527">
        <v>5.666666666666667</v>
      </c>
      <c r="EL28" s="528">
        <f t="shared" si="45"/>
        <v>0.12404051017132185</v>
      </c>
      <c r="EM28" s="529">
        <f t="shared" si="156"/>
        <v>0</v>
      </c>
      <c r="EN28" s="527">
        <v>44.276302325581355</v>
      </c>
      <c r="EO28" s="528">
        <f t="shared" si="46"/>
        <v>0.96918619922908145</v>
      </c>
      <c r="EP28" s="529">
        <f t="shared" si="157"/>
        <v>0</v>
      </c>
      <c r="EQ28" s="527">
        <v>37.062061341463277</v>
      </c>
      <c r="ER28" s="528">
        <f t="shared" si="47"/>
        <v>0.81127005825810528</v>
      </c>
      <c r="ES28" s="529">
        <f t="shared" si="158"/>
        <v>0</v>
      </c>
      <c r="ET28" s="527"/>
      <c r="EU28" s="528">
        <f t="shared" si="48"/>
        <v>0</v>
      </c>
      <c r="EV28" s="529">
        <f t="shared" si="159"/>
        <v>0</v>
      </c>
      <c r="EW28" s="527"/>
      <c r="EX28" s="528">
        <f t="shared" si="49"/>
        <v>0</v>
      </c>
      <c r="EY28" s="529">
        <f t="shared" si="160"/>
        <v>0</v>
      </c>
      <c r="EZ28" s="527"/>
      <c r="FA28" s="528">
        <f t="shared" si="50"/>
        <v>0</v>
      </c>
      <c r="FB28" s="529">
        <f t="shared" si="161"/>
        <v>0</v>
      </c>
      <c r="FC28" s="527"/>
      <c r="FD28" s="528">
        <f t="shared" si="51"/>
        <v>0</v>
      </c>
      <c r="FE28" s="529">
        <f t="shared" si="162"/>
        <v>0</v>
      </c>
      <c r="FF28" s="527"/>
      <c r="FG28" s="528">
        <f t="shared" si="52"/>
        <v>0</v>
      </c>
      <c r="FH28" s="529">
        <f t="shared" si="163"/>
        <v>0</v>
      </c>
      <c r="FI28" s="527"/>
      <c r="FJ28" s="528">
        <f t="shared" si="53"/>
        <v>0</v>
      </c>
      <c r="FK28" s="529">
        <f t="shared" si="164"/>
        <v>0</v>
      </c>
      <c r="FL28" s="527"/>
      <c r="FM28" s="528">
        <f t="shared" si="54"/>
        <v>0</v>
      </c>
      <c r="FN28" s="529">
        <f t="shared" si="165"/>
        <v>0</v>
      </c>
      <c r="FO28" s="527"/>
      <c r="FP28" s="528">
        <f t="shared" si="55"/>
        <v>0</v>
      </c>
      <c r="FQ28" s="529">
        <f t="shared" si="166"/>
        <v>0</v>
      </c>
      <c r="FR28" s="527"/>
      <c r="FS28" s="528">
        <f t="shared" si="56"/>
        <v>0</v>
      </c>
      <c r="FT28" s="529">
        <f t="shared" si="167"/>
        <v>0</v>
      </c>
      <c r="FU28" s="527"/>
      <c r="FV28" s="528">
        <f t="shared" si="57"/>
        <v>0</v>
      </c>
      <c r="FW28" s="529">
        <f t="shared" si="168"/>
        <v>0</v>
      </c>
      <c r="FX28" s="527"/>
      <c r="FY28" s="528">
        <f t="shared" si="58"/>
        <v>0</v>
      </c>
      <c r="FZ28" s="529">
        <f t="shared" si="169"/>
        <v>0</v>
      </c>
      <c r="GA28" s="527"/>
      <c r="GB28" s="528">
        <f t="shared" si="59"/>
        <v>0</v>
      </c>
      <c r="GC28" s="529">
        <f t="shared" si="170"/>
        <v>0</v>
      </c>
      <c r="GD28" s="527"/>
      <c r="GE28" s="528">
        <f t="shared" si="60"/>
        <v>0</v>
      </c>
      <c r="GF28" s="529">
        <f t="shared" si="171"/>
        <v>0</v>
      </c>
      <c r="GG28" s="527">
        <v>13.546103406255442</v>
      </c>
      <c r="GH28" s="528">
        <f t="shared" si="61"/>
        <v>0.29651745482565983</v>
      </c>
      <c r="GI28" s="529">
        <f t="shared" si="172"/>
        <v>0</v>
      </c>
      <c r="GJ28" s="527">
        <v>18.061471208340588</v>
      </c>
      <c r="GK28" s="528">
        <f t="shared" si="204"/>
        <v>0.39535660643421305</v>
      </c>
      <c r="GL28" s="529">
        <f t="shared" si="205"/>
        <v>0</v>
      </c>
      <c r="GM28" s="527"/>
      <c r="GN28" s="528">
        <f t="shared" si="206"/>
        <v>0</v>
      </c>
      <c r="GO28" s="529">
        <f t="shared" si="207"/>
        <v>0</v>
      </c>
      <c r="GP28" s="527">
        <v>36.122942416681177</v>
      </c>
      <c r="GQ28" s="528">
        <f t="shared" si="208"/>
        <v>0.79071321286842611</v>
      </c>
      <c r="GR28" s="529">
        <f t="shared" si="209"/>
        <v>0</v>
      </c>
      <c r="GS28" s="527">
        <v>203.19155109383163</v>
      </c>
      <c r="GT28" s="528">
        <f t="shared" si="210"/>
        <v>4.4477618223848969</v>
      </c>
      <c r="GU28" s="529">
        <f t="shared" si="211"/>
        <v>0</v>
      </c>
      <c r="GV28" s="527">
        <v>63.215149229192065</v>
      </c>
      <c r="GW28" s="528">
        <f t="shared" si="66"/>
        <v>1.3837481225197459</v>
      </c>
      <c r="GX28" s="529">
        <f t="shared" si="177"/>
        <v>0</v>
      </c>
      <c r="GY28" s="527"/>
      <c r="GZ28" s="528">
        <f t="shared" si="67"/>
        <v>0</v>
      </c>
      <c r="HA28" s="529">
        <f t="shared" si="178"/>
        <v>0</v>
      </c>
      <c r="HB28" s="527"/>
      <c r="HC28" s="528">
        <f t="shared" si="68"/>
        <v>0</v>
      </c>
      <c r="HD28" s="529">
        <f t="shared" si="179"/>
        <v>0</v>
      </c>
      <c r="HE28" s="527"/>
      <c r="HF28" s="528">
        <f t="shared" si="69"/>
        <v>0</v>
      </c>
      <c r="HG28" s="529">
        <f t="shared" si="180"/>
        <v>0</v>
      </c>
      <c r="HH28" s="527"/>
      <c r="HI28" s="528">
        <f t="shared" si="70"/>
        <v>0</v>
      </c>
      <c r="HJ28" s="529">
        <f t="shared" si="181"/>
        <v>0</v>
      </c>
      <c r="HK28" s="527"/>
      <c r="HL28" s="528">
        <f t="shared" si="71"/>
        <v>0</v>
      </c>
      <c r="HM28" s="529">
        <f t="shared" si="182"/>
        <v>0</v>
      </c>
      <c r="HN28" s="527">
        <v>720.65270121278957</v>
      </c>
      <c r="HO28" s="528">
        <f t="shared" si="72"/>
        <v>15.774728596725103</v>
      </c>
      <c r="HP28" s="529">
        <f t="shared" si="183"/>
        <v>0</v>
      </c>
      <c r="HQ28" s="527"/>
      <c r="HR28" s="528">
        <f t="shared" si="73"/>
        <v>0</v>
      </c>
      <c r="HS28" s="529">
        <f t="shared" si="184"/>
        <v>0</v>
      </c>
      <c r="HT28" s="527"/>
      <c r="HU28" s="528">
        <f t="shared" si="74"/>
        <v>0</v>
      </c>
      <c r="HV28" s="529">
        <f t="shared" si="185"/>
        <v>0</v>
      </c>
      <c r="HW28" s="527"/>
      <c r="HX28" s="528">
        <f t="shared" si="75"/>
        <v>0</v>
      </c>
      <c r="HY28" s="529">
        <f t="shared" si="186"/>
        <v>0</v>
      </c>
      <c r="HZ28" s="527"/>
      <c r="IA28" s="528">
        <f t="shared" si="76"/>
        <v>0</v>
      </c>
      <c r="IB28" s="529">
        <f t="shared" si="187"/>
        <v>0</v>
      </c>
      <c r="IC28" s="527"/>
      <c r="ID28" s="528">
        <f t="shared" si="77"/>
        <v>0</v>
      </c>
      <c r="IE28" s="529">
        <f t="shared" si="188"/>
        <v>0</v>
      </c>
      <c r="IF28" s="527"/>
      <c r="IG28" s="528">
        <f t="shared" si="78"/>
        <v>0</v>
      </c>
      <c r="IH28" s="529">
        <f t="shared" si="189"/>
        <v>0</v>
      </c>
      <c r="II28" s="527">
        <v>20.319155109383164</v>
      </c>
      <c r="IJ28" s="528">
        <f t="shared" si="79"/>
        <v>0.44477618223848975</v>
      </c>
      <c r="IK28" s="529">
        <f t="shared" si="190"/>
        <v>0</v>
      </c>
      <c r="IL28" s="527"/>
      <c r="IM28" s="528">
        <f t="shared" si="80"/>
        <v>0</v>
      </c>
      <c r="IN28" s="529">
        <f t="shared" si="191"/>
        <v>0</v>
      </c>
      <c r="IO28" s="527"/>
      <c r="IP28" s="528">
        <f t="shared" si="81"/>
        <v>0</v>
      </c>
      <c r="IQ28" s="529">
        <f t="shared" si="192"/>
        <v>0</v>
      </c>
      <c r="IR28" s="527">
        <v>40.638310218766328</v>
      </c>
      <c r="IS28" s="528">
        <f t="shared" si="82"/>
        <v>0.8895523644769795</v>
      </c>
      <c r="IT28" s="529">
        <f t="shared" si="193"/>
        <v>0</v>
      </c>
      <c r="IU28" s="527"/>
      <c r="IV28" s="528">
        <f t="shared" si="83"/>
        <v>0</v>
      </c>
      <c r="IW28" s="529">
        <f t="shared" si="194"/>
        <v>0</v>
      </c>
      <c r="IX28" s="527"/>
      <c r="IY28" s="528">
        <f t="shared" si="84"/>
        <v>0</v>
      </c>
      <c r="IZ28" s="529">
        <f t="shared" si="195"/>
        <v>0</v>
      </c>
      <c r="JA28" s="527"/>
      <c r="JB28" s="528">
        <f t="shared" si="85"/>
        <v>0</v>
      </c>
      <c r="JC28" s="529">
        <f t="shared" si="196"/>
        <v>0</v>
      </c>
      <c r="JD28" s="527"/>
      <c r="JE28" s="528">
        <f t="shared" si="86"/>
        <v>0</v>
      </c>
      <c r="JF28" s="529">
        <f t="shared" si="197"/>
        <v>0</v>
      </c>
      <c r="JG28" s="527"/>
      <c r="JH28" s="528">
        <f t="shared" si="87"/>
        <v>0</v>
      </c>
      <c r="JI28" s="529">
        <f t="shared" si="198"/>
        <v>0</v>
      </c>
      <c r="JJ28" s="527">
        <v>20.319155109383164</v>
      </c>
      <c r="JK28" s="529" t="str">
        <f t="shared" si="88"/>
        <v>0</v>
      </c>
      <c r="JL28" s="529" t="str">
        <f t="shared" si="89"/>
        <v>0</v>
      </c>
      <c r="JM28" s="527"/>
      <c r="JN28" s="529" t="str">
        <f t="shared" si="90"/>
        <v>0</v>
      </c>
      <c r="JO28" s="529" t="str">
        <f t="shared" si="91"/>
        <v>0</v>
      </c>
      <c r="JP28" s="527"/>
      <c r="JQ28" s="529" t="str">
        <f t="shared" si="92"/>
        <v>0</v>
      </c>
      <c r="JR28" s="529" t="str">
        <f t="shared" si="93"/>
        <v>0</v>
      </c>
      <c r="JS28" s="527"/>
      <c r="JT28" s="529" t="str">
        <f t="shared" si="94"/>
        <v>0</v>
      </c>
      <c r="JU28" s="529" t="str">
        <f t="shared" si="95"/>
        <v>0</v>
      </c>
      <c r="JV28" s="527"/>
      <c r="JW28" s="529" t="str">
        <f t="shared" si="96"/>
        <v>0</v>
      </c>
      <c r="JX28" s="529" t="str">
        <f t="shared" si="97"/>
        <v>0</v>
      </c>
      <c r="JY28" s="527"/>
      <c r="JZ28" s="529" t="str">
        <f t="shared" si="98"/>
        <v>0</v>
      </c>
      <c r="KA28" s="529" t="str">
        <f t="shared" si="99"/>
        <v>0</v>
      </c>
      <c r="KB28" s="527"/>
      <c r="KC28" s="529" t="str">
        <f t="shared" si="100"/>
        <v>0</v>
      </c>
      <c r="KD28" s="529" t="str">
        <f t="shared" si="101"/>
        <v>0</v>
      </c>
      <c r="KE28" s="527"/>
      <c r="KF28" s="529" t="str">
        <f t="shared" si="102"/>
        <v>0</v>
      </c>
      <c r="KG28" s="529" t="str">
        <f t="shared" si="103"/>
        <v>0</v>
      </c>
      <c r="KH28" s="527"/>
      <c r="KI28" s="529" t="str">
        <f t="shared" si="104"/>
        <v>0</v>
      </c>
      <c r="KJ28" s="529" t="str">
        <f t="shared" si="105"/>
        <v>0</v>
      </c>
      <c r="KK28" s="527"/>
      <c r="KL28" s="529" t="str">
        <f t="shared" si="106"/>
        <v>0</v>
      </c>
      <c r="KM28" s="529" t="str">
        <f t="shared" si="107"/>
        <v>0</v>
      </c>
      <c r="KN28" s="527"/>
      <c r="KO28" s="529" t="str">
        <f t="shared" si="108"/>
        <v>0</v>
      </c>
      <c r="KP28" s="529" t="str">
        <f t="shared" si="109"/>
        <v>0</v>
      </c>
      <c r="KQ28" s="527"/>
      <c r="KR28" s="529" t="str">
        <f t="shared" si="110"/>
        <v>0</v>
      </c>
      <c r="KS28" s="529" t="str">
        <f t="shared" si="111"/>
        <v>0</v>
      </c>
      <c r="KT28" s="529">
        <f t="shared" si="201"/>
        <v>0</v>
      </c>
      <c r="KU28" s="529">
        <f t="shared" si="202"/>
        <v>0</v>
      </c>
      <c r="KV28" s="268">
        <f t="shared" si="199"/>
        <v>1647.6254434833425</v>
      </c>
    </row>
    <row r="29" spans="1:309" ht="15" customHeight="1">
      <c r="A29" s="270">
        <f t="shared" si="200"/>
        <v>46102</v>
      </c>
      <c r="B29" s="271" t="str">
        <f>+Report1!B29</f>
        <v>Toilet</v>
      </c>
      <c r="C29" s="271" t="str">
        <f>+Report1!C29</f>
        <v>14</v>
      </c>
      <c r="D29" s="272">
        <f>+Report1!P29</f>
        <v>50.077999999999996</v>
      </c>
      <c r="E29" s="273">
        <f>+Report1!R29</f>
        <v>47.493000000000002</v>
      </c>
      <c r="F29" s="527"/>
      <c r="G29" s="528">
        <f t="shared" si="0"/>
        <v>0</v>
      </c>
      <c r="H29" s="529">
        <f t="shared" si="112"/>
        <v>0</v>
      </c>
      <c r="I29" s="527"/>
      <c r="J29" s="528">
        <f t="shared" si="1"/>
        <v>0</v>
      </c>
      <c r="K29" s="529">
        <f t="shared" si="113"/>
        <v>0</v>
      </c>
      <c r="L29" s="527"/>
      <c r="M29" s="528">
        <f t="shared" si="2"/>
        <v>0</v>
      </c>
      <c r="N29" s="529">
        <f t="shared" si="114"/>
        <v>0</v>
      </c>
      <c r="O29" s="527">
        <v>12.353999999999985</v>
      </c>
      <c r="P29" s="528">
        <f t="shared" si="3"/>
        <v>0.26012254437496019</v>
      </c>
      <c r="Q29" s="529">
        <f t="shared" si="115"/>
        <v>0</v>
      </c>
      <c r="R29" s="527"/>
      <c r="S29" s="528">
        <f t="shared" si="4"/>
        <v>0</v>
      </c>
      <c r="T29" s="529">
        <f t="shared" si="116"/>
        <v>0</v>
      </c>
      <c r="U29" s="527">
        <v>11.433</v>
      </c>
      <c r="V29" s="528">
        <f t="shared" si="5"/>
        <v>0.24073021287347607</v>
      </c>
      <c r="W29" s="529">
        <f t="shared" si="117"/>
        <v>0</v>
      </c>
      <c r="X29" s="527"/>
      <c r="Y29" s="528">
        <f t="shared" si="6"/>
        <v>0</v>
      </c>
      <c r="Z29" s="529">
        <f t="shared" si="118"/>
        <v>0</v>
      </c>
      <c r="AA29" s="527">
        <v>6.25</v>
      </c>
      <c r="AB29" s="528">
        <f t="shared" si="7"/>
        <v>0.13159834080811908</v>
      </c>
      <c r="AC29" s="529">
        <f t="shared" si="119"/>
        <v>0</v>
      </c>
      <c r="AD29" s="527"/>
      <c r="AE29" s="528">
        <f t="shared" si="8"/>
        <v>0</v>
      </c>
      <c r="AF29" s="529">
        <f t="shared" si="120"/>
        <v>0</v>
      </c>
      <c r="AG29" s="527"/>
      <c r="AH29" s="528">
        <f t="shared" si="9"/>
        <v>0</v>
      </c>
      <c r="AI29" s="529">
        <f t="shared" si="121"/>
        <v>0</v>
      </c>
      <c r="AJ29" s="527">
        <v>7.0602000000000089</v>
      </c>
      <c r="AK29" s="528">
        <f t="shared" si="10"/>
        <v>0.14865769692375735</v>
      </c>
      <c r="AL29" s="529">
        <f t="shared" si="122"/>
        <v>0</v>
      </c>
      <c r="AM29" s="527"/>
      <c r="AN29" s="528">
        <f t="shared" si="11"/>
        <v>0</v>
      </c>
      <c r="AO29" s="529">
        <f t="shared" si="123"/>
        <v>0</v>
      </c>
      <c r="AP29" s="527"/>
      <c r="AQ29" s="528">
        <f t="shared" si="12"/>
        <v>0</v>
      </c>
      <c r="AR29" s="529">
        <f t="shared" si="124"/>
        <v>0</v>
      </c>
      <c r="AS29" s="527"/>
      <c r="AT29" s="528">
        <f t="shared" si="13"/>
        <v>0</v>
      </c>
      <c r="AU29" s="529">
        <f t="shared" si="125"/>
        <v>0</v>
      </c>
      <c r="AV29" s="527"/>
      <c r="AW29" s="528">
        <f t="shared" si="14"/>
        <v>0</v>
      </c>
      <c r="AX29" s="529">
        <f t="shared" si="126"/>
        <v>0</v>
      </c>
      <c r="AY29" s="527"/>
      <c r="AZ29" s="528">
        <f t="shared" si="15"/>
        <v>0</v>
      </c>
      <c r="BA29" s="529">
        <f t="shared" si="127"/>
        <v>0</v>
      </c>
      <c r="BB29" s="527"/>
      <c r="BC29" s="528">
        <f t="shared" si="16"/>
        <v>0</v>
      </c>
      <c r="BD29" s="529">
        <f t="shared" si="128"/>
        <v>0</v>
      </c>
      <c r="BE29" s="527"/>
      <c r="BF29" s="528">
        <f t="shared" si="17"/>
        <v>0</v>
      </c>
      <c r="BG29" s="529">
        <f t="shared" si="129"/>
        <v>0</v>
      </c>
      <c r="BH29" s="527"/>
      <c r="BI29" s="528">
        <f t="shared" si="18"/>
        <v>0</v>
      </c>
      <c r="BJ29" s="529">
        <f t="shared" si="130"/>
        <v>0</v>
      </c>
      <c r="BK29" s="527"/>
      <c r="BL29" s="528">
        <f t="shared" si="19"/>
        <v>0</v>
      </c>
      <c r="BM29" s="529">
        <f t="shared" si="131"/>
        <v>0</v>
      </c>
      <c r="BN29" s="527"/>
      <c r="BO29" s="528">
        <f t="shared" si="20"/>
        <v>0</v>
      </c>
      <c r="BP29" s="529">
        <f t="shared" si="132"/>
        <v>0</v>
      </c>
      <c r="BQ29" s="527"/>
      <c r="BR29" s="528">
        <f t="shared" si="21"/>
        <v>0</v>
      </c>
      <c r="BS29" s="529">
        <f t="shared" si="133"/>
        <v>0</v>
      </c>
      <c r="BT29" s="527"/>
      <c r="BU29" s="528">
        <f t="shared" si="22"/>
        <v>0</v>
      </c>
      <c r="BV29" s="529">
        <f t="shared" si="134"/>
        <v>0</v>
      </c>
      <c r="BW29" s="527"/>
      <c r="BX29" s="528">
        <f t="shared" si="23"/>
        <v>0</v>
      </c>
      <c r="BY29" s="529">
        <f t="shared" si="135"/>
        <v>0</v>
      </c>
      <c r="BZ29" s="527"/>
      <c r="CA29" s="528">
        <f t="shared" si="24"/>
        <v>0</v>
      </c>
      <c r="CB29" s="529">
        <f t="shared" si="136"/>
        <v>0</v>
      </c>
      <c r="CC29" s="527"/>
      <c r="CD29" s="528">
        <f t="shared" si="25"/>
        <v>0</v>
      </c>
      <c r="CE29" s="529">
        <f t="shared" si="137"/>
        <v>0</v>
      </c>
      <c r="CF29" s="527">
        <v>5</v>
      </c>
      <c r="CG29" s="528">
        <f t="shared" si="26"/>
        <v>0.10527867264649526</v>
      </c>
      <c r="CH29" s="529">
        <f t="shared" si="138"/>
        <v>0</v>
      </c>
      <c r="CI29" s="527"/>
      <c r="CJ29" s="528">
        <f t="shared" si="27"/>
        <v>0</v>
      </c>
      <c r="CK29" s="529">
        <f t="shared" si="139"/>
        <v>0</v>
      </c>
      <c r="CL29" s="527"/>
      <c r="CM29" s="528">
        <f t="shared" si="28"/>
        <v>0</v>
      </c>
      <c r="CN29" s="529">
        <f t="shared" si="140"/>
        <v>0</v>
      </c>
      <c r="CO29" s="527"/>
      <c r="CP29" s="528">
        <f t="shared" si="29"/>
        <v>0</v>
      </c>
      <c r="CQ29" s="529">
        <f t="shared" si="141"/>
        <v>0</v>
      </c>
      <c r="CR29" s="527"/>
      <c r="CS29" s="528">
        <f t="shared" si="30"/>
        <v>0</v>
      </c>
      <c r="CT29" s="529">
        <f t="shared" si="142"/>
        <v>0</v>
      </c>
      <c r="CU29" s="527"/>
      <c r="CV29" s="528">
        <f t="shared" si="31"/>
        <v>0</v>
      </c>
      <c r="CW29" s="529">
        <f t="shared" si="143"/>
        <v>0</v>
      </c>
      <c r="CX29" s="527"/>
      <c r="CY29" s="528">
        <f t="shared" si="32"/>
        <v>0</v>
      </c>
      <c r="CZ29" s="529">
        <f t="shared" si="144"/>
        <v>0</v>
      </c>
      <c r="DA29" s="527">
        <v>154.64400000000023</v>
      </c>
      <c r="DB29" s="528">
        <f t="shared" si="33"/>
        <v>3.2561430105489277</v>
      </c>
      <c r="DC29" s="529">
        <f t="shared" si="145"/>
        <v>0</v>
      </c>
      <c r="DD29" s="527"/>
      <c r="DE29" s="528">
        <f t="shared" si="34"/>
        <v>0</v>
      </c>
      <c r="DF29" s="529">
        <f t="shared" si="146"/>
        <v>0</v>
      </c>
      <c r="DG29" s="527"/>
      <c r="DH29" s="528">
        <f t="shared" si="35"/>
        <v>0</v>
      </c>
      <c r="DI29" s="529">
        <f t="shared" si="203"/>
        <v>0</v>
      </c>
      <c r="DJ29" s="527"/>
      <c r="DK29" s="528">
        <f t="shared" si="36"/>
        <v>0</v>
      </c>
      <c r="DL29" s="529">
        <f t="shared" si="147"/>
        <v>0</v>
      </c>
      <c r="DM29" s="527"/>
      <c r="DN29" s="528">
        <f t="shared" si="37"/>
        <v>0</v>
      </c>
      <c r="DO29" s="529">
        <f t="shared" si="148"/>
        <v>0</v>
      </c>
      <c r="DP29" s="527"/>
      <c r="DQ29" s="528">
        <f t="shared" si="38"/>
        <v>0</v>
      </c>
      <c r="DR29" s="529">
        <f t="shared" si="149"/>
        <v>0</v>
      </c>
      <c r="DS29" s="527"/>
      <c r="DT29" s="528">
        <f t="shared" si="39"/>
        <v>0</v>
      </c>
      <c r="DU29" s="529">
        <f t="shared" si="150"/>
        <v>0</v>
      </c>
      <c r="DV29" s="527"/>
      <c r="DW29" s="528">
        <f t="shared" si="40"/>
        <v>0</v>
      </c>
      <c r="DX29" s="529">
        <f t="shared" si="151"/>
        <v>0</v>
      </c>
      <c r="DY29" s="527"/>
      <c r="DZ29" s="528">
        <f t="shared" si="41"/>
        <v>0</v>
      </c>
      <c r="EA29" s="529">
        <f t="shared" si="152"/>
        <v>0</v>
      </c>
      <c r="EB29" s="527"/>
      <c r="EC29" s="528">
        <f t="shared" si="42"/>
        <v>0</v>
      </c>
      <c r="ED29" s="529">
        <f t="shared" si="153"/>
        <v>0</v>
      </c>
      <c r="EE29" s="527">
        <v>14.534883720930262</v>
      </c>
      <c r="EF29" s="528">
        <f t="shared" si="43"/>
        <v>0.30604265304213801</v>
      </c>
      <c r="EG29" s="529">
        <f t="shared" si="154"/>
        <v>0</v>
      </c>
      <c r="EH29" s="527">
        <v>241.56999999999994</v>
      </c>
      <c r="EI29" s="528">
        <f t="shared" si="44"/>
        <v>5.0864337902427712</v>
      </c>
      <c r="EJ29" s="529">
        <f t="shared" si="155"/>
        <v>0</v>
      </c>
      <c r="EK29" s="527">
        <v>5.666666666666667</v>
      </c>
      <c r="EL29" s="528">
        <f t="shared" si="45"/>
        <v>0.11931582899936131</v>
      </c>
      <c r="EM29" s="529">
        <f t="shared" si="156"/>
        <v>0</v>
      </c>
      <c r="EN29" s="527">
        <v>39.768750000000068</v>
      </c>
      <c r="EO29" s="528">
        <f t="shared" si="46"/>
        <v>0.83736024256206321</v>
      </c>
      <c r="EP29" s="529">
        <f t="shared" si="157"/>
        <v>0</v>
      </c>
      <c r="EQ29" s="527">
        <v>47.489500000000021</v>
      </c>
      <c r="ER29" s="528">
        <f t="shared" si="47"/>
        <v>0.9999263049291478</v>
      </c>
      <c r="ES29" s="529">
        <f t="shared" si="158"/>
        <v>0</v>
      </c>
      <c r="ET29" s="527"/>
      <c r="EU29" s="528">
        <f t="shared" si="48"/>
        <v>0</v>
      </c>
      <c r="EV29" s="529">
        <f t="shared" si="159"/>
        <v>0</v>
      </c>
      <c r="EW29" s="527"/>
      <c r="EX29" s="528">
        <f t="shared" si="49"/>
        <v>0</v>
      </c>
      <c r="EY29" s="529">
        <f t="shared" si="160"/>
        <v>0</v>
      </c>
      <c r="EZ29" s="527"/>
      <c r="FA29" s="528">
        <f t="shared" si="50"/>
        <v>0</v>
      </c>
      <c r="FB29" s="529">
        <f t="shared" si="161"/>
        <v>0</v>
      </c>
      <c r="FC29" s="527"/>
      <c r="FD29" s="528">
        <f t="shared" si="51"/>
        <v>0</v>
      </c>
      <c r="FE29" s="529">
        <f t="shared" si="162"/>
        <v>0</v>
      </c>
      <c r="FF29" s="527"/>
      <c r="FG29" s="528">
        <f t="shared" si="52"/>
        <v>0</v>
      </c>
      <c r="FH29" s="529">
        <f t="shared" si="163"/>
        <v>0</v>
      </c>
      <c r="FI29" s="527"/>
      <c r="FJ29" s="528">
        <f t="shared" si="53"/>
        <v>0</v>
      </c>
      <c r="FK29" s="529">
        <f t="shared" si="164"/>
        <v>0</v>
      </c>
      <c r="FL29" s="527"/>
      <c r="FM29" s="528">
        <f t="shared" si="54"/>
        <v>0</v>
      </c>
      <c r="FN29" s="529">
        <f t="shared" si="165"/>
        <v>0</v>
      </c>
      <c r="FO29" s="527"/>
      <c r="FP29" s="528">
        <f t="shared" si="55"/>
        <v>0</v>
      </c>
      <c r="FQ29" s="529">
        <f t="shared" si="166"/>
        <v>0</v>
      </c>
      <c r="FR29" s="527"/>
      <c r="FS29" s="528">
        <f t="shared" si="56"/>
        <v>0</v>
      </c>
      <c r="FT29" s="529">
        <f t="shared" si="167"/>
        <v>0</v>
      </c>
      <c r="FU29" s="527"/>
      <c r="FV29" s="528">
        <f t="shared" si="57"/>
        <v>0</v>
      </c>
      <c r="FW29" s="529">
        <f t="shared" si="168"/>
        <v>0</v>
      </c>
      <c r="FX29" s="527"/>
      <c r="FY29" s="528">
        <f t="shared" si="58"/>
        <v>0</v>
      </c>
      <c r="FZ29" s="529">
        <f t="shared" si="169"/>
        <v>0</v>
      </c>
      <c r="GA29" s="527"/>
      <c r="GB29" s="528">
        <f t="shared" si="59"/>
        <v>0</v>
      </c>
      <c r="GC29" s="529">
        <f t="shared" si="170"/>
        <v>0</v>
      </c>
      <c r="GD29" s="527"/>
      <c r="GE29" s="528">
        <f t="shared" si="60"/>
        <v>0</v>
      </c>
      <c r="GF29" s="529">
        <f t="shared" si="171"/>
        <v>0</v>
      </c>
      <c r="GG29" s="527">
        <v>15.891579701340971</v>
      </c>
      <c r="GH29" s="528">
        <f t="shared" si="61"/>
        <v>0.33460888344263301</v>
      </c>
      <c r="GI29" s="529">
        <f t="shared" si="172"/>
        <v>0</v>
      </c>
      <c r="GJ29" s="527">
        <v>18.161805372961112</v>
      </c>
      <c r="GK29" s="528">
        <f t="shared" si="62"/>
        <v>0.38241015250586635</v>
      </c>
      <c r="GL29" s="529">
        <f t="shared" si="173"/>
        <v>0</v>
      </c>
      <c r="GM29" s="527"/>
      <c r="GN29" s="528">
        <f t="shared" ref="GN29" si="212">+GM29/$E29</f>
        <v>0</v>
      </c>
      <c r="GO29" s="529">
        <f t="shared" ref="GO29" si="213">+GM29*$H$8</f>
        <v>0</v>
      </c>
      <c r="GP29" s="527">
        <v>40.864062089162502</v>
      </c>
      <c r="GQ29" s="528">
        <f t="shared" ref="GQ29" si="214">+GP29/$E29</f>
        <v>0.86042284313819928</v>
      </c>
      <c r="GR29" s="529">
        <f t="shared" ref="GR29" si="215">+GP29*$H$8</f>
        <v>0</v>
      </c>
      <c r="GS29" s="527">
        <v>204.32031044581248</v>
      </c>
      <c r="GT29" s="528">
        <f t="shared" ref="GT29" si="216">+GS29/$E29</f>
        <v>4.3021142156909962</v>
      </c>
      <c r="GU29" s="529">
        <f t="shared" ref="GU29" si="217">+GS29*$H$8</f>
        <v>0</v>
      </c>
      <c r="GV29" s="527">
        <v>63.566318805363885</v>
      </c>
      <c r="GW29" s="528">
        <f t="shared" ref="GW29" si="218">+GV29/$E29</f>
        <v>1.338435533770532</v>
      </c>
      <c r="GX29" s="529">
        <f t="shared" ref="GX29" si="219">+GV29*$H$8</f>
        <v>0</v>
      </c>
      <c r="GY29" s="527"/>
      <c r="GZ29" s="528">
        <f t="shared" ref="GZ29" si="220">+GY29/$E29</f>
        <v>0</v>
      </c>
      <c r="HA29" s="529">
        <f t="shared" ref="HA29" si="221">+GY29*$H$8</f>
        <v>0</v>
      </c>
      <c r="HB29" s="527"/>
      <c r="HC29" s="528">
        <f t="shared" ref="HC29:HC32" si="222">+HB29/$E29</f>
        <v>0</v>
      </c>
      <c r="HD29" s="529">
        <f t="shared" ref="HD29:HD32" si="223">+HB29*$H$8</f>
        <v>0</v>
      </c>
      <c r="HE29" s="527"/>
      <c r="HF29" s="528">
        <f t="shared" ref="HF29:HF32" si="224">+HE29/$E29</f>
        <v>0</v>
      </c>
      <c r="HG29" s="529">
        <f t="shared" ref="HG29:HG32" si="225">+HE29*$H$8</f>
        <v>0</v>
      </c>
      <c r="HH29" s="527"/>
      <c r="HI29" s="528">
        <f t="shared" ref="HI29:HI32" si="226">+HH29/$E29</f>
        <v>0</v>
      </c>
      <c r="HJ29" s="529">
        <f t="shared" ref="HJ29:HJ32" si="227">+HH29*$H$8</f>
        <v>0</v>
      </c>
      <c r="HK29" s="527"/>
      <c r="HL29" s="528">
        <f t="shared" ref="HL29:HL32" si="228">+HK29/$E29</f>
        <v>0</v>
      </c>
      <c r="HM29" s="529">
        <f t="shared" si="182"/>
        <v>0</v>
      </c>
      <c r="HN29" s="527">
        <v>770.06054781355112</v>
      </c>
      <c r="HO29" s="528">
        <f t="shared" si="72"/>
        <v>16.214190466248734</v>
      </c>
      <c r="HP29" s="529">
        <f t="shared" si="183"/>
        <v>0</v>
      </c>
      <c r="HQ29" s="527"/>
      <c r="HR29" s="528">
        <f t="shared" si="73"/>
        <v>0</v>
      </c>
      <c r="HS29" s="529">
        <f t="shared" si="184"/>
        <v>0</v>
      </c>
      <c r="HT29" s="527"/>
      <c r="HU29" s="528">
        <f t="shared" si="74"/>
        <v>0</v>
      </c>
      <c r="HV29" s="529">
        <f t="shared" si="185"/>
        <v>0</v>
      </c>
      <c r="HW29" s="527"/>
      <c r="HX29" s="528">
        <f t="shared" si="75"/>
        <v>0</v>
      </c>
      <c r="HY29" s="529">
        <f t="shared" si="186"/>
        <v>0</v>
      </c>
      <c r="HZ29" s="527"/>
      <c r="IA29" s="528">
        <f t="shared" si="76"/>
        <v>0</v>
      </c>
      <c r="IB29" s="529">
        <f t="shared" si="187"/>
        <v>0</v>
      </c>
      <c r="IC29" s="527"/>
      <c r="ID29" s="528">
        <f t="shared" si="77"/>
        <v>0</v>
      </c>
      <c r="IE29" s="529">
        <f t="shared" si="188"/>
        <v>0</v>
      </c>
      <c r="IF29" s="527"/>
      <c r="IG29" s="528">
        <f t="shared" si="78"/>
        <v>0</v>
      </c>
      <c r="IH29" s="529">
        <f t="shared" si="189"/>
        <v>0</v>
      </c>
      <c r="II29" s="527">
        <v>22.70225671620139</v>
      </c>
      <c r="IJ29" s="528">
        <f t="shared" si="79"/>
        <v>0.47801269063233293</v>
      </c>
      <c r="IK29" s="529">
        <f t="shared" si="190"/>
        <v>0</v>
      </c>
      <c r="IL29" s="527"/>
      <c r="IM29" s="528">
        <f t="shared" si="80"/>
        <v>0</v>
      </c>
      <c r="IN29" s="529">
        <f t="shared" si="191"/>
        <v>0</v>
      </c>
      <c r="IO29" s="527"/>
      <c r="IP29" s="528">
        <f t="shared" si="81"/>
        <v>0</v>
      </c>
      <c r="IQ29" s="529">
        <f t="shared" si="192"/>
        <v>0</v>
      </c>
      <c r="IR29" s="527">
        <v>40.864062089162502</v>
      </c>
      <c r="IS29" s="528">
        <f t="shared" si="82"/>
        <v>0.86042284313819928</v>
      </c>
      <c r="IT29" s="529">
        <f t="shared" si="193"/>
        <v>0</v>
      </c>
      <c r="IU29" s="527"/>
      <c r="IV29" s="528">
        <f t="shared" si="83"/>
        <v>0</v>
      </c>
      <c r="IW29" s="529">
        <f t="shared" si="194"/>
        <v>0</v>
      </c>
      <c r="IX29" s="527"/>
      <c r="IY29" s="528">
        <f t="shared" si="84"/>
        <v>0</v>
      </c>
      <c r="IZ29" s="529">
        <f t="shared" si="195"/>
        <v>0</v>
      </c>
      <c r="JA29" s="527"/>
      <c r="JB29" s="528">
        <f t="shared" si="85"/>
        <v>0</v>
      </c>
      <c r="JC29" s="529">
        <f t="shared" si="196"/>
        <v>0</v>
      </c>
      <c r="JD29" s="527"/>
      <c r="JE29" s="528">
        <f t="shared" si="86"/>
        <v>0</v>
      </c>
      <c r="JF29" s="529">
        <f t="shared" si="197"/>
        <v>0</v>
      </c>
      <c r="JG29" s="527"/>
      <c r="JH29" s="528">
        <f t="shared" si="87"/>
        <v>0</v>
      </c>
      <c r="JI29" s="529">
        <f t="shared" si="198"/>
        <v>0</v>
      </c>
      <c r="JJ29" s="527">
        <v>20.432031044581251</v>
      </c>
      <c r="JK29" s="529" t="str">
        <f t="shared" si="88"/>
        <v>0</v>
      </c>
      <c r="JL29" s="529" t="str">
        <f t="shared" si="89"/>
        <v>0</v>
      </c>
      <c r="JM29" s="527"/>
      <c r="JN29" s="529" t="str">
        <f t="shared" si="90"/>
        <v>0</v>
      </c>
      <c r="JO29" s="529" t="str">
        <f t="shared" si="91"/>
        <v>0</v>
      </c>
      <c r="JP29" s="527"/>
      <c r="JQ29" s="529" t="str">
        <f t="shared" si="92"/>
        <v>0</v>
      </c>
      <c r="JR29" s="529" t="str">
        <f t="shared" si="93"/>
        <v>0</v>
      </c>
      <c r="JS29" s="527"/>
      <c r="JT29" s="529" t="str">
        <f t="shared" si="94"/>
        <v>0</v>
      </c>
      <c r="JU29" s="529" t="str">
        <f t="shared" si="95"/>
        <v>0</v>
      </c>
      <c r="JV29" s="527"/>
      <c r="JW29" s="529" t="str">
        <f t="shared" si="96"/>
        <v>0</v>
      </c>
      <c r="JX29" s="529" t="str">
        <f t="shared" si="97"/>
        <v>0</v>
      </c>
      <c r="JY29" s="527"/>
      <c r="JZ29" s="529" t="str">
        <f t="shared" si="98"/>
        <v>0</v>
      </c>
      <c r="KA29" s="529" t="str">
        <f t="shared" si="99"/>
        <v>0</v>
      </c>
      <c r="KB29" s="527"/>
      <c r="KC29" s="529" t="str">
        <f t="shared" si="100"/>
        <v>0</v>
      </c>
      <c r="KD29" s="529" t="str">
        <f t="shared" si="101"/>
        <v>0</v>
      </c>
      <c r="KE29" s="527"/>
      <c r="KF29" s="529" t="str">
        <f t="shared" si="102"/>
        <v>0</v>
      </c>
      <c r="KG29" s="529" t="str">
        <f t="shared" si="103"/>
        <v>0</v>
      </c>
      <c r="KH29" s="527"/>
      <c r="KI29" s="529" t="str">
        <f t="shared" si="104"/>
        <v>0</v>
      </c>
      <c r="KJ29" s="529" t="str">
        <f t="shared" si="105"/>
        <v>0</v>
      </c>
      <c r="KK29" s="527"/>
      <c r="KL29" s="529" t="str">
        <f t="shared" si="106"/>
        <v>0</v>
      </c>
      <c r="KM29" s="529" t="str">
        <f t="shared" si="107"/>
        <v>0</v>
      </c>
      <c r="KN29" s="527"/>
      <c r="KO29" s="529" t="str">
        <f t="shared" si="108"/>
        <v>0</v>
      </c>
      <c r="KP29" s="529" t="str">
        <f t="shared" si="109"/>
        <v>0</v>
      </c>
      <c r="KQ29" s="527"/>
      <c r="KR29" s="529" t="str">
        <f t="shared" si="110"/>
        <v>0</v>
      </c>
      <c r="KS29" s="529" t="str">
        <f t="shared" si="111"/>
        <v>0</v>
      </c>
      <c r="KT29" s="529">
        <f t="shared" si="201"/>
        <v>0</v>
      </c>
      <c r="KU29" s="529">
        <f t="shared" si="202"/>
        <v>0</v>
      </c>
      <c r="KV29" s="268">
        <f t="shared" si="199"/>
        <v>1742.6339744657346</v>
      </c>
    </row>
    <row r="30" spans="1:309" ht="15" customHeight="1">
      <c r="A30" s="270">
        <f t="shared" si="200"/>
        <v>46103</v>
      </c>
      <c r="B30" s="271" t="str">
        <f>+Report1!B30</f>
        <v>Toilet</v>
      </c>
      <c r="C30" s="271" t="str">
        <f>+Report1!C30</f>
        <v>14/14,5</v>
      </c>
      <c r="D30" s="272">
        <f>+Report1!P30</f>
        <v>49.143000000000001</v>
      </c>
      <c r="E30" s="273">
        <f>+Report1!R30</f>
        <v>47.826999999999998</v>
      </c>
      <c r="F30" s="527"/>
      <c r="G30" s="528">
        <f t="shared" si="0"/>
        <v>0</v>
      </c>
      <c r="H30" s="529">
        <f t="shared" si="112"/>
        <v>0</v>
      </c>
      <c r="I30" s="527"/>
      <c r="J30" s="528">
        <f t="shared" si="1"/>
        <v>0</v>
      </c>
      <c r="K30" s="529">
        <f t="shared" si="113"/>
        <v>0</v>
      </c>
      <c r="L30" s="527"/>
      <c r="M30" s="528">
        <f t="shared" si="2"/>
        <v>0</v>
      </c>
      <c r="N30" s="529">
        <f t="shared" si="114"/>
        <v>0</v>
      </c>
      <c r="O30" s="527">
        <v>12.121999999999986</v>
      </c>
      <c r="P30" s="528">
        <f t="shared" si="3"/>
        <v>0.25345516131055651</v>
      </c>
      <c r="Q30" s="529">
        <f t="shared" si="115"/>
        <v>0</v>
      </c>
      <c r="R30" s="527"/>
      <c r="S30" s="528">
        <f t="shared" si="4"/>
        <v>0</v>
      </c>
      <c r="T30" s="529">
        <f t="shared" si="116"/>
        <v>0</v>
      </c>
      <c r="U30" s="527">
        <v>11.216699999999999</v>
      </c>
      <c r="V30" s="528">
        <f t="shared" si="5"/>
        <v>0.23452652267547619</v>
      </c>
      <c r="W30" s="529">
        <f t="shared" si="117"/>
        <v>0</v>
      </c>
      <c r="X30" s="527"/>
      <c r="Y30" s="528">
        <f t="shared" si="6"/>
        <v>0</v>
      </c>
      <c r="Z30" s="529">
        <f t="shared" si="118"/>
        <v>0</v>
      </c>
      <c r="AA30" s="527">
        <v>6.25</v>
      </c>
      <c r="AB30" s="528">
        <f t="shared" si="7"/>
        <v>0.1306793233947352</v>
      </c>
      <c r="AC30" s="529">
        <f t="shared" si="119"/>
        <v>0</v>
      </c>
      <c r="AD30" s="527"/>
      <c r="AE30" s="528">
        <f t="shared" si="8"/>
        <v>0</v>
      </c>
      <c r="AF30" s="529">
        <f t="shared" si="120"/>
        <v>0</v>
      </c>
      <c r="AG30" s="527"/>
      <c r="AH30" s="528">
        <f t="shared" si="9"/>
        <v>0</v>
      </c>
      <c r="AI30" s="529">
        <f t="shared" si="121"/>
        <v>0</v>
      </c>
      <c r="AJ30" s="527">
        <v>6.9248999999999796</v>
      </c>
      <c r="AK30" s="528">
        <f t="shared" si="10"/>
        <v>0.14479059945219186</v>
      </c>
      <c r="AL30" s="529">
        <f t="shared" si="122"/>
        <v>0</v>
      </c>
      <c r="AM30" s="527"/>
      <c r="AN30" s="528">
        <f t="shared" si="11"/>
        <v>0</v>
      </c>
      <c r="AO30" s="529">
        <f t="shared" si="123"/>
        <v>0</v>
      </c>
      <c r="AP30" s="527"/>
      <c r="AQ30" s="528">
        <f t="shared" si="12"/>
        <v>0</v>
      </c>
      <c r="AR30" s="529">
        <f t="shared" si="124"/>
        <v>0</v>
      </c>
      <c r="AS30" s="527"/>
      <c r="AT30" s="528">
        <f t="shared" si="13"/>
        <v>0</v>
      </c>
      <c r="AU30" s="529">
        <f t="shared" si="125"/>
        <v>0</v>
      </c>
      <c r="AV30" s="527"/>
      <c r="AW30" s="528">
        <f t="shared" si="14"/>
        <v>0</v>
      </c>
      <c r="AX30" s="529">
        <f t="shared" si="126"/>
        <v>0</v>
      </c>
      <c r="AY30" s="527"/>
      <c r="AZ30" s="528">
        <f t="shared" si="15"/>
        <v>0</v>
      </c>
      <c r="BA30" s="529">
        <f t="shared" si="127"/>
        <v>0</v>
      </c>
      <c r="BB30" s="527"/>
      <c r="BC30" s="528">
        <f t="shared" si="16"/>
        <v>0</v>
      </c>
      <c r="BD30" s="529">
        <f t="shared" si="128"/>
        <v>0</v>
      </c>
      <c r="BE30" s="527"/>
      <c r="BF30" s="528">
        <f t="shared" si="17"/>
        <v>0</v>
      </c>
      <c r="BG30" s="529">
        <f t="shared" si="129"/>
        <v>0</v>
      </c>
      <c r="BH30" s="527"/>
      <c r="BI30" s="528">
        <f t="shared" si="18"/>
        <v>0</v>
      </c>
      <c r="BJ30" s="529">
        <f t="shared" si="130"/>
        <v>0</v>
      </c>
      <c r="BK30" s="527"/>
      <c r="BL30" s="528">
        <f t="shared" si="19"/>
        <v>0</v>
      </c>
      <c r="BM30" s="529">
        <f t="shared" si="131"/>
        <v>0</v>
      </c>
      <c r="BN30" s="527"/>
      <c r="BO30" s="528">
        <f t="shared" si="20"/>
        <v>0</v>
      </c>
      <c r="BP30" s="529">
        <f t="shared" si="132"/>
        <v>0</v>
      </c>
      <c r="BQ30" s="527"/>
      <c r="BR30" s="528">
        <f t="shared" si="21"/>
        <v>0</v>
      </c>
      <c r="BS30" s="529">
        <f t="shared" si="133"/>
        <v>0</v>
      </c>
      <c r="BT30" s="527"/>
      <c r="BU30" s="528">
        <f t="shared" si="22"/>
        <v>0</v>
      </c>
      <c r="BV30" s="529">
        <f t="shared" si="134"/>
        <v>0</v>
      </c>
      <c r="BW30" s="527"/>
      <c r="BX30" s="528">
        <f t="shared" si="23"/>
        <v>0</v>
      </c>
      <c r="BY30" s="529">
        <f t="shared" si="135"/>
        <v>0</v>
      </c>
      <c r="BZ30" s="527"/>
      <c r="CA30" s="528">
        <f t="shared" si="24"/>
        <v>0</v>
      </c>
      <c r="CB30" s="529">
        <f t="shared" si="136"/>
        <v>0</v>
      </c>
      <c r="CC30" s="527"/>
      <c r="CD30" s="528">
        <f t="shared" si="25"/>
        <v>0</v>
      </c>
      <c r="CE30" s="529">
        <f t="shared" si="137"/>
        <v>0</v>
      </c>
      <c r="CF30" s="527">
        <v>5</v>
      </c>
      <c r="CG30" s="528">
        <f t="shared" si="26"/>
        <v>0.10454345871578816</v>
      </c>
      <c r="CH30" s="529">
        <f t="shared" si="138"/>
        <v>0</v>
      </c>
      <c r="CI30" s="527"/>
      <c r="CJ30" s="528">
        <f t="shared" si="27"/>
        <v>0</v>
      </c>
      <c r="CK30" s="529">
        <f t="shared" si="139"/>
        <v>0</v>
      </c>
      <c r="CL30" s="527"/>
      <c r="CM30" s="528">
        <f t="shared" si="28"/>
        <v>0</v>
      </c>
      <c r="CN30" s="529">
        <f t="shared" si="140"/>
        <v>0</v>
      </c>
      <c r="CO30" s="527"/>
      <c r="CP30" s="528">
        <f t="shared" si="29"/>
        <v>0</v>
      </c>
      <c r="CQ30" s="529">
        <f t="shared" si="141"/>
        <v>0</v>
      </c>
      <c r="CR30" s="527"/>
      <c r="CS30" s="528">
        <f t="shared" si="30"/>
        <v>0</v>
      </c>
      <c r="CT30" s="529">
        <f t="shared" si="142"/>
        <v>0</v>
      </c>
      <c r="CU30" s="527"/>
      <c r="CV30" s="528">
        <f t="shared" si="31"/>
        <v>0</v>
      </c>
      <c r="CW30" s="529">
        <f t="shared" si="143"/>
        <v>0</v>
      </c>
      <c r="CX30" s="527"/>
      <c r="CY30" s="528">
        <f t="shared" si="32"/>
        <v>0</v>
      </c>
      <c r="CZ30" s="529">
        <f t="shared" si="144"/>
        <v>0</v>
      </c>
      <c r="DA30" s="527">
        <v>151.7639999999999</v>
      </c>
      <c r="DB30" s="528">
        <f t="shared" si="33"/>
        <v>3.1731866937085726</v>
      </c>
      <c r="DC30" s="529">
        <f t="shared" si="145"/>
        <v>0</v>
      </c>
      <c r="DD30" s="527"/>
      <c r="DE30" s="528">
        <f t="shared" si="34"/>
        <v>0</v>
      </c>
      <c r="DF30" s="529">
        <f t="shared" si="146"/>
        <v>0</v>
      </c>
      <c r="DG30" s="527"/>
      <c r="DH30" s="528">
        <f t="shared" si="35"/>
        <v>0</v>
      </c>
      <c r="DI30" s="529">
        <f t="shared" si="203"/>
        <v>0</v>
      </c>
      <c r="DJ30" s="527"/>
      <c r="DK30" s="528">
        <f t="shared" si="36"/>
        <v>0</v>
      </c>
      <c r="DL30" s="529">
        <f t="shared" si="147"/>
        <v>0</v>
      </c>
      <c r="DM30" s="527"/>
      <c r="DN30" s="528">
        <f t="shared" si="37"/>
        <v>0</v>
      </c>
      <c r="DO30" s="529">
        <f t="shared" si="148"/>
        <v>0</v>
      </c>
      <c r="DP30" s="527"/>
      <c r="DQ30" s="528">
        <f t="shared" si="38"/>
        <v>0</v>
      </c>
      <c r="DR30" s="529">
        <f t="shared" si="149"/>
        <v>0</v>
      </c>
      <c r="DS30" s="527"/>
      <c r="DT30" s="528">
        <f t="shared" si="39"/>
        <v>0</v>
      </c>
      <c r="DU30" s="529">
        <f t="shared" si="150"/>
        <v>0</v>
      </c>
      <c r="DV30" s="527"/>
      <c r="DW30" s="528">
        <f t="shared" si="40"/>
        <v>0</v>
      </c>
      <c r="DX30" s="529">
        <f t="shared" si="151"/>
        <v>0</v>
      </c>
      <c r="DY30" s="527"/>
      <c r="DZ30" s="528">
        <f t="shared" si="41"/>
        <v>0</v>
      </c>
      <c r="EA30" s="529">
        <f t="shared" si="152"/>
        <v>0</v>
      </c>
      <c r="EB30" s="527"/>
      <c r="EC30" s="528">
        <f t="shared" si="42"/>
        <v>0</v>
      </c>
      <c r="ED30" s="529">
        <f t="shared" si="153"/>
        <v>0</v>
      </c>
      <c r="EE30" s="527">
        <v>14.534883720930262</v>
      </c>
      <c r="EF30" s="528">
        <f t="shared" si="43"/>
        <v>0.30390540324357085</v>
      </c>
      <c r="EG30" s="529">
        <f t="shared" si="154"/>
        <v>0</v>
      </c>
      <c r="EH30" s="527">
        <v>237.05999999999995</v>
      </c>
      <c r="EI30" s="528">
        <f t="shared" si="44"/>
        <v>4.9566144646329473</v>
      </c>
      <c r="EJ30" s="529">
        <f t="shared" si="155"/>
        <v>0</v>
      </c>
      <c r="EK30" s="527">
        <v>5.666666666666667</v>
      </c>
      <c r="EL30" s="528">
        <f t="shared" si="45"/>
        <v>0.11848258654455991</v>
      </c>
      <c r="EM30" s="529">
        <f t="shared" si="156"/>
        <v>0</v>
      </c>
      <c r="EN30" s="527">
        <v>39.026399999999967</v>
      </c>
      <c r="EO30" s="528">
        <f t="shared" si="46"/>
        <v>0.8159909674451663</v>
      </c>
      <c r="EP30" s="529">
        <f t="shared" si="157"/>
        <v>0</v>
      </c>
      <c r="EQ30" s="527">
        <v>46.605500000000006</v>
      </c>
      <c r="ER30" s="528">
        <f t="shared" si="47"/>
        <v>0.97446003303573314</v>
      </c>
      <c r="ES30" s="529">
        <f t="shared" si="158"/>
        <v>0</v>
      </c>
      <c r="ET30" s="527"/>
      <c r="EU30" s="528">
        <f t="shared" si="48"/>
        <v>0</v>
      </c>
      <c r="EV30" s="529">
        <f t="shared" si="159"/>
        <v>0</v>
      </c>
      <c r="EW30" s="527"/>
      <c r="EX30" s="528">
        <f t="shared" si="49"/>
        <v>0</v>
      </c>
      <c r="EY30" s="529">
        <f t="shared" si="160"/>
        <v>0</v>
      </c>
      <c r="EZ30" s="527"/>
      <c r="FA30" s="528">
        <f t="shared" si="50"/>
        <v>0</v>
      </c>
      <c r="FB30" s="529">
        <f t="shared" si="161"/>
        <v>0</v>
      </c>
      <c r="FC30" s="527"/>
      <c r="FD30" s="528">
        <f t="shared" si="51"/>
        <v>0</v>
      </c>
      <c r="FE30" s="529">
        <f t="shared" si="162"/>
        <v>0</v>
      </c>
      <c r="FF30" s="527"/>
      <c r="FG30" s="528">
        <f t="shared" si="52"/>
        <v>0</v>
      </c>
      <c r="FH30" s="529">
        <f t="shared" si="163"/>
        <v>0</v>
      </c>
      <c r="FI30" s="527"/>
      <c r="FJ30" s="528">
        <f t="shared" si="53"/>
        <v>0</v>
      </c>
      <c r="FK30" s="529">
        <f t="shared" si="164"/>
        <v>0</v>
      </c>
      <c r="FL30" s="527"/>
      <c r="FM30" s="528">
        <f t="shared" si="54"/>
        <v>0</v>
      </c>
      <c r="FN30" s="529">
        <f t="shared" si="165"/>
        <v>0</v>
      </c>
      <c r="FO30" s="527"/>
      <c r="FP30" s="528">
        <f t="shared" si="55"/>
        <v>0</v>
      </c>
      <c r="FQ30" s="529">
        <f t="shared" si="166"/>
        <v>0</v>
      </c>
      <c r="FR30" s="527"/>
      <c r="FS30" s="528">
        <f t="shared" si="56"/>
        <v>0</v>
      </c>
      <c r="FT30" s="529">
        <f t="shared" si="167"/>
        <v>0</v>
      </c>
      <c r="FU30" s="527"/>
      <c r="FV30" s="528">
        <f t="shared" si="57"/>
        <v>0</v>
      </c>
      <c r="FW30" s="529">
        <f t="shared" si="168"/>
        <v>0</v>
      </c>
      <c r="FX30" s="527"/>
      <c r="FY30" s="528">
        <f t="shared" si="58"/>
        <v>0</v>
      </c>
      <c r="FZ30" s="529">
        <f t="shared" si="169"/>
        <v>0</v>
      </c>
      <c r="GA30" s="527"/>
      <c r="GB30" s="528">
        <f t="shared" si="59"/>
        <v>0</v>
      </c>
      <c r="GC30" s="529">
        <f t="shared" si="170"/>
        <v>0</v>
      </c>
      <c r="GD30" s="527"/>
      <c r="GE30" s="528">
        <f t="shared" si="60"/>
        <v>0</v>
      </c>
      <c r="GF30" s="529">
        <f t="shared" si="171"/>
        <v>0</v>
      </c>
      <c r="GG30" s="527">
        <v>16.593715630848788</v>
      </c>
      <c r="GH30" s="528">
        <f t="shared" si="61"/>
        <v>0.34695288499903376</v>
      </c>
      <c r="GI30" s="529">
        <f t="shared" si="172"/>
        <v>0</v>
      </c>
      <c r="GJ30" s="527">
        <v>18.964246435255756</v>
      </c>
      <c r="GK30" s="528">
        <f t="shared" ref="GK30:GK32" si="229">+GJ30/$E30</f>
        <v>0.39651758285603855</v>
      </c>
      <c r="GL30" s="529">
        <f t="shared" ref="GL30:GL32" si="230">+GJ30*$H$8</f>
        <v>0</v>
      </c>
      <c r="GM30" s="527"/>
      <c r="GN30" s="528">
        <f t="shared" ref="GN30:GN32" si="231">+GM30/$E30</f>
        <v>0</v>
      </c>
      <c r="GO30" s="529">
        <f t="shared" ref="GO30:GO32" si="232">+GM30*$H$8</f>
        <v>0</v>
      </c>
      <c r="GP30" s="527">
        <v>37.928492870511512</v>
      </c>
      <c r="GQ30" s="528">
        <f t="shared" ref="GQ30:GQ32" si="233">+GP30/$E30</f>
        <v>0.79303516571207711</v>
      </c>
      <c r="GR30" s="529">
        <f t="shared" ref="GR30:GR32" si="234">+GP30*$H$8</f>
        <v>0</v>
      </c>
      <c r="GS30" s="527">
        <v>208.60671078781331</v>
      </c>
      <c r="GT30" s="528">
        <f t="shared" ref="GT30:GT32" si="235">+GS30/$E30</f>
        <v>4.3616934114164243</v>
      </c>
      <c r="GU30" s="529">
        <f t="shared" ref="GU30:GU32" si="236">+GS30*$H$8</f>
        <v>0</v>
      </c>
      <c r="GV30" s="527">
        <v>66.374862523395151</v>
      </c>
      <c r="GW30" s="528">
        <f t="shared" ref="GW30:GW32" si="237">+GV30/$E30</f>
        <v>1.387811539996135</v>
      </c>
      <c r="GX30" s="529">
        <f t="shared" ref="GX30:GX32" si="238">+GV30*$H$8</f>
        <v>0</v>
      </c>
      <c r="GY30" s="527"/>
      <c r="GZ30" s="528">
        <f t="shared" ref="GZ30:GZ32" si="239">+GY30/$E30</f>
        <v>0</v>
      </c>
      <c r="HA30" s="529">
        <f t="shared" ref="HA30:HA32" si="240">+GY30*$H$8</f>
        <v>0</v>
      </c>
      <c r="HB30" s="527"/>
      <c r="HC30" s="528">
        <f t="shared" si="222"/>
        <v>0</v>
      </c>
      <c r="HD30" s="529">
        <f t="shared" si="223"/>
        <v>0</v>
      </c>
      <c r="HE30" s="527"/>
      <c r="HF30" s="528">
        <f t="shared" si="224"/>
        <v>0</v>
      </c>
      <c r="HG30" s="529">
        <f t="shared" si="225"/>
        <v>0</v>
      </c>
      <c r="HH30" s="527"/>
      <c r="HI30" s="528">
        <f t="shared" si="226"/>
        <v>0</v>
      </c>
      <c r="HJ30" s="529">
        <f t="shared" si="227"/>
        <v>0</v>
      </c>
      <c r="HK30" s="527"/>
      <c r="HL30" s="528">
        <f t="shared" si="228"/>
        <v>0</v>
      </c>
      <c r="HM30" s="529">
        <f t="shared" si="182"/>
        <v>0</v>
      </c>
      <c r="HN30" s="527">
        <v>756.67343276670465</v>
      </c>
      <c r="HO30" s="528">
        <f t="shared" si="72"/>
        <v>15.821051555955938</v>
      </c>
      <c r="HP30" s="529">
        <f t="shared" si="183"/>
        <v>0</v>
      </c>
      <c r="HQ30" s="527"/>
      <c r="HR30" s="528">
        <f t="shared" si="73"/>
        <v>0</v>
      </c>
      <c r="HS30" s="529">
        <f t="shared" si="184"/>
        <v>0</v>
      </c>
      <c r="HT30" s="527"/>
      <c r="HU30" s="528">
        <f t="shared" si="74"/>
        <v>0</v>
      </c>
      <c r="HV30" s="529">
        <f t="shared" si="185"/>
        <v>0</v>
      </c>
      <c r="HW30" s="527"/>
      <c r="HX30" s="528">
        <f t="shared" si="75"/>
        <v>0</v>
      </c>
      <c r="HY30" s="529">
        <f t="shared" si="186"/>
        <v>0</v>
      </c>
      <c r="HZ30" s="527"/>
      <c r="IA30" s="528">
        <f t="shared" si="76"/>
        <v>0</v>
      </c>
      <c r="IB30" s="529">
        <f t="shared" si="187"/>
        <v>0</v>
      </c>
      <c r="IC30" s="527"/>
      <c r="ID30" s="528">
        <f t="shared" si="77"/>
        <v>0</v>
      </c>
      <c r="IE30" s="529">
        <f t="shared" si="188"/>
        <v>0</v>
      </c>
      <c r="IF30" s="527"/>
      <c r="IG30" s="528">
        <f t="shared" si="78"/>
        <v>0</v>
      </c>
      <c r="IH30" s="529">
        <f t="shared" si="189"/>
        <v>0</v>
      </c>
      <c r="II30" s="527">
        <v>23.705308044069696</v>
      </c>
      <c r="IJ30" s="528">
        <f t="shared" si="79"/>
        <v>0.49564697857004825</v>
      </c>
      <c r="IK30" s="529">
        <f t="shared" si="190"/>
        <v>0</v>
      </c>
      <c r="IL30" s="527"/>
      <c r="IM30" s="528">
        <f t="shared" si="80"/>
        <v>0</v>
      </c>
      <c r="IN30" s="529">
        <f t="shared" si="191"/>
        <v>0</v>
      </c>
      <c r="IO30" s="527"/>
      <c r="IP30" s="528">
        <f t="shared" si="81"/>
        <v>0</v>
      </c>
      <c r="IQ30" s="529">
        <f t="shared" si="192"/>
        <v>0</v>
      </c>
      <c r="IR30" s="527">
        <v>42.669554479325448</v>
      </c>
      <c r="IS30" s="528">
        <f t="shared" si="82"/>
        <v>0.89216456142608669</v>
      </c>
      <c r="IT30" s="529">
        <f t="shared" si="193"/>
        <v>0</v>
      </c>
      <c r="IU30" s="527"/>
      <c r="IV30" s="528">
        <f t="shared" si="83"/>
        <v>0</v>
      </c>
      <c r="IW30" s="529">
        <f t="shared" si="194"/>
        <v>0</v>
      </c>
      <c r="IX30" s="527"/>
      <c r="IY30" s="528">
        <f t="shared" si="84"/>
        <v>0</v>
      </c>
      <c r="IZ30" s="529">
        <f t="shared" si="195"/>
        <v>0</v>
      </c>
      <c r="JA30" s="527"/>
      <c r="JB30" s="528">
        <f t="shared" si="85"/>
        <v>0</v>
      </c>
      <c r="JC30" s="529">
        <f t="shared" si="196"/>
        <v>0</v>
      </c>
      <c r="JD30" s="527"/>
      <c r="JE30" s="528">
        <f t="shared" si="86"/>
        <v>0</v>
      </c>
      <c r="JF30" s="529">
        <f t="shared" si="197"/>
        <v>0</v>
      </c>
      <c r="JG30" s="527"/>
      <c r="JH30" s="528">
        <f t="shared" si="87"/>
        <v>0</v>
      </c>
      <c r="JI30" s="529">
        <f t="shared" si="198"/>
        <v>0</v>
      </c>
      <c r="JJ30" s="527">
        <v>21.334777239662724</v>
      </c>
      <c r="JK30" s="529" t="str">
        <f t="shared" si="88"/>
        <v>0</v>
      </c>
      <c r="JL30" s="529" t="str">
        <f t="shared" si="89"/>
        <v>0</v>
      </c>
      <c r="JM30" s="527"/>
      <c r="JN30" s="529" t="str">
        <f t="shared" si="90"/>
        <v>0</v>
      </c>
      <c r="JO30" s="529" t="str">
        <f t="shared" si="91"/>
        <v>0</v>
      </c>
      <c r="JP30" s="527"/>
      <c r="JQ30" s="529" t="str">
        <f t="shared" si="92"/>
        <v>0</v>
      </c>
      <c r="JR30" s="529" t="str">
        <f t="shared" si="93"/>
        <v>0</v>
      </c>
      <c r="JS30" s="527"/>
      <c r="JT30" s="529" t="str">
        <f t="shared" si="94"/>
        <v>0</v>
      </c>
      <c r="JU30" s="529" t="str">
        <f t="shared" si="95"/>
        <v>0</v>
      </c>
      <c r="JV30" s="527"/>
      <c r="JW30" s="529" t="str">
        <f t="shared" si="96"/>
        <v>0</v>
      </c>
      <c r="JX30" s="529" t="str">
        <f t="shared" si="97"/>
        <v>0</v>
      </c>
      <c r="JY30" s="527"/>
      <c r="JZ30" s="529" t="str">
        <f t="shared" si="98"/>
        <v>0</v>
      </c>
      <c r="KA30" s="529" t="str">
        <f t="shared" si="99"/>
        <v>0</v>
      </c>
      <c r="KB30" s="527"/>
      <c r="KC30" s="529" t="str">
        <f t="shared" si="100"/>
        <v>0</v>
      </c>
      <c r="KD30" s="529" t="str">
        <f t="shared" si="101"/>
        <v>0</v>
      </c>
      <c r="KE30" s="527"/>
      <c r="KF30" s="529" t="str">
        <f t="shared" si="102"/>
        <v>0</v>
      </c>
      <c r="KG30" s="529" t="str">
        <f t="shared" si="103"/>
        <v>0</v>
      </c>
      <c r="KH30" s="527"/>
      <c r="KI30" s="529" t="str">
        <f t="shared" si="104"/>
        <v>0</v>
      </c>
      <c r="KJ30" s="529" t="str">
        <f t="shared" si="105"/>
        <v>0</v>
      </c>
      <c r="KK30" s="527"/>
      <c r="KL30" s="529" t="str">
        <f t="shared" si="106"/>
        <v>0</v>
      </c>
      <c r="KM30" s="529" t="str">
        <f t="shared" si="107"/>
        <v>0</v>
      </c>
      <c r="KN30" s="527"/>
      <c r="KO30" s="529" t="str">
        <f t="shared" si="108"/>
        <v>0</v>
      </c>
      <c r="KP30" s="529" t="str">
        <f t="shared" si="109"/>
        <v>0</v>
      </c>
      <c r="KQ30" s="527"/>
      <c r="KR30" s="529" t="str">
        <f t="shared" si="110"/>
        <v>0</v>
      </c>
      <c r="KS30" s="529" t="str">
        <f t="shared" si="111"/>
        <v>0</v>
      </c>
      <c r="KT30" s="529">
        <f t="shared" si="201"/>
        <v>0</v>
      </c>
      <c r="KU30" s="529">
        <f t="shared" si="202"/>
        <v>0</v>
      </c>
      <c r="KV30" s="268">
        <f t="shared" si="199"/>
        <v>1729.0221511651837</v>
      </c>
    </row>
    <row r="31" spans="1:309" ht="15" customHeight="1">
      <c r="A31" s="270">
        <f t="shared" si="200"/>
        <v>46104</v>
      </c>
      <c r="B31" s="271" t="str">
        <f>+Report1!B31</f>
        <v>Toilet</v>
      </c>
      <c r="C31" s="271" t="str">
        <f>+Report1!C31</f>
        <v>14,5/13</v>
      </c>
      <c r="D31" s="272">
        <f>+Report1!P31</f>
        <v>47.481999999999999</v>
      </c>
      <c r="E31" s="273">
        <f>+Report1!R31</f>
        <v>45.936</v>
      </c>
      <c r="F31" s="527"/>
      <c r="G31" s="528">
        <f t="shared" si="0"/>
        <v>0</v>
      </c>
      <c r="H31" s="529">
        <f t="shared" si="112"/>
        <v>0</v>
      </c>
      <c r="I31" s="527"/>
      <c r="J31" s="528">
        <f t="shared" si="1"/>
        <v>0</v>
      </c>
      <c r="K31" s="529">
        <f t="shared" si="113"/>
        <v>0</v>
      </c>
      <c r="L31" s="527"/>
      <c r="M31" s="528">
        <f t="shared" si="2"/>
        <v>0</v>
      </c>
      <c r="N31" s="529">
        <f t="shared" si="114"/>
        <v>0</v>
      </c>
      <c r="O31" s="527">
        <v>9.0039999999999907</v>
      </c>
      <c r="P31" s="528">
        <f t="shared" si="3"/>
        <v>0.19601184256356649</v>
      </c>
      <c r="Q31" s="529">
        <f t="shared" si="115"/>
        <v>0</v>
      </c>
      <c r="R31" s="527"/>
      <c r="S31" s="528">
        <f t="shared" si="4"/>
        <v>0</v>
      </c>
      <c r="T31" s="529">
        <f t="shared" si="116"/>
        <v>0</v>
      </c>
      <c r="U31" s="527">
        <v>5.129400000000004</v>
      </c>
      <c r="V31" s="528">
        <f t="shared" si="5"/>
        <v>0.11166405433646821</v>
      </c>
      <c r="W31" s="529">
        <f t="shared" si="117"/>
        <v>0</v>
      </c>
      <c r="X31" s="527"/>
      <c r="Y31" s="528">
        <f t="shared" si="6"/>
        <v>0</v>
      </c>
      <c r="Z31" s="529">
        <f t="shared" si="118"/>
        <v>0</v>
      </c>
      <c r="AA31" s="527">
        <v>3.1249999999999858</v>
      </c>
      <c r="AB31" s="528">
        <f t="shared" si="7"/>
        <v>6.8029432253569874E-2</v>
      </c>
      <c r="AC31" s="529">
        <f t="shared" si="119"/>
        <v>0</v>
      </c>
      <c r="AD31" s="527"/>
      <c r="AE31" s="528">
        <f t="shared" si="8"/>
        <v>0</v>
      </c>
      <c r="AF31" s="529">
        <f t="shared" si="120"/>
        <v>0</v>
      </c>
      <c r="AG31" s="527"/>
      <c r="AH31" s="528">
        <f t="shared" si="9"/>
        <v>0</v>
      </c>
      <c r="AI31" s="529">
        <f t="shared" si="121"/>
        <v>0</v>
      </c>
      <c r="AJ31" s="527">
        <v>17.628800000000012</v>
      </c>
      <c r="AK31" s="528">
        <f t="shared" si="10"/>
        <v>0.38376872169975645</v>
      </c>
      <c r="AL31" s="529">
        <f t="shared" si="122"/>
        <v>0</v>
      </c>
      <c r="AM31" s="527"/>
      <c r="AN31" s="528">
        <f t="shared" si="11"/>
        <v>0</v>
      </c>
      <c r="AO31" s="529">
        <f t="shared" si="123"/>
        <v>0</v>
      </c>
      <c r="AP31" s="527"/>
      <c r="AQ31" s="528">
        <f t="shared" si="12"/>
        <v>0</v>
      </c>
      <c r="AR31" s="529">
        <f t="shared" si="124"/>
        <v>0</v>
      </c>
      <c r="AS31" s="527"/>
      <c r="AT31" s="528">
        <f t="shared" si="13"/>
        <v>0</v>
      </c>
      <c r="AU31" s="529">
        <f t="shared" si="125"/>
        <v>0</v>
      </c>
      <c r="AV31" s="527"/>
      <c r="AW31" s="528">
        <f t="shared" si="14"/>
        <v>0</v>
      </c>
      <c r="AX31" s="529">
        <f t="shared" si="126"/>
        <v>0</v>
      </c>
      <c r="AY31" s="527"/>
      <c r="AZ31" s="528">
        <f t="shared" si="15"/>
        <v>0</v>
      </c>
      <c r="BA31" s="529">
        <f t="shared" si="127"/>
        <v>0</v>
      </c>
      <c r="BB31" s="527"/>
      <c r="BC31" s="528">
        <f t="shared" si="16"/>
        <v>0</v>
      </c>
      <c r="BD31" s="529">
        <f t="shared" si="128"/>
        <v>0</v>
      </c>
      <c r="BE31" s="527"/>
      <c r="BF31" s="528">
        <f t="shared" si="17"/>
        <v>0</v>
      </c>
      <c r="BG31" s="529">
        <f t="shared" si="129"/>
        <v>0</v>
      </c>
      <c r="BH31" s="527"/>
      <c r="BI31" s="528">
        <f t="shared" si="18"/>
        <v>0</v>
      </c>
      <c r="BJ31" s="529">
        <f t="shared" si="130"/>
        <v>0</v>
      </c>
      <c r="BK31" s="527"/>
      <c r="BL31" s="528">
        <f t="shared" si="19"/>
        <v>0</v>
      </c>
      <c r="BM31" s="529">
        <f t="shared" si="131"/>
        <v>0</v>
      </c>
      <c r="BN31" s="527"/>
      <c r="BO31" s="528">
        <f t="shared" si="20"/>
        <v>0</v>
      </c>
      <c r="BP31" s="529">
        <f t="shared" si="132"/>
        <v>0</v>
      </c>
      <c r="BQ31" s="527"/>
      <c r="BR31" s="528">
        <f t="shared" si="21"/>
        <v>0</v>
      </c>
      <c r="BS31" s="529">
        <f t="shared" si="133"/>
        <v>0</v>
      </c>
      <c r="BT31" s="527"/>
      <c r="BU31" s="528">
        <f t="shared" si="22"/>
        <v>0</v>
      </c>
      <c r="BV31" s="529">
        <f t="shared" si="134"/>
        <v>0</v>
      </c>
      <c r="BW31" s="527"/>
      <c r="BX31" s="528">
        <f t="shared" si="23"/>
        <v>0</v>
      </c>
      <c r="BY31" s="529">
        <f t="shared" si="135"/>
        <v>0</v>
      </c>
      <c r="BZ31" s="527"/>
      <c r="CA31" s="528">
        <f t="shared" si="24"/>
        <v>0</v>
      </c>
      <c r="CB31" s="529">
        <f t="shared" si="136"/>
        <v>0</v>
      </c>
      <c r="CC31" s="527"/>
      <c r="CD31" s="528">
        <f t="shared" si="25"/>
        <v>0</v>
      </c>
      <c r="CE31" s="529">
        <f t="shared" si="137"/>
        <v>0</v>
      </c>
      <c r="CF31" s="527">
        <v>5.5</v>
      </c>
      <c r="CG31" s="528">
        <f t="shared" si="26"/>
        <v>0.11973180076628352</v>
      </c>
      <c r="CH31" s="529">
        <f t="shared" si="138"/>
        <v>0</v>
      </c>
      <c r="CI31" s="527"/>
      <c r="CJ31" s="528">
        <f t="shared" si="27"/>
        <v>0</v>
      </c>
      <c r="CK31" s="529">
        <f t="shared" si="139"/>
        <v>0</v>
      </c>
      <c r="CL31" s="527"/>
      <c r="CM31" s="528">
        <f t="shared" si="28"/>
        <v>0</v>
      </c>
      <c r="CN31" s="529">
        <f t="shared" si="140"/>
        <v>0</v>
      </c>
      <c r="CO31" s="527"/>
      <c r="CP31" s="528">
        <f t="shared" si="29"/>
        <v>0</v>
      </c>
      <c r="CQ31" s="529">
        <f t="shared" si="141"/>
        <v>0</v>
      </c>
      <c r="CR31" s="527"/>
      <c r="CS31" s="528">
        <f t="shared" si="30"/>
        <v>0</v>
      </c>
      <c r="CT31" s="529">
        <f t="shared" si="142"/>
        <v>0</v>
      </c>
      <c r="CU31" s="527"/>
      <c r="CV31" s="528">
        <f t="shared" si="31"/>
        <v>0</v>
      </c>
      <c r="CW31" s="529">
        <f t="shared" si="143"/>
        <v>0</v>
      </c>
      <c r="CX31" s="527"/>
      <c r="CY31" s="528">
        <f t="shared" si="32"/>
        <v>0</v>
      </c>
      <c r="CZ31" s="529">
        <f t="shared" si="144"/>
        <v>0</v>
      </c>
      <c r="DA31" s="527">
        <v>218.02083720930204</v>
      </c>
      <c r="DB31" s="528">
        <f t="shared" si="33"/>
        <v>4.7461868079349978</v>
      </c>
      <c r="DC31" s="529">
        <f t="shared" si="145"/>
        <v>0</v>
      </c>
      <c r="DD31" s="527"/>
      <c r="DE31" s="528">
        <f t="shared" si="34"/>
        <v>0</v>
      </c>
      <c r="DF31" s="529">
        <f t="shared" si="146"/>
        <v>0</v>
      </c>
      <c r="DG31" s="527"/>
      <c r="DH31" s="528">
        <f t="shared" si="35"/>
        <v>0</v>
      </c>
      <c r="DI31" s="529">
        <f t="shared" si="203"/>
        <v>0</v>
      </c>
      <c r="DJ31" s="527"/>
      <c r="DK31" s="528">
        <f t="shared" si="36"/>
        <v>0</v>
      </c>
      <c r="DL31" s="529">
        <f t="shared" si="147"/>
        <v>0</v>
      </c>
      <c r="DM31" s="527"/>
      <c r="DN31" s="528">
        <f t="shared" si="37"/>
        <v>0</v>
      </c>
      <c r="DO31" s="529">
        <f t="shared" si="148"/>
        <v>0</v>
      </c>
      <c r="DP31" s="527"/>
      <c r="DQ31" s="528">
        <f t="shared" si="38"/>
        <v>0</v>
      </c>
      <c r="DR31" s="529">
        <f t="shared" si="149"/>
        <v>0</v>
      </c>
      <c r="DS31" s="527"/>
      <c r="DT31" s="528">
        <f t="shared" si="39"/>
        <v>0</v>
      </c>
      <c r="DU31" s="529">
        <f t="shared" si="150"/>
        <v>0</v>
      </c>
      <c r="DV31" s="527"/>
      <c r="DW31" s="528">
        <f t="shared" si="40"/>
        <v>0</v>
      </c>
      <c r="DX31" s="529">
        <f t="shared" si="151"/>
        <v>0</v>
      </c>
      <c r="DY31" s="527"/>
      <c r="DZ31" s="528">
        <f t="shared" si="41"/>
        <v>0</v>
      </c>
      <c r="EA31" s="529">
        <f t="shared" si="152"/>
        <v>0</v>
      </c>
      <c r="EB31" s="527"/>
      <c r="EC31" s="528">
        <f t="shared" si="42"/>
        <v>0</v>
      </c>
      <c r="ED31" s="529">
        <f t="shared" si="153"/>
        <v>0</v>
      </c>
      <c r="EE31" s="527">
        <v>14.534883720930225</v>
      </c>
      <c r="EF31" s="528">
        <f t="shared" si="43"/>
        <v>0.31641596397009369</v>
      </c>
      <c r="EG31" s="529">
        <f t="shared" si="154"/>
        <v>0</v>
      </c>
      <c r="EH31" s="527">
        <v>223.08176470588228</v>
      </c>
      <c r="EI31" s="528">
        <f t="shared" si="44"/>
        <v>4.8563602557010253</v>
      </c>
      <c r="EJ31" s="529">
        <f t="shared" si="155"/>
        <v>0</v>
      </c>
      <c r="EK31" s="527">
        <v>0</v>
      </c>
      <c r="EL31" s="528">
        <f t="shared" si="45"/>
        <v>0</v>
      </c>
      <c r="EM31" s="529">
        <f t="shared" si="156"/>
        <v>0</v>
      </c>
      <c r="EN31" s="527">
        <v>48.77693499999998</v>
      </c>
      <c r="EO31" s="528">
        <f t="shared" si="46"/>
        <v>1.0618455024381743</v>
      </c>
      <c r="EP31" s="529">
        <f t="shared" si="157"/>
        <v>0</v>
      </c>
      <c r="EQ31" s="527">
        <v>59.303116279069741</v>
      </c>
      <c r="ER31" s="528">
        <f t="shared" si="47"/>
        <v>1.2909943460264224</v>
      </c>
      <c r="ES31" s="529">
        <f t="shared" si="158"/>
        <v>0</v>
      </c>
      <c r="ET31" s="527"/>
      <c r="EU31" s="528">
        <f t="shared" si="48"/>
        <v>0</v>
      </c>
      <c r="EV31" s="529">
        <f t="shared" si="159"/>
        <v>0</v>
      </c>
      <c r="EW31" s="527"/>
      <c r="EX31" s="528">
        <f t="shared" si="49"/>
        <v>0</v>
      </c>
      <c r="EY31" s="529">
        <f t="shared" si="160"/>
        <v>0</v>
      </c>
      <c r="EZ31" s="527"/>
      <c r="FA31" s="528">
        <f t="shared" si="50"/>
        <v>0</v>
      </c>
      <c r="FB31" s="529">
        <f t="shared" si="161"/>
        <v>0</v>
      </c>
      <c r="FC31" s="527"/>
      <c r="FD31" s="528">
        <f t="shared" si="51"/>
        <v>0</v>
      </c>
      <c r="FE31" s="529">
        <f t="shared" si="162"/>
        <v>0</v>
      </c>
      <c r="FF31" s="527"/>
      <c r="FG31" s="528">
        <f t="shared" si="52"/>
        <v>0</v>
      </c>
      <c r="FH31" s="529">
        <f t="shared" si="163"/>
        <v>0</v>
      </c>
      <c r="FI31" s="527"/>
      <c r="FJ31" s="528">
        <f t="shared" si="53"/>
        <v>0</v>
      </c>
      <c r="FK31" s="529">
        <f t="shared" si="164"/>
        <v>0</v>
      </c>
      <c r="FL31" s="527"/>
      <c r="FM31" s="528">
        <f t="shared" si="54"/>
        <v>0</v>
      </c>
      <c r="FN31" s="529">
        <f t="shared" si="165"/>
        <v>0</v>
      </c>
      <c r="FO31" s="527"/>
      <c r="FP31" s="528">
        <f t="shared" si="55"/>
        <v>0</v>
      </c>
      <c r="FQ31" s="529">
        <f t="shared" si="166"/>
        <v>0</v>
      </c>
      <c r="FR31" s="527"/>
      <c r="FS31" s="528">
        <f t="shared" si="56"/>
        <v>0</v>
      </c>
      <c r="FT31" s="529">
        <f t="shared" si="167"/>
        <v>0</v>
      </c>
      <c r="FU31" s="527"/>
      <c r="FV31" s="528">
        <f t="shared" si="57"/>
        <v>0</v>
      </c>
      <c r="FW31" s="529">
        <f t="shared" si="168"/>
        <v>0</v>
      </c>
      <c r="FX31" s="527"/>
      <c r="FY31" s="528">
        <f t="shared" si="58"/>
        <v>0</v>
      </c>
      <c r="FZ31" s="529">
        <f t="shared" si="169"/>
        <v>0</v>
      </c>
      <c r="GA31" s="527"/>
      <c r="GB31" s="528">
        <f t="shared" si="59"/>
        <v>0</v>
      </c>
      <c r="GC31" s="529">
        <f t="shared" si="170"/>
        <v>0</v>
      </c>
      <c r="GD31" s="527"/>
      <c r="GE31" s="528">
        <f t="shared" si="60"/>
        <v>0</v>
      </c>
      <c r="GF31" s="529">
        <f t="shared" si="171"/>
        <v>0</v>
      </c>
      <c r="GG31" s="527">
        <v>20.395937719581074</v>
      </c>
      <c r="GH31" s="528">
        <f t="shared" si="61"/>
        <v>0.44400770026952879</v>
      </c>
      <c r="GI31" s="529">
        <f t="shared" si="172"/>
        <v>0</v>
      </c>
      <c r="GJ31" s="527">
        <v>23.309643108092658</v>
      </c>
      <c r="GK31" s="528">
        <f t="shared" si="229"/>
        <v>0.50743737173660441</v>
      </c>
      <c r="GL31" s="529">
        <f t="shared" si="230"/>
        <v>0</v>
      </c>
      <c r="GM31" s="527"/>
      <c r="GN31" s="528">
        <f t="shared" si="231"/>
        <v>0</v>
      </c>
      <c r="GO31" s="529">
        <f t="shared" si="232"/>
        <v>0</v>
      </c>
      <c r="GP31" s="527">
        <v>46.619286216185316</v>
      </c>
      <c r="GQ31" s="528">
        <f t="shared" si="233"/>
        <v>1.0148747434732088</v>
      </c>
      <c r="GR31" s="529">
        <f t="shared" si="234"/>
        <v>0</v>
      </c>
      <c r="GS31" s="527">
        <v>250.57866341199608</v>
      </c>
      <c r="GT31" s="528">
        <f t="shared" si="235"/>
        <v>5.4549517461684971</v>
      </c>
      <c r="GU31" s="529">
        <f t="shared" si="236"/>
        <v>0</v>
      </c>
      <c r="GV31" s="527">
        <v>81.583750878324295</v>
      </c>
      <c r="GW31" s="528">
        <f t="shared" si="237"/>
        <v>1.7760308010781152</v>
      </c>
      <c r="GX31" s="529">
        <f t="shared" si="238"/>
        <v>0</v>
      </c>
      <c r="GY31" s="527"/>
      <c r="GZ31" s="528">
        <f t="shared" si="239"/>
        <v>0</v>
      </c>
      <c r="HA31" s="529">
        <f t="shared" si="240"/>
        <v>0</v>
      </c>
      <c r="HB31" s="527"/>
      <c r="HC31" s="528">
        <f t="shared" si="222"/>
        <v>0</v>
      </c>
      <c r="HD31" s="529">
        <f t="shared" si="223"/>
        <v>0</v>
      </c>
      <c r="HE31" s="527"/>
      <c r="HF31" s="528">
        <f t="shared" si="224"/>
        <v>0</v>
      </c>
      <c r="HG31" s="529">
        <f t="shared" si="225"/>
        <v>0</v>
      </c>
      <c r="HH31" s="527"/>
      <c r="HI31" s="528">
        <f t="shared" si="226"/>
        <v>0</v>
      </c>
      <c r="HJ31" s="529">
        <f t="shared" si="227"/>
        <v>0</v>
      </c>
      <c r="HK31" s="527"/>
      <c r="HL31" s="528">
        <f t="shared" si="228"/>
        <v>0</v>
      </c>
      <c r="HM31" s="529">
        <f t="shared" si="182"/>
        <v>0</v>
      </c>
      <c r="HN31" s="527">
        <v>930.05476001289696</v>
      </c>
      <c r="HO31" s="528">
        <f t="shared" si="72"/>
        <v>20.246751132290512</v>
      </c>
      <c r="HP31" s="529">
        <f t="shared" si="183"/>
        <v>0</v>
      </c>
      <c r="HQ31" s="527"/>
      <c r="HR31" s="528">
        <f t="shared" si="73"/>
        <v>0</v>
      </c>
      <c r="HS31" s="529">
        <f t="shared" si="184"/>
        <v>0</v>
      </c>
      <c r="HT31" s="527"/>
      <c r="HU31" s="528">
        <f t="shared" si="74"/>
        <v>0</v>
      </c>
      <c r="HV31" s="529">
        <f t="shared" si="185"/>
        <v>0</v>
      </c>
      <c r="HW31" s="527"/>
      <c r="HX31" s="528">
        <f t="shared" si="75"/>
        <v>0</v>
      </c>
      <c r="HY31" s="529">
        <f t="shared" si="186"/>
        <v>0</v>
      </c>
      <c r="HZ31" s="527"/>
      <c r="IA31" s="528">
        <f t="shared" si="76"/>
        <v>0</v>
      </c>
      <c r="IB31" s="529">
        <f t="shared" si="187"/>
        <v>0</v>
      </c>
      <c r="IC31" s="527"/>
      <c r="ID31" s="528">
        <f t="shared" si="77"/>
        <v>0</v>
      </c>
      <c r="IE31" s="529">
        <f t="shared" si="188"/>
        <v>0</v>
      </c>
      <c r="IF31" s="527"/>
      <c r="IG31" s="528">
        <f t="shared" si="78"/>
        <v>0</v>
      </c>
      <c r="IH31" s="529">
        <f t="shared" si="189"/>
        <v>0</v>
      </c>
      <c r="II31" s="527">
        <v>29.137053885115822</v>
      </c>
      <c r="IJ31" s="528">
        <f t="shared" si="79"/>
        <v>0.63429671467075543</v>
      </c>
      <c r="IK31" s="529">
        <f t="shared" si="190"/>
        <v>0</v>
      </c>
      <c r="IL31" s="527"/>
      <c r="IM31" s="528">
        <f t="shared" si="80"/>
        <v>0</v>
      </c>
      <c r="IN31" s="529">
        <f t="shared" si="191"/>
        <v>0</v>
      </c>
      <c r="IO31" s="527"/>
      <c r="IP31" s="528">
        <f t="shared" si="81"/>
        <v>0</v>
      </c>
      <c r="IQ31" s="529">
        <f t="shared" si="192"/>
        <v>0</v>
      </c>
      <c r="IR31" s="527">
        <v>52.446696993208477</v>
      </c>
      <c r="IS31" s="528">
        <f t="shared" si="82"/>
        <v>1.1417340864073597</v>
      </c>
      <c r="IT31" s="529">
        <f t="shared" si="193"/>
        <v>0</v>
      </c>
      <c r="IU31" s="527"/>
      <c r="IV31" s="528">
        <f t="shared" si="83"/>
        <v>0</v>
      </c>
      <c r="IW31" s="529">
        <f t="shared" si="194"/>
        <v>0</v>
      </c>
      <c r="IX31" s="527"/>
      <c r="IY31" s="528">
        <f t="shared" si="84"/>
        <v>0</v>
      </c>
      <c r="IZ31" s="529">
        <f t="shared" si="195"/>
        <v>0</v>
      </c>
      <c r="JA31" s="527"/>
      <c r="JB31" s="528">
        <f t="shared" si="85"/>
        <v>0</v>
      </c>
      <c r="JC31" s="529">
        <f t="shared" si="196"/>
        <v>0</v>
      </c>
      <c r="JD31" s="527"/>
      <c r="JE31" s="528">
        <f t="shared" si="86"/>
        <v>0</v>
      </c>
      <c r="JF31" s="529">
        <f t="shared" si="197"/>
        <v>0</v>
      </c>
      <c r="JG31" s="527"/>
      <c r="JH31" s="528">
        <f t="shared" si="87"/>
        <v>0</v>
      </c>
      <c r="JI31" s="529">
        <f t="shared" si="198"/>
        <v>0</v>
      </c>
      <c r="JJ31" s="527">
        <v>26.223348496604238</v>
      </c>
      <c r="JK31" s="529" t="str">
        <f t="shared" si="88"/>
        <v>0</v>
      </c>
      <c r="JL31" s="529" t="str">
        <f t="shared" si="89"/>
        <v>0</v>
      </c>
      <c r="JM31" s="527"/>
      <c r="JN31" s="529" t="str">
        <f t="shared" si="90"/>
        <v>0</v>
      </c>
      <c r="JO31" s="529" t="str">
        <f t="shared" si="91"/>
        <v>0</v>
      </c>
      <c r="JP31" s="527"/>
      <c r="JQ31" s="529" t="str">
        <f t="shared" si="92"/>
        <v>0</v>
      </c>
      <c r="JR31" s="529" t="str">
        <f t="shared" si="93"/>
        <v>0</v>
      </c>
      <c r="JS31" s="527"/>
      <c r="JT31" s="529" t="str">
        <f t="shared" si="94"/>
        <v>0</v>
      </c>
      <c r="JU31" s="529" t="str">
        <f t="shared" si="95"/>
        <v>0</v>
      </c>
      <c r="JV31" s="527"/>
      <c r="JW31" s="529" t="str">
        <f t="shared" si="96"/>
        <v>0</v>
      </c>
      <c r="JX31" s="529" t="str">
        <f t="shared" si="97"/>
        <v>0</v>
      </c>
      <c r="JY31" s="527"/>
      <c r="JZ31" s="529" t="str">
        <f t="shared" si="98"/>
        <v>0</v>
      </c>
      <c r="KA31" s="529" t="str">
        <f t="shared" si="99"/>
        <v>0</v>
      </c>
      <c r="KB31" s="527"/>
      <c r="KC31" s="529" t="str">
        <f t="shared" si="100"/>
        <v>0</v>
      </c>
      <c r="KD31" s="529" t="str">
        <f t="shared" si="101"/>
        <v>0</v>
      </c>
      <c r="KE31" s="527"/>
      <c r="KF31" s="529" t="str">
        <f t="shared" si="102"/>
        <v>0</v>
      </c>
      <c r="KG31" s="529" t="str">
        <f t="shared" si="103"/>
        <v>0</v>
      </c>
      <c r="KH31" s="527"/>
      <c r="KI31" s="529" t="str">
        <f t="shared" si="104"/>
        <v>0</v>
      </c>
      <c r="KJ31" s="529" t="str">
        <f t="shared" si="105"/>
        <v>0</v>
      </c>
      <c r="KK31" s="527"/>
      <c r="KL31" s="529" t="str">
        <f t="shared" si="106"/>
        <v>0</v>
      </c>
      <c r="KM31" s="529" t="str">
        <f t="shared" si="107"/>
        <v>0</v>
      </c>
      <c r="KN31" s="527"/>
      <c r="KO31" s="529" t="str">
        <f t="shared" si="108"/>
        <v>0</v>
      </c>
      <c r="KP31" s="529" t="str">
        <f t="shared" si="109"/>
        <v>0</v>
      </c>
      <c r="KQ31" s="527"/>
      <c r="KR31" s="529" t="str">
        <f t="shared" si="110"/>
        <v>0</v>
      </c>
      <c r="KS31" s="529" t="str">
        <f t="shared" si="111"/>
        <v>0</v>
      </c>
      <c r="KT31" s="529">
        <f t="shared" si="201"/>
        <v>0</v>
      </c>
      <c r="KU31" s="529">
        <f t="shared" si="202"/>
        <v>0</v>
      </c>
      <c r="KV31" s="268">
        <f t="shared" si="199"/>
        <v>2064.4538776371896</v>
      </c>
    </row>
    <row r="32" spans="1:309" ht="15" customHeight="1">
      <c r="A32" s="270">
        <f t="shared" si="200"/>
        <v>46105</v>
      </c>
      <c r="B32" s="271" t="str">
        <f>+Report1!B32</f>
        <v>Toilet</v>
      </c>
      <c r="C32" s="271" t="str">
        <f>+Report1!C32</f>
        <v>13/15</v>
      </c>
      <c r="D32" s="272">
        <f>+Report1!P32</f>
        <v>52.5</v>
      </c>
      <c r="E32" s="273">
        <f>+Report1!R32</f>
        <v>51.058999999999997</v>
      </c>
      <c r="F32" s="527"/>
      <c r="G32" s="528">
        <f t="shared" si="0"/>
        <v>0</v>
      </c>
      <c r="H32" s="529">
        <f t="shared" si="112"/>
        <v>0</v>
      </c>
      <c r="I32" s="527"/>
      <c r="J32" s="528">
        <f t="shared" si="1"/>
        <v>0</v>
      </c>
      <c r="K32" s="529">
        <f t="shared" si="113"/>
        <v>0</v>
      </c>
      <c r="L32" s="527"/>
      <c r="M32" s="528">
        <f t="shared" si="2"/>
        <v>0</v>
      </c>
      <c r="N32" s="529">
        <f t="shared" si="114"/>
        <v>0</v>
      </c>
      <c r="O32" s="527">
        <v>9</v>
      </c>
      <c r="P32" s="528">
        <f t="shared" si="3"/>
        <v>0.17626667188938289</v>
      </c>
      <c r="Q32" s="529">
        <f t="shared" si="115"/>
        <v>0</v>
      </c>
      <c r="R32" s="527"/>
      <c r="S32" s="528">
        <f t="shared" si="4"/>
        <v>0</v>
      </c>
      <c r="T32" s="529">
        <f t="shared" si="116"/>
        <v>0</v>
      </c>
      <c r="U32" s="527">
        <v>5.1249999999999716</v>
      </c>
      <c r="V32" s="528">
        <f t="shared" si="5"/>
        <v>0.10037407704812025</v>
      </c>
      <c r="W32" s="529">
        <f t="shared" si="117"/>
        <v>0</v>
      </c>
      <c r="X32" s="527"/>
      <c r="Y32" s="528">
        <f t="shared" si="6"/>
        <v>0</v>
      </c>
      <c r="Z32" s="529">
        <f t="shared" si="118"/>
        <v>0</v>
      </c>
      <c r="AA32" s="527">
        <v>4.6875</v>
      </c>
      <c r="AB32" s="528">
        <f t="shared" si="7"/>
        <v>9.1805558275720248E-2</v>
      </c>
      <c r="AC32" s="529">
        <f t="shared" si="119"/>
        <v>0</v>
      </c>
      <c r="AD32" s="527"/>
      <c r="AE32" s="528">
        <f t="shared" si="8"/>
        <v>0</v>
      </c>
      <c r="AF32" s="529">
        <f t="shared" si="120"/>
        <v>0</v>
      </c>
      <c r="AG32" s="527"/>
      <c r="AH32" s="528">
        <f t="shared" si="9"/>
        <v>0</v>
      </c>
      <c r="AI32" s="529">
        <f t="shared" si="121"/>
        <v>0</v>
      </c>
      <c r="AJ32" s="527">
        <v>17.625</v>
      </c>
      <c r="AK32" s="528">
        <f t="shared" si="10"/>
        <v>0.34518889911670814</v>
      </c>
      <c r="AL32" s="529">
        <f t="shared" si="122"/>
        <v>0</v>
      </c>
      <c r="AM32" s="527"/>
      <c r="AN32" s="528">
        <f t="shared" si="11"/>
        <v>0</v>
      </c>
      <c r="AO32" s="529">
        <f t="shared" si="123"/>
        <v>0</v>
      </c>
      <c r="AP32" s="527"/>
      <c r="AQ32" s="528">
        <f t="shared" si="12"/>
        <v>0</v>
      </c>
      <c r="AR32" s="529">
        <f t="shared" si="124"/>
        <v>0</v>
      </c>
      <c r="AS32" s="527"/>
      <c r="AT32" s="528">
        <f t="shared" si="13"/>
        <v>0</v>
      </c>
      <c r="AU32" s="529">
        <f t="shared" si="125"/>
        <v>0</v>
      </c>
      <c r="AV32" s="527"/>
      <c r="AW32" s="528">
        <f t="shared" si="14"/>
        <v>0</v>
      </c>
      <c r="AX32" s="529">
        <f t="shared" si="126"/>
        <v>0</v>
      </c>
      <c r="AY32" s="527"/>
      <c r="AZ32" s="528">
        <f t="shared" si="15"/>
        <v>0</v>
      </c>
      <c r="BA32" s="529">
        <f t="shared" si="127"/>
        <v>0</v>
      </c>
      <c r="BB32" s="527"/>
      <c r="BC32" s="528">
        <f t="shared" si="16"/>
        <v>0</v>
      </c>
      <c r="BD32" s="529">
        <f t="shared" si="128"/>
        <v>0</v>
      </c>
      <c r="BE32" s="527"/>
      <c r="BF32" s="528">
        <f t="shared" si="17"/>
        <v>0</v>
      </c>
      <c r="BG32" s="529">
        <f t="shared" si="129"/>
        <v>0</v>
      </c>
      <c r="BH32" s="527"/>
      <c r="BI32" s="528">
        <f t="shared" si="18"/>
        <v>0</v>
      </c>
      <c r="BJ32" s="529">
        <f t="shared" si="130"/>
        <v>0</v>
      </c>
      <c r="BK32" s="527"/>
      <c r="BL32" s="528">
        <f t="shared" si="19"/>
        <v>0</v>
      </c>
      <c r="BM32" s="529">
        <f t="shared" si="131"/>
        <v>0</v>
      </c>
      <c r="BN32" s="527"/>
      <c r="BO32" s="528">
        <f t="shared" si="20"/>
        <v>0</v>
      </c>
      <c r="BP32" s="529">
        <f t="shared" si="132"/>
        <v>0</v>
      </c>
      <c r="BQ32" s="527"/>
      <c r="BR32" s="528">
        <f t="shared" si="21"/>
        <v>0</v>
      </c>
      <c r="BS32" s="529">
        <f t="shared" si="133"/>
        <v>0</v>
      </c>
      <c r="BT32" s="527"/>
      <c r="BU32" s="528">
        <f t="shared" si="22"/>
        <v>0</v>
      </c>
      <c r="BV32" s="529">
        <f t="shared" si="134"/>
        <v>0</v>
      </c>
      <c r="BW32" s="527"/>
      <c r="BX32" s="528">
        <f t="shared" si="23"/>
        <v>0</v>
      </c>
      <c r="BY32" s="529">
        <f t="shared" si="135"/>
        <v>0</v>
      </c>
      <c r="BZ32" s="527"/>
      <c r="CA32" s="528">
        <f t="shared" si="24"/>
        <v>0</v>
      </c>
      <c r="CB32" s="529">
        <f t="shared" si="136"/>
        <v>0</v>
      </c>
      <c r="CC32" s="527"/>
      <c r="CD32" s="528">
        <f t="shared" si="25"/>
        <v>0</v>
      </c>
      <c r="CE32" s="529">
        <f t="shared" si="137"/>
        <v>0</v>
      </c>
      <c r="CF32" s="527">
        <v>6</v>
      </c>
      <c r="CG32" s="528">
        <f t="shared" si="26"/>
        <v>0.11751111459292192</v>
      </c>
      <c r="CH32" s="529">
        <f t="shared" si="138"/>
        <v>0</v>
      </c>
      <c r="CI32" s="527"/>
      <c r="CJ32" s="528">
        <f t="shared" si="27"/>
        <v>0</v>
      </c>
      <c r="CK32" s="529">
        <f t="shared" si="139"/>
        <v>0</v>
      </c>
      <c r="CL32" s="527"/>
      <c r="CM32" s="528">
        <f t="shared" si="28"/>
        <v>0</v>
      </c>
      <c r="CN32" s="529">
        <f t="shared" si="140"/>
        <v>0</v>
      </c>
      <c r="CO32" s="527"/>
      <c r="CP32" s="528">
        <f t="shared" si="29"/>
        <v>0</v>
      </c>
      <c r="CQ32" s="529">
        <f t="shared" si="141"/>
        <v>0</v>
      </c>
      <c r="CR32" s="527"/>
      <c r="CS32" s="528">
        <f t="shared" si="30"/>
        <v>0</v>
      </c>
      <c r="CT32" s="529">
        <f t="shared" si="142"/>
        <v>0</v>
      </c>
      <c r="CU32" s="527"/>
      <c r="CV32" s="528">
        <f t="shared" si="31"/>
        <v>0</v>
      </c>
      <c r="CW32" s="529">
        <f t="shared" si="143"/>
        <v>0</v>
      </c>
      <c r="CX32" s="527"/>
      <c r="CY32" s="528">
        <f t="shared" si="32"/>
        <v>0</v>
      </c>
      <c r="CZ32" s="529">
        <f t="shared" si="144"/>
        <v>0</v>
      </c>
      <c r="DA32" s="527">
        <v>232.55813953488359</v>
      </c>
      <c r="DB32" s="528">
        <f t="shared" si="33"/>
        <v>4.554694364066739</v>
      </c>
      <c r="DC32" s="529">
        <f t="shared" si="145"/>
        <v>0</v>
      </c>
      <c r="DD32" s="527"/>
      <c r="DE32" s="528">
        <f t="shared" si="34"/>
        <v>0</v>
      </c>
      <c r="DF32" s="529">
        <f t="shared" si="146"/>
        <v>0</v>
      </c>
      <c r="DG32" s="527"/>
      <c r="DH32" s="528">
        <f t="shared" si="35"/>
        <v>0</v>
      </c>
      <c r="DI32" s="529">
        <f t="shared" si="203"/>
        <v>0</v>
      </c>
      <c r="DJ32" s="527"/>
      <c r="DK32" s="528">
        <f t="shared" si="36"/>
        <v>0</v>
      </c>
      <c r="DL32" s="529">
        <f t="shared" si="147"/>
        <v>0</v>
      </c>
      <c r="DM32" s="527"/>
      <c r="DN32" s="528">
        <f t="shared" si="37"/>
        <v>0</v>
      </c>
      <c r="DO32" s="529">
        <f t="shared" si="148"/>
        <v>0</v>
      </c>
      <c r="DP32" s="527"/>
      <c r="DQ32" s="528">
        <f t="shared" si="38"/>
        <v>0</v>
      </c>
      <c r="DR32" s="529">
        <f t="shared" si="149"/>
        <v>0</v>
      </c>
      <c r="DS32" s="527"/>
      <c r="DT32" s="528">
        <f t="shared" si="39"/>
        <v>0</v>
      </c>
      <c r="DU32" s="529">
        <f t="shared" si="150"/>
        <v>0</v>
      </c>
      <c r="DV32" s="527"/>
      <c r="DW32" s="528">
        <f t="shared" si="40"/>
        <v>0</v>
      </c>
      <c r="DX32" s="529">
        <f t="shared" si="151"/>
        <v>0</v>
      </c>
      <c r="DY32" s="527"/>
      <c r="DZ32" s="528">
        <f t="shared" si="41"/>
        <v>0</v>
      </c>
      <c r="EA32" s="529">
        <f t="shared" si="152"/>
        <v>0</v>
      </c>
      <c r="EB32" s="527"/>
      <c r="EC32" s="528">
        <f t="shared" si="42"/>
        <v>0</v>
      </c>
      <c r="ED32" s="529">
        <f t="shared" si="153"/>
        <v>0</v>
      </c>
      <c r="EE32" s="527">
        <v>29.069767441860449</v>
      </c>
      <c r="EF32" s="528">
        <f t="shared" si="43"/>
        <v>0.56933679550834237</v>
      </c>
      <c r="EG32" s="529">
        <f t="shared" si="154"/>
        <v>0</v>
      </c>
      <c r="EH32" s="527">
        <v>223.08235294117651</v>
      </c>
      <c r="EI32" s="528">
        <f t="shared" si="44"/>
        <v>4.3691093233548743</v>
      </c>
      <c r="EJ32" s="529">
        <f t="shared" si="155"/>
        <v>0</v>
      </c>
      <c r="EK32" s="527">
        <v>0</v>
      </c>
      <c r="EL32" s="528">
        <f t="shared" si="45"/>
        <v>0</v>
      </c>
      <c r="EM32" s="529">
        <f t="shared" si="156"/>
        <v>0</v>
      </c>
      <c r="EN32" s="527">
        <v>48.780487804878078</v>
      </c>
      <c r="EO32" s="528">
        <f t="shared" si="46"/>
        <v>0.95537491538960972</v>
      </c>
      <c r="EP32" s="529">
        <f t="shared" si="157"/>
        <v>0</v>
      </c>
      <c r="EQ32" s="527">
        <v>49.418604651162809</v>
      </c>
      <c r="ER32" s="528">
        <f t="shared" si="47"/>
        <v>0.96787255236418279</v>
      </c>
      <c r="ES32" s="529">
        <f t="shared" si="158"/>
        <v>0</v>
      </c>
      <c r="ET32" s="527"/>
      <c r="EU32" s="528">
        <f t="shared" si="48"/>
        <v>0</v>
      </c>
      <c r="EV32" s="529">
        <f t="shared" si="159"/>
        <v>0</v>
      </c>
      <c r="EW32" s="527"/>
      <c r="EX32" s="528">
        <f t="shared" si="49"/>
        <v>0</v>
      </c>
      <c r="EY32" s="529">
        <f t="shared" si="160"/>
        <v>0</v>
      </c>
      <c r="EZ32" s="527"/>
      <c r="FA32" s="528">
        <f t="shared" si="50"/>
        <v>0</v>
      </c>
      <c r="FB32" s="529">
        <f t="shared" si="161"/>
        <v>0</v>
      </c>
      <c r="FC32" s="527"/>
      <c r="FD32" s="528">
        <f t="shared" si="51"/>
        <v>0</v>
      </c>
      <c r="FE32" s="529">
        <f t="shared" si="162"/>
        <v>0</v>
      </c>
      <c r="FF32" s="527"/>
      <c r="FG32" s="528">
        <f t="shared" si="52"/>
        <v>0</v>
      </c>
      <c r="FH32" s="529">
        <f t="shared" si="163"/>
        <v>0</v>
      </c>
      <c r="FI32" s="527"/>
      <c r="FJ32" s="528">
        <f t="shared" si="53"/>
        <v>0</v>
      </c>
      <c r="FK32" s="529">
        <f t="shared" si="164"/>
        <v>0</v>
      </c>
      <c r="FL32" s="527"/>
      <c r="FM32" s="528">
        <f t="shared" si="54"/>
        <v>0</v>
      </c>
      <c r="FN32" s="529">
        <f t="shared" si="165"/>
        <v>0</v>
      </c>
      <c r="FO32" s="527"/>
      <c r="FP32" s="528">
        <f t="shared" si="55"/>
        <v>0</v>
      </c>
      <c r="FQ32" s="529">
        <f t="shared" si="166"/>
        <v>0</v>
      </c>
      <c r="FR32" s="527"/>
      <c r="FS32" s="528">
        <f t="shared" si="56"/>
        <v>0</v>
      </c>
      <c r="FT32" s="529">
        <f t="shared" si="167"/>
        <v>0</v>
      </c>
      <c r="FU32" s="527"/>
      <c r="FV32" s="528">
        <f t="shared" si="57"/>
        <v>0</v>
      </c>
      <c r="FW32" s="529">
        <f t="shared" si="168"/>
        <v>0</v>
      </c>
      <c r="FX32" s="527"/>
      <c r="FY32" s="528">
        <f t="shared" si="58"/>
        <v>0</v>
      </c>
      <c r="FZ32" s="529">
        <f t="shared" si="169"/>
        <v>0</v>
      </c>
      <c r="GA32" s="527"/>
      <c r="GB32" s="528">
        <f t="shared" si="59"/>
        <v>0</v>
      </c>
      <c r="GC32" s="529">
        <f t="shared" si="170"/>
        <v>0</v>
      </c>
      <c r="GD32" s="527"/>
      <c r="GE32" s="528">
        <f t="shared" si="60"/>
        <v>0</v>
      </c>
      <c r="GF32" s="529">
        <f t="shared" si="171"/>
        <v>0</v>
      </c>
      <c r="GG32" s="527">
        <v>15.361357651419098</v>
      </c>
      <c r="GH32" s="528">
        <f t="shared" si="61"/>
        <v>0.30085504321312795</v>
      </c>
      <c r="GI32" s="529">
        <f t="shared" si="172"/>
        <v>0</v>
      </c>
      <c r="GJ32" s="527">
        <v>15.361357651419098</v>
      </c>
      <c r="GK32" s="528">
        <f t="shared" si="229"/>
        <v>0.30085504321312795</v>
      </c>
      <c r="GL32" s="529">
        <f t="shared" si="230"/>
        <v>0</v>
      </c>
      <c r="GM32" s="527"/>
      <c r="GN32" s="528">
        <f t="shared" si="231"/>
        <v>0</v>
      </c>
      <c r="GO32" s="529">
        <f t="shared" si="232"/>
        <v>0</v>
      </c>
      <c r="GP32" s="527">
        <v>35.843167853311229</v>
      </c>
      <c r="GQ32" s="528">
        <f t="shared" si="233"/>
        <v>0.70199510083063188</v>
      </c>
      <c r="GR32" s="529">
        <f t="shared" si="234"/>
        <v>0</v>
      </c>
      <c r="GS32" s="527">
        <v>240.66126987223254</v>
      </c>
      <c r="GT32" s="528">
        <f t="shared" si="235"/>
        <v>4.7133956770056713</v>
      </c>
      <c r="GU32" s="529">
        <f t="shared" si="236"/>
        <v>0</v>
      </c>
      <c r="GV32" s="527">
        <v>76.806788257095491</v>
      </c>
      <c r="GW32" s="528">
        <f t="shared" si="237"/>
        <v>1.5042752160656396</v>
      </c>
      <c r="GX32" s="529">
        <f t="shared" si="238"/>
        <v>0</v>
      </c>
      <c r="GY32" s="527"/>
      <c r="GZ32" s="528">
        <f t="shared" si="239"/>
        <v>0</v>
      </c>
      <c r="HA32" s="529">
        <f t="shared" si="240"/>
        <v>0</v>
      </c>
      <c r="HB32" s="527"/>
      <c r="HC32" s="528">
        <f t="shared" si="222"/>
        <v>0</v>
      </c>
      <c r="HD32" s="529">
        <f t="shared" si="223"/>
        <v>0</v>
      </c>
      <c r="HE32" s="527"/>
      <c r="HF32" s="528">
        <f t="shared" si="224"/>
        <v>0</v>
      </c>
      <c r="HG32" s="529">
        <f t="shared" si="225"/>
        <v>0</v>
      </c>
      <c r="HH32" s="527"/>
      <c r="HI32" s="528">
        <f t="shared" si="226"/>
        <v>0</v>
      </c>
      <c r="HJ32" s="529">
        <f t="shared" si="227"/>
        <v>0</v>
      </c>
      <c r="HK32" s="527"/>
      <c r="HL32" s="528">
        <f t="shared" si="228"/>
        <v>0</v>
      </c>
      <c r="HM32" s="529">
        <f t="shared" si="182"/>
        <v>0</v>
      </c>
      <c r="HN32" s="527">
        <v>1022.0423290744172</v>
      </c>
      <c r="HO32" s="528">
        <f t="shared" si="72"/>
        <v>20.016888875113445</v>
      </c>
      <c r="HP32" s="529">
        <f t="shared" si="183"/>
        <v>0</v>
      </c>
      <c r="HQ32" s="527"/>
      <c r="HR32" s="528">
        <f t="shared" si="73"/>
        <v>0</v>
      </c>
      <c r="HS32" s="529">
        <f t="shared" si="184"/>
        <v>0</v>
      </c>
      <c r="HT32" s="527"/>
      <c r="HU32" s="528">
        <f t="shared" si="74"/>
        <v>0</v>
      </c>
      <c r="HV32" s="529">
        <f t="shared" si="185"/>
        <v>0</v>
      </c>
      <c r="HW32" s="527"/>
      <c r="HX32" s="528">
        <f t="shared" si="75"/>
        <v>0</v>
      </c>
      <c r="HY32" s="529">
        <f t="shared" si="186"/>
        <v>0</v>
      </c>
      <c r="HZ32" s="527"/>
      <c r="IA32" s="528">
        <f t="shared" si="76"/>
        <v>0</v>
      </c>
      <c r="IB32" s="529">
        <f t="shared" si="187"/>
        <v>0</v>
      </c>
      <c r="IC32" s="527"/>
      <c r="ID32" s="528">
        <f t="shared" si="77"/>
        <v>0</v>
      </c>
      <c r="IE32" s="529">
        <f t="shared" si="188"/>
        <v>0</v>
      </c>
      <c r="IF32" s="527"/>
      <c r="IG32" s="528">
        <f t="shared" si="78"/>
        <v>0</v>
      </c>
      <c r="IH32" s="529">
        <f t="shared" si="189"/>
        <v>0</v>
      </c>
      <c r="II32" s="527">
        <v>25.602262752365164</v>
      </c>
      <c r="IJ32" s="528">
        <f t="shared" si="79"/>
        <v>0.50142507202187991</v>
      </c>
      <c r="IK32" s="529">
        <f t="shared" si="190"/>
        <v>0</v>
      </c>
      <c r="IL32" s="527"/>
      <c r="IM32" s="528">
        <f t="shared" si="80"/>
        <v>0</v>
      </c>
      <c r="IN32" s="529">
        <f t="shared" si="191"/>
        <v>0</v>
      </c>
      <c r="IO32" s="527"/>
      <c r="IP32" s="528">
        <f t="shared" si="81"/>
        <v>0</v>
      </c>
      <c r="IQ32" s="529">
        <f t="shared" si="192"/>
        <v>0</v>
      </c>
      <c r="IR32" s="527">
        <v>46.084072954257294</v>
      </c>
      <c r="IS32" s="528">
        <f t="shared" si="82"/>
        <v>0.90256512963938373</v>
      </c>
      <c r="IT32" s="529">
        <f t="shared" si="193"/>
        <v>0</v>
      </c>
      <c r="IU32" s="527"/>
      <c r="IV32" s="528">
        <f t="shared" si="83"/>
        <v>0</v>
      </c>
      <c r="IW32" s="529">
        <f t="shared" si="194"/>
        <v>0</v>
      </c>
      <c r="IX32" s="527"/>
      <c r="IY32" s="528">
        <f t="shared" si="84"/>
        <v>0</v>
      </c>
      <c r="IZ32" s="529">
        <f t="shared" si="195"/>
        <v>0</v>
      </c>
      <c r="JA32" s="527"/>
      <c r="JB32" s="528">
        <f t="shared" si="85"/>
        <v>0</v>
      </c>
      <c r="JC32" s="529">
        <f t="shared" si="196"/>
        <v>0</v>
      </c>
      <c r="JD32" s="527"/>
      <c r="JE32" s="528">
        <f t="shared" si="86"/>
        <v>0</v>
      </c>
      <c r="JF32" s="529">
        <f t="shared" si="197"/>
        <v>0</v>
      </c>
      <c r="JG32" s="527"/>
      <c r="JH32" s="528">
        <f t="shared" si="87"/>
        <v>0</v>
      </c>
      <c r="JI32" s="529">
        <f t="shared" si="198"/>
        <v>0</v>
      </c>
      <c r="JJ32" s="527">
        <v>23.042036477128647</v>
      </c>
      <c r="JK32" s="529" t="str">
        <f t="shared" si="88"/>
        <v>0</v>
      </c>
      <c r="JL32" s="529" t="str">
        <f t="shared" si="89"/>
        <v>0</v>
      </c>
      <c r="JM32" s="527"/>
      <c r="JN32" s="529" t="str">
        <f t="shared" si="90"/>
        <v>0</v>
      </c>
      <c r="JO32" s="529" t="str">
        <f t="shared" si="91"/>
        <v>0</v>
      </c>
      <c r="JP32" s="527"/>
      <c r="JQ32" s="529" t="str">
        <f t="shared" si="92"/>
        <v>0</v>
      </c>
      <c r="JR32" s="529" t="str">
        <f t="shared" si="93"/>
        <v>0</v>
      </c>
      <c r="JS32" s="527"/>
      <c r="JT32" s="529" t="str">
        <f t="shared" si="94"/>
        <v>0</v>
      </c>
      <c r="JU32" s="529" t="str">
        <f t="shared" si="95"/>
        <v>0</v>
      </c>
      <c r="JV32" s="527"/>
      <c r="JW32" s="529" t="str">
        <f t="shared" si="96"/>
        <v>0</v>
      </c>
      <c r="JX32" s="529" t="str">
        <f t="shared" si="97"/>
        <v>0</v>
      </c>
      <c r="JY32" s="527"/>
      <c r="JZ32" s="529" t="str">
        <f t="shared" si="98"/>
        <v>0</v>
      </c>
      <c r="KA32" s="529" t="str">
        <f t="shared" si="99"/>
        <v>0</v>
      </c>
      <c r="KB32" s="527"/>
      <c r="KC32" s="529" t="str">
        <f t="shared" si="100"/>
        <v>0</v>
      </c>
      <c r="KD32" s="529" t="str">
        <f t="shared" si="101"/>
        <v>0</v>
      </c>
      <c r="KE32" s="527"/>
      <c r="KF32" s="529" t="str">
        <f t="shared" si="102"/>
        <v>0</v>
      </c>
      <c r="KG32" s="529" t="str">
        <f t="shared" si="103"/>
        <v>0</v>
      </c>
      <c r="KH32" s="527"/>
      <c r="KI32" s="529" t="str">
        <f t="shared" si="104"/>
        <v>0</v>
      </c>
      <c r="KJ32" s="529" t="str">
        <f t="shared" si="105"/>
        <v>0</v>
      </c>
      <c r="KK32" s="527"/>
      <c r="KL32" s="529" t="str">
        <f t="shared" si="106"/>
        <v>0</v>
      </c>
      <c r="KM32" s="529" t="str">
        <f t="shared" si="107"/>
        <v>0</v>
      </c>
      <c r="KN32" s="527"/>
      <c r="KO32" s="529" t="str">
        <f t="shared" si="108"/>
        <v>0</v>
      </c>
      <c r="KP32" s="529" t="str">
        <f t="shared" si="109"/>
        <v>0</v>
      </c>
      <c r="KQ32" s="527"/>
      <c r="KR32" s="529" t="str">
        <f t="shared" si="110"/>
        <v>0</v>
      </c>
      <c r="KS32" s="529" t="str">
        <f t="shared" si="111"/>
        <v>0</v>
      </c>
      <c r="KT32" s="529">
        <f t="shared" si="201"/>
        <v>0</v>
      </c>
      <c r="KU32" s="529">
        <f t="shared" si="202"/>
        <v>0</v>
      </c>
      <c r="KV32" s="268">
        <f t="shared" si="199"/>
        <v>2126.1514949176071</v>
      </c>
    </row>
    <row r="33" spans="1:16384" ht="15" customHeight="1">
      <c r="A33" s="270">
        <f t="shared" si="200"/>
        <v>46106</v>
      </c>
      <c r="B33" s="271" t="str">
        <f>+Report1!B33</f>
        <v>Toilet</v>
      </c>
      <c r="C33" s="271" t="str">
        <f>+Report1!C33</f>
        <v>15</v>
      </c>
      <c r="D33" s="272">
        <f>+Report1!P33</f>
        <v>53.8</v>
      </c>
      <c r="E33" s="273">
        <f>+Report1!R33</f>
        <v>53.16</v>
      </c>
      <c r="F33" s="527"/>
      <c r="G33" s="528">
        <f t="shared" si="0"/>
        <v>0</v>
      </c>
      <c r="H33" s="529">
        <f t="shared" si="112"/>
        <v>0</v>
      </c>
      <c r="I33" s="527"/>
      <c r="J33" s="528">
        <f t="shared" si="1"/>
        <v>0</v>
      </c>
      <c r="K33" s="529">
        <f t="shared" si="113"/>
        <v>0</v>
      </c>
      <c r="L33" s="527"/>
      <c r="M33" s="528">
        <f t="shared" si="2"/>
        <v>0</v>
      </c>
      <c r="N33" s="529">
        <f t="shared" si="114"/>
        <v>0</v>
      </c>
      <c r="O33" s="527">
        <v>9.0000000000000284</v>
      </c>
      <c r="P33" s="528">
        <f t="shared" si="3"/>
        <v>0.16930022573363485</v>
      </c>
      <c r="Q33" s="529">
        <f t="shared" si="115"/>
        <v>0</v>
      </c>
      <c r="R33" s="527"/>
      <c r="S33" s="528">
        <f t="shared" si="4"/>
        <v>0</v>
      </c>
      <c r="T33" s="529">
        <f t="shared" si="116"/>
        <v>0</v>
      </c>
      <c r="U33" s="527">
        <v>5.1250000000000284</v>
      </c>
      <c r="V33" s="528">
        <f t="shared" si="5"/>
        <v>9.6407072987208964E-2</v>
      </c>
      <c r="W33" s="529">
        <f t="shared" si="117"/>
        <v>0</v>
      </c>
      <c r="X33" s="527"/>
      <c r="Y33" s="528">
        <f t="shared" si="6"/>
        <v>0</v>
      </c>
      <c r="Z33" s="529">
        <f t="shared" si="118"/>
        <v>0</v>
      </c>
      <c r="AA33" s="527">
        <v>4.6875000000000142</v>
      </c>
      <c r="AB33" s="528">
        <f t="shared" si="7"/>
        <v>8.8177200902934808E-2</v>
      </c>
      <c r="AC33" s="529">
        <f t="shared" si="119"/>
        <v>0</v>
      </c>
      <c r="AD33" s="527"/>
      <c r="AE33" s="528">
        <f t="shared" si="8"/>
        <v>0</v>
      </c>
      <c r="AF33" s="529">
        <f t="shared" si="120"/>
        <v>0</v>
      </c>
      <c r="AG33" s="527"/>
      <c r="AH33" s="528">
        <f t="shared" si="9"/>
        <v>0</v>
      </c>
      <c r="AI33" s="529">
        <f t="shared" si="121"/>
        <v>0</v>
      </c>
      <c r="AJ33" s="527">
        <v>23.500000000000028</v>
      </c>
      <c r="AK33" s="528">
        <f t="shared" si="10"/>
        <v>0.4420617005267124</v>
      </c>
      <c r="AL33" s="529">
        <f t="shared" si="122"/>
        <v>0</v>
      </c>
      <c r="AM33" s="527"/>
      <c r="AN33" s="528">
        <f t="shared" si="11"/>
        <v>0</v>
      </c>
      <c r="AO33" s="529">
        <f t="shared" si="123"/>
        <v>0</v>
      </c>
      <c r="AP33" s="527"/>
      <c r="AQ33" s="528">
        <f t="shared" si="12"/>
        <v>0</v>
      </c>
      <c r="AR33" s="529">
        <f t="shared" si="124"/>
        <v>0</v>
      </c>
      <c r="AS33" s="527"/>
      <c r="AT33" s="528">
        <f t="shared" si="13"/>
        <v>0</v>
      </c>
      <c r="AU33" s="529">
        <f t="shared" si="125"/>
        <v>0</v>
      </c>
      <c r="AV33" s="527"/>
      <c r="AW33" s="528">
        <f t="shared" si="14"/>
        <v>0</v>
      </c>
      <c r="AX33" s="529">
        <f t="shared" si="126"/>
        <v>0</v>
      </c>
      <c r="AY33" s="527"/>
      <c r="AZ33" s="528">
        <f t="shared" si="15"/>
        <v>0</v>
      </c>
      <c r="BA33" s="529">
        <f t="shared" si="127"/>
        <v>0</v>
      </c>
      <c r="BB33" s="527"/>
      <c r="BC33" s="528">
        <f t="shared" si="16"/>
        <v>0</v>
      </c>
      <c r="BD33" s="529">
        <f t="shared" si="128"/>
        <v>0</v>
      </c>
      <c r="BE33" s="527"/>
      <c r="BF33" s="528">
        <f t="shared" si="17"/>
        <v>0</v>
      </c>
      <c r="BG33" s="529">
        <f t="shared" si="129"/>
        <v>0</v>
      </c>
      <c r="BH33" s="527"/>
      <c r="BI33" s="528">
        <f t="shared" si="18"/>
        <v>0</v>
      </c>
      <c r="BJ33" s="529">
        <f t="shared" si="130"/>
        <v>0</v>
      </c>
      <c r="BK33" s="527"/>
      <c r="BL33" s="528">
        <f t="shared" si="19"/>
        <v>0</v>
      </c>
      <c r="BM33" s="529">
        <f t="shared" si="131"/>
        <v>0</v>
      </c>
      <c r="BN33" s="527"/>
      <c r="BO33" s="528">
        <f t="shared" si="20"/>
        <v>0</v>
      </c>
      <c r="BP33" s="529">
        <f t="shared" si="132"/>
        <v>0</v>
      </c>
      <c r="BQ33" s="527"/>
      <c r="BR33" s="528">
        <f t="shared" si="21"/>
        <v>0</v>
      </c>
      <c r="BS33" s="529">
        <f t="shared" si="133"/>
        <v>0</v>
      </c>
      <c r="BT33" s="527"/>
      <c r="BU33" s="528">
        <f t="shared" si="22"/>
        <v>0</v>
      </c>
      <c r="BV33" s="529">
        <f t="shared" si="134"/>
        <v>0</v>
      </c>
      <c r="BW33" s="527"/>
      <c r="BX33" s="528">
        <f t="shared" si="23"/>
        <v>0</v>
      </c>
      <c r="BY33" s="529">
        <f t="shared" si="135"/>
        <v>0</v>
      </c>
      <c r="BZ33" s="527"/>
      <c r="CA33" s="528">
        <f t="shared" si="24"/>
        <v>0</v>
      </c>
      <c r="CB33" s="529">
        <f t="shared" si="136"/>
        <v>0</v>
      </c>
      <c r="CC33" s="527"/>
      <c r="CD33" s="528">
        <f t="shared" si="25"/>
        <v>0</v>
      </c>
      <c r="CE33" s="529">
        <f t="shared" si="137"/>
        <v>0</v>
      </c>
      <c r="CF33" s="527">
        <v>6</v>
      </c>
      <c r="CG33" s="528">
        <f t="shared" si="26"/>
        <v>0.11286681715575622</v>
      </c>
      <c r="CH33" s="529">
        <f t="shared" si="138"/>
        <v>0</v>
      </c>
      <c r="CI33" s="527"/>
      <c r="CJ33" s="528">
        <f t="shared" si="27"/>
        <v>0</v>
      </c>
      <c r="CK33" s="529">
        <f t="shared" si="139"/>
        <v>0</v>
      </c>
      <c r="CL33" s="527"/>
      <c r="CM33" s="528">
        <f t="shared" si="28"/>
        <v>0</v>
      </c>
      <c r="CN33" s="529">
        <f t="shared" si="140"/>
        <v>0</v>
      </c>
      <c r="CO33" s="527"/>
      <c r="CP33" s="528">
        <f t="shared" si="29"/>
        <v>0</v>
      </c>
      <c r="CQ33" s="529">
        <f t="shared" si="141"/>
        <v>0</v>
      </c>
      <c r="CR33" s="527"/>
      <c r="CS33" s="528">
        <f t="shared" si="30"/>
        <v>0</v>
      </c>
      <c r="CT33" s="529">
        <f t="shared" si="142"/>
        <v>0</v>
      </c>
      <c r="CU33" s="527"/>
      <c r="CV33" s="528">
        <f t="shared" si="31"/>
        <v>0</v>
      </c>
      <c r="CW33" s="529">
        <f t="shared" si="143"/>
        <v>0</v>
      </c>
      <c r="CX33" s="527"/>
      <c r="CY33" s="528">
        <f t="shared" si="32"/>
        <v>0</v>
      </c>
      <c r="CZ33" s="529">
        <f t="shared" si="144"/>
        <v>0</v>
      </c>
      <c r="DA33" s="527">
        <v>232.55813953488359</v>
      </c>
      <c r="DB33" s="528">
        <f t="shared" si="33"/>
        <v>4.3746828354944247</v>
      </c>
      <c r="DC33" s="529">
        <f t="shared" si="145"/>
        <v>0</v>
      </c>
      <c r="DD33" s="527"/>
      <c r="DE33" s="528">
        <f t="shared" si="34"/>
        <v>0</v>
      </c>
      <c r="DF33" s="529">
        <f t="shared" si="146"/>
        <v>0</v>
      </c>
      <c r="DG33" s="527"/>
      <c r="DH33" s="528">
        <f t="shared" si="35"/>
        <v>0</v>
      </c>
      <c r="DI33" s="529">
        <f t="shared" si="203"/>
        <v>0</v>
      </c>
      <c r="DJ33" s="527"/>
      <c r="DK33" s="528">
        <f t="shared" si="36"/>
        <v>0</v>
      </c>
      <c r="DL33" s="529">
        <f t="shared" si="147"/>
        <v>0</v>
      </c>
      <c r="DM33" s="527"/>
      <c r="DN33" s="528">
        <f t="shared" si="37"/>
        <v>0</v>
      </c>
      <c r="DO33" s="529">
        <f t="shared" si="148"/>
        <v>0</v>
      </c>
      <c r="DP33" s="527"/>
      <c r="DQ33" s="528">
        <f t="shared" si="38"/>
        <v>0</v>
      </c>
      <c r="DR33" s="529">
        <f t="shared" si="149"/>
        <v>0</v>
      </c>
      <c r="DS33" s="527"/>
      <c r="DT33" s="528">
        <f t="shared" si="39"/>
        <v>0</v>
      </c>
      <c r="DU33" s="529">
        <f t="shared" si="150"/>
        <v>0</v>
      </c>
      <c r="DV33" s="527"/>
      <c r="DW33" s="528">
        <f t="shared" si="40"/>
        <v>0</v>
      </c>
      <c r="DX33" s="529">
        <f t="shared" si="151"/>
        <v>0</v>
      </c>
      <c r="DY33" s="527"/>
      <c r="DZ33" s="528">
        <f t="shared" si="41"/>
        <v>0</v>
      </c>
      <c r="EA33" s="529">
        <f t="shared" si="152"/>
        <v>0</v>
      </c>
      <c r="EB33" s="527"/>
      <c r="EC33" s="528">
        <f t="shared" si="42"/>
        <v>0</v>
      </c>
      <c r="ED33" s="529">
        <f t="shared" si="153"/>
        <v>0</v>
      </c>
      <c r="EE33" s="527">
        <v>21.802325581395394</v>
      </c>
      <c r="EF33" s="528">
        <f t="shared" si="43"/>
        <v>0.41012651582760334</v>
      </c>
      <c r="EG33" s="529">
        <f t="shared" si="154"/>
        <v>0</v>
      </c>
      <c r="EH33" s="527">
        <v>211.34117647058827</v>
      </c>
      <c r="EI33" s="528">
        <f t="shared" si="44"/>
        <v>3.9755676536980489</v>
      </c>
      <c r="EJ33" s="529">
        <f t="shared" si="155"/>
        <v>0</v>
      </c>
      <c r="EK33" s="527">
        <v>0</v>
      </c>
      <c r="EL33" s="528">
        <f t="shared" si="45"/>
        <v>0</v>
      </c>
      <c r="EM33" s="529">
        <f t="shared" si="156"/>
        <v>0</v>
      </c>
      <c r="EN33" s="527">
        <v>54.878048780487916</v>
      </c>
      <c r="EO33" s="528">
        <f t="shared" si="46"/>
        <v>1.0323184495953333</v>
      </c>
      <c r="EP33" s="529">
        <f t="shared" si="157"/>
        <v>0</v>
      </c>
      <c r="EQ33" s="527">
        <v>54.360465116279101</v>
      </c>
      <c r="ER33" s="528">
        <f t="shared" si="47"/>
        <v>1.0225821127968229</v>
      </c>
      <c r="ES33" s="529">
        <f t="shared" si="158"/>
        <v>0</v>
      </c>
      <c r="ET33" s="527"/>
      <c r="EU33" s="528">
        <f t="shared" si="48"/>
        <v>0</v>
      </c>
      <c r="EV33" s="529">
        <f t="shared" si="159"/>
        <v>0</v>
      </c>
      <c r="EW33" s="527"/>
      <c r="EX33" s="528">
        <f t="shared" si="49"/>
        <v>0</v>
      </c>
      <c r="EY33" s="529">
        <f t="shared" si="160"/>
        <v>0</v>
      </c>
      <c r="EZ33" s="527"/>
      <c r="FA33" s="528">
        <f t="shared" si="50"/>
        <v>0</v>
      </c>
      <c r="FB33" s="529">
        <f t="shared" si="161"/>
        <v>0</v>
      </c>
      <c r="FC33" s="527"/>
      <c r="FD33" s="528">
        <f t="shared" si="51"/>
        <v>0</v>
      </c>
      <c r="FE33" s="529">
        <f t="shared" si="162"/>
        <v>0</v>
      </c>
      <c r="FF33" s="527"/>
      <c r="FG33" s="528">
        <f t="shared" si="52"/>
        <v>0</v>
      </c>
      <c r="FH33" s="529">
        <f t="shared" si="163"/>
        <v>0</v>
      </c>
      <c r="FI33" s="527"/>
      <c r="FJ33" s="528">
        <f t="shared" si="53"/>
        <v>0</v>
      </c>
      <c r="FK33" s="529">
        <f t="shared" si="164"/>
        <v>0</v>
      </c>
      <c r="FL33" s="527"/>
      <c r="FM33" s="528">
        <f t="shared" si="54"/>
        <v>0</v>
      </c>
      <c r="FN33" s="529">
        <f t="shared" si="165"/>
        <v>0</v>
      </c>
      <c r="FO33" s="527"/>
      <c r="FP33" s="528">
        <f t="shared" si="55"/>
        <v>0</v>
      </c>
      <c r="FQ33" s="529">
        <f t="shared" si="166"/>
        <v>0</v>
      </c>
      <c r="FR33" s="527"/>
      <c r="FS33" s="528">
        <f t="shared" si="56"/>
        <v>0</v>
      </c>
      <c r="FT33" s="529">
        <f t="shared" si="167"/>
        <v>0</v>
      </c>
      <c r="FU33" s="527"/>
      <c r="FV33" s="528">
        <f t="shared" si="57"/>
        <v>0</v>
      </c>
      <c r="FW33" s="529">
        <f t="shared" si="168"/>
        <v>0</v>
      </c>
      <c r="FX33" s="527"/>
      <c r="FY33" s="528">
        <f t="shared" si="58"/>
        <v>0</v>
      </c>
      <c r="FZ33" s="529">
        <f t="shared" si="169"/>
        <v>0</v>
      </c>
      <c r="GA33" s="527"/>
      <c r="GB33" s="528">
        <f t="shared" si="59"/>
        <v>0</v>
      </c>
      <c r="GC33" s="529">
        <f t="shared" si="170"/>
        <v>0</v>
      </c>
      <c r="GD33" s="527"/>
      <c r="GE33" s="528">
        <f t="shared" si="60"/>
        <v>0</v>
      </c>
      <c r="GF33" s="529">
        <f t="shared" si="171"/>
        <v>0</v>
      </c>
      <c r="GG33" s="527">
        <v>12.974735440803373</v>
      </c>
      <c r="GH33" s="528">
        <f t="shared" si="61"/>
        <v>0.24406951544024405</v>
      </c>
      <c r="GI33" s="529">
        <f t="shared" si="172"/>
        <v>0</v>
      </c>
      <c r="GJ33" s="527">
        <v>15.569682528964048</v>
      </c>
      <c r="GK33" s="528">
        <f t="shared" ref="GK33:GK34" si="241">+GJ33/$E33</f>
        <v>0.29288341852829286</v>
      </c>
      <c r="GL33" s="529">
        <f t="shared" ref="GL33:GL34" si="242">+GJ33*$H$8</f>
        <v>0</v>
      </c>
      <c r="GM33" s="527"/>
      <c r="GN33" s="528">
        <f t="shared" ref="GN33:GN34" si="243">+GM33/$E33</f>
        <v>0</v>
      </c>
      <c r="GO33" s="529">
        <f t="shared" ref="GO33:GO34" si="244">+GM33*$H$8</f>
        <v>0</v>
      </c>
      <c r="GP33" s="527">
        <v>41.519153410570794</v>
      </c>
      <c r="GQ33" s="528">
        <f t="shared" ref="GQ33:GQ34" si="245">+GP33/$E33</f>
        <v>0.78102244940878096</v>
      </c>
      <c r="GR33" s="529">
        <f t="shared" ref="GR33:GR34" si="246">+GP33*$H$8</f>
        <v>0</v>
      </c>
      <c r="GS33" s="527">
        <v>285.4441796976742</v>
      </c>
      <c r="GT33" s="528">
        <f t="shared" ref="GT33:GT34" si="247">+GS33/$E33</f>
        <v>5.3695293396853687</v>
      </c>
      <c r="GU33" s="529">
        <f t="shared" ref="GU33:GU34" si="248">+GS33*$H$8</f>
        <v>0</v>
      </c>
      <c r="GV33" s="527">
        <v>72.658518468498883</v>
      </c>
      <c r="GW33" s="528">
        <f t="shared" ref="GW33:GW34" si="249">+GV33/$E33</f>
        <v>1.3667892864653666</v>
      </c>
      <c r="GX33" s="529">
        <f t="shared" ref="GX33:GX34" si="250">+GV33*$H$8</f>
        <v>0</v>
      </c>
      <c r="GY33" s="527"/>
      <c r="GZ33" s="528">
        <f t="shared" ref="GZ33:GZ34" si="251">+GY33/$E33</f>
        <v>0</v>
      </c>
      <c r="HA33" s="529">
        <f t="shared" si="178"/>
        <v>0</v>
      </c>
      <c r="HB33" s="527"/>
      <c r="HC33" s="528">
        <f t="shared" si="68"/>
        <v>0</v>
      </c>
      <c r="HD33" s="529">
        <f t="shared" si="179"/>
        <v>0</v>
      </c>
      <c r="HE33" s="527"/>
      <c r="HF33" s="528">
        <f t="shared" si="69"/>
        <v>0</v>
      </c>
      <c r="HG33" s="529">
        <f t="shared" si="180"/>
        <v>0</v>
      </c>
      <c r="HH33" s="527"/>
      <c r="HI33" s="528">
        <f t="shared" si="70"/>
        <v>0</v>
      </c>
      <c r="HJ33" s="529">
        <f t="shared" si="181"/>
        <v>0</v>
      </c>
      <c r="HK33" s="527"/>
      <c r="HL33" s="528">
        <f t="shared" si="71"/>
        <v>0</v>
      </c>
      <c r="HM33" s="529">
        <f t="shared" si="182"/>
        <v>0</v>
      </c>
      <c r="HN33" s="527">
        <v>984.00393583052778</v>
      </c>
      <c r="HO33" s="528">
        <f t="shared" si="72"/>
        <v>18.510232050988108</v>
      </c>
      <c r="HP33" s="529">
        <f t="shared" si="183"/>
        <v>0</v>
      </c>
      <c r="HQ33" s="527"/>
      <c r="HR33" s="528">
        <f t="shared" si="73"/>
        <v>0</v>
      </c>
      <c r="HS33" s="529">
        <f t="shared" si="184"/>
        <v>0</v>
      </c>
      <c r="HT33" s="527"/>
      <c r="HU33" s="528">
        <f t="shared" si="74"/>
        <v>0</v>
      </c>
      <c r="HV33" s="529">
        <f t="shared" si="185"/>
        <v>0</v>
      </c>
      <c r="HW33" s="527"/>
      <c r="HX33" s="528">
        <f t="shared" si="75"/>
        <v>0</v>
      </c>
      <c r="HY33" s="529">
        <f t="shared" si="186"/>
        <v>0</v>
      </c>
      <c r="HZ33" s="527"/>
      <c r="IA33" s="528">
        <f t="shared" si="76"/>
        <v>0</v>
      </c>
      <c r="IB33" s="529">
        <f t="shared" si="187"/>
        <v>0</v>
      </c>
      <c r="IC33" s="527"/>
      <c r="ID33" s="528">
        <f t="shared" si="77"/>
        <v>0</v>
      </c>
      <c r="IE33" s="529">
        <f t="shared" si="188"/>
        <v>0</v>
      </c>
      <c r="IF33" s="527"/>
      <c r="IG33" s="528">
        <f t="shared" si="78"/>
        <v>0</v>
      </c>
      <c r="IH33" s="529">
        <f t="shared" si="189"/>
        <v>0</v>
      </c>
      <c r="II33" s="527">
        <v>25.949470881606747</v>
      </c>
      <c r="IJ33" s="528">
        <f t="shared" si="79"/>
        <v>0.4881390308804881</v>
      </c>
      <c r="IK33" s="529">
        <f t="shared" si="190"/>
        <v>0</v>
      </c>
      <c r="IL33" s="527"/>
      <c r="IM33" s="528">
        <f t="shared" si="80"/>
        <v>0</v>
      </c>
      <c r="IN33" s="529">
        <f t="shared" si="191"/>
        <v>0</v>
      </c>
      <c r="IO33" s="527"/>
      <c r="IP33" s="528">
        <f t="shared" si="81"/>
        <v>0</v>
      </c>
      <c r="IQ33" s="529">
        <f t="shared" si="192"/>
        <v>0</v>
      </c>
      <c r="IR33" s="527">
        <v>46.70904758689214</v>
      </c>
      <c r="IS33" s="528">
        <f t="shared" si="82"/>
        <v>0.87865025558487853</v>
      </c>
      <c r="IT33" s="529">
        <f t="shared" si="193"/>
        <v>0</v>
      </c>
      <c r="IU33" s="527"/>
      <c r="IV33" s="528">
        <f t="shared" si="83"/>
        <v>0</v>
      </c>
      <c r="IW33" s="529">
        <f t="shared" si="194"/>
        <v>0</v>
      </c>
      <c r="IX33" s="527"/>
      <c r="IY33" s="528">
        <f t="shared" si="84"/>
        <v>0</v>
      </c>
      <c r="IZ33" s="529">
        <f t="shared" si="195"/>
        <v>0</v>
      </c>
      <c r="JA33" s="527"/>
      <c r="JB33" s="528">
        <f t="shared" si="85"/>
        <v>0</v>
      </c>
      <c r="JC33" s="529">
        <f t="shared" si="196"/>
        <v>0</v>
      </c>
      <c r="JD33" s="527"/>
      <c r="JE33" s="528">
        <f t="shared" si="86"/>
        <v>0</v>
      </c>
      <c r="JF33" s="529">
        <f t="shared" si="197"/>
        <v>0</v>
      </c>
      <c r="JG33" s="527"/>
      <c r="JH33" s="528">
        <f t="shared" si="87"/>
        <v>0</v>
      </c>
      <c r="JI33" s="529">
        <f t="shared" si="198"/>
        <v>0</v>
      </c>
      <c r="JJ33" s="527">
        <v>23.35452379344607</v>
      </c>
      <c r="JK33" s="529" t="str">
        <f t="shared" si="88"/>
        <v>0</v>
      </c>
      <c r="JL33" s="529" t="str">
        <f t="shared" si="89"/>
        <v>0</v>
      </c>
      <c r="JM33" s="527"/>
      <c r="JN33" s="529" t="str">
        <f t="shared" si="90"/>
        <v>0</v>
      </c>
      <c r="JO33" s="529" t="str">
        <f t="shared" si="91"/>
        <v>0</v>
      </c>
      <c r="JP33" s="527"/>
      <c r="JQ33" s="529" t="str">
        <f t="shared" si="92"/>
        <v>0</v>
      </c>
      <c r="JR33" s="529" t="str">
        <f t="shared" si="93"/>
        <v>0</v>
      </c>
      <c r="JS33" s="527"/>
      <c r="JT33" s="529" t="str">
        <f t="shared" si="94"/>
        <v>0</v>
      </c>
      <c r="JU33" s="529" t="str">
        <f t="shared" si="95"/>
        <v>0</v>
      </c>
      <c r="JV33" s="527"/>
      <c r="JW33" s="529" t="str">
        <f t="shared" si="96"/>
        <v>0</v>
      </c>
      <c r="JX33" s="529" t="str">
        <f t="shared" si="97"/>
        <v>0</v>
      </c>
      <c r="JY33" s="527"/>
      <c r="JZ33" s="529" t="str">
        <f t="shared" si="98"/>
        <v>0</v>
      </c>
      <c r="KA33" s="529" t="str">
        <f t="shared" si="99"/>
        <v>0</v>
      </c>
      <c r="KB33" s="527"/>
      <c r="KC33" s="529" t="str">
        <f t="shared" si="100"/>
        <v>0</v>
      </c>
      <c r="KD33" s="529" t="str">
        <f t="shared" si="101"/>
        <v>0</v>
      </c>
      <c r="KE33" s="527"/>
      <c r="KF33" s="529" t="str">
        <f t="shared" si="102"/>
        <v>0</v>
      </c>
      <c r="KG33" s="529" t="str">
        <f t="shared" si="103"/>
        <v>0</v>
      </c>
      <c r="KH33" s="527"/>
      <c r="KI33" s="529" t="str">
        <f t="shared" si="104"/>
        <v>0</v>
      </c>
      <c r="KJ33" s="529" t="str">
        <f t="shared" si="105"/>
        <v>0</v>
      </c>
      <c r="KK33" s="527"/>
      <c r="KL33" s="529" t="str">
        <f t="shared" si="106"/>
        <v>0</v>
      </c>
      <c r="KM33" s="529" t="str">
        <f t="shared" si="107"/>
        <v>0</v>
      </c>
      <c r="KN33" s="527"/>
      <c r="KO33" s="529" t="str">
        <f t="shared" si="108"/>
        <v>0</v>
      </c>
      <c r="KP33" s="529" t="str">
        <f t="shared" si="109"/>
        <v>0</v>
      </c>
      <c r="KQ33" s="527"/>
      <c r="KR33" s="529" t="str">
        <f t="shared" si="110"/>
        <v>0</v>
      </c>
      <c r="KS33" s="529" t="str">
        <f t="shared" si="111"/>
        <v>0</v>
      </c>
      <c r="KT33" s="529">
        <f t="shared" si="201"/>
        <v>0</v>
      </c>
      <c r="KU33" s="529">
        <f t="shared" si="202"/>
        <v>0</v>
      </c>
      <c r="KV33" s="268">
        <f t="shared" si="199"/>
        <v>2131.4359031226186</v>
      </c>
    </row>
    <row r="34" spans="1:16384" ht="15" customHeight="1">
      <c r="A34" s="270">
        <f t="shared" si="200"/>
        <v>46107</v>
      </c>
      <c r="B34" s="271" t="str">
        <f>+Report1!B34</f>
        <v>Toilet</v>
      </c>
      <c r="C34" s="271" t="str">
        <f>+Report1!C34</f>
        <v>15</v>
      </c>
      <c r="D34" s="272">
        <f>+Report1!P34</f>
        <v>52.444000000000003</v>
      </c>
      <c r="E34" s="273">
        <f>+Report1!R34</f>
        <v>52.279000000000003</v>
      </c>
      <c r="F34" s="527"/>
      <c r="G34" s="528">
        <f t="shared" si="0"/>
        <v>0</v>
      </c>
      <c r="H34" s="529">
        <f t="shared" si="112"/>
        <v>0</v>
      </c>
      <c r="I34" s="527"/>
      <c r="J34" s="528">
        <f t="shared" si="1"/>
        <v>0</v>
      </c>
      <c r="K34" s="529">
        <f t="shared" si="113"/>
        <v>0</v>
      </c>
      <c r="L34" s="527"/>
      <c r="M34" s="528">
        <f t="shared" si="2"/>
        <v>0</v>
      </c>
      <c r="N34" s="529">
        <f t="shared" si="114"/>
        <v>0</v>
      </c>
      <c r="O34" s="527">
        <v>11.999999999999972</v>
      </c>
      <c r="P34" s="528">
        <f t="shared" si="3"/>
        <v>0.22953767287055932</v>
      </c>
      <c r="Q34" s="529">
        <f t="shared" si="115"/>
        <v>0</v>
      </c>
      <c r="R34" s="527"/>
      <c r="S34" s="528">
        <f t="shared" si="4"/>
        <v>0</v>
      </c>
      <c r="T34" s="529">
        <f t="shared" si="116"/>
        <v>0</v>
      </c>
      <c r="U34" s="527">
        <v>5.125</v>
      </c>
      <c r="V34" s="528">
        <f t="shared" si="5"/>
        <v>9.8031714455134936E-2</v>
      </c>
      <c r="W34" s="529">
        <f t="shared" si="117"/>
        <v>0</v>
      </c>
      <c r="X34" s="527"/>
      <c r="Y34" s="528">
        <f t="shared" si="6"/>
        <v>0</v>
      </c>
      <c r="Z34" s="529">
        <f t="shared" si="118"/>
        <v>0</v>
      </c>
      <c r="AA34" s="527">
        <v>6.25</v>
      </c>
      <c r="AB34" s="528">
        <f t="shared" si="7"/>
        <v>0.11955087128674993</v>
      </c>
      <c r="AC34" s="529">
        <f t="shared" si="119"/>
        <v>0</v>
      </c>
      <c r="AD34" s="527"/>
      <c r="AE34" s="528">
        <f t="shared" si="8"/>
        <v>0</v>
      </c>
      <c r="AF34" s="529">
        <f t="shared" si="120"/>
        <v>0</v>
      </c>
      <c r="AG34" s="527"/>
      <c r="AH34" s="528">
        <f t="shared" si="9"/>
        <v>0</v>
      </c>
      <c r="AI34" s="529">
        <f t="shared" si="121"/>
        <v>0</v>
      </c>
      <c r="AJ34" s="527">
        <v>29.374999999999972</v>
      </c>
      <c r="AK34" s="528">
        <f t="shared" si="10"/>
        <v>0.56188909504772411</v>
      </c>
      <c r="AL34" s="529">
        <f t="shared" si="122"/>
        <v>0</v>
      </c>
      <c r="AM34" s="527"/>
      <c r="AN34" s="528">
        <f t="shared" si="11"/>
        <v>0</v>
      </c>
      <c r="AO34" s="529">
        <f t="shared" si="123"/>
        <v>0</v>
      </c>
      <c r="AP34" s="527"/>
      <c r="AQ34" s="528">
        <f t="shared" si="12"/>
        <v>0</v>
      </c>
      <c r="AR34" s="529">
        <f t="shared" si="124"/>
        <v>0</v>
      </c>
      <c r="AS34" s="527"/>
      <c r="AT34" s="528">
        <f t="shared" si="13"/>
        <v>0</v>
      </c>
      <c r="AU34" s="529">
        <f t="shared" si="125"/>
        <v>0</v>
      </c>
      <c r="AV34" s="527"/>
      <c r="AW34" s="528">
        <f t="shared" si="14"/>
        <v>0</v>
      </c>
      <c r="AX34" s="529">
        <f t="shared" si="126"/>
        <v>0</v>
      </c>
      <c r="AY34" s="527"/>
      <c r="AZ34" s="528">
        <f t="shared" si="15"/>
        <v>0</v>
      </c>
      <c r="BA34" s="529">
        <f t="shared" si="127"/>
        <v>0</v>
      </c>
      <c r="BB34" s="527"/>
      <c r="BC34" s="528">
        <f t="shared" si="16"/>
        <v>0</v>
      </c>
      <c r="BD34" s="529">
        <f t="shared" si="128"/>
        <v>0</v>
      </c>
      <c r="BE34" s="527"/>
      <c r="BF34" s="528">
        <f t="shared" si="17"/>
        <v>0</v>
      </c>
      <c r="BG34" s="529">
        <f t="shared" si="129"/>
        <v>0</v>
      </c>
      <c r="BH34" s="527"/>
      <c r="BI34" s="528">
        <f t="shared" si="18"/>
        <v>0</v>
      </c>
      <c r="BJ34" s="529">
        <f t="shared" si="130"/>
        <v>0</v>
      </c>
      <c r="BK34" s="527"/>
      <c r="BL34" s="528">
        <f t="shared" si="19"/>
        <v>0</v>
      </c>
      <c r="BM34" s="529">
        <f t="shared" si="131"/>
        <v>0</v>
      </c>
      <c r="BN34" s="527"/>
      <c r="BO34" s="528">
        <f t="shared" si="20"/>
        <v>0</v>
      </c>
      <c r="BP34" s="529">
        <f t="shared" si="132"/>
        <v>0</v>
      </c>
      <c r="BQ34" s="527"/>
      <c r="BR34" s="528">
        <f t="shared" si="21"/>
        <v>0</v>
      </c>
      <c r="BS34" s="529">
        <f t="shared" si="133"/>
        <v>0</v>
      </c>
      <c r="BT34" s="527"/>
      <c r="BU34" s="528">
        <f t="shared" si="22"/>
        <v>0</v>
      </c>
      <c r="BV34" s="529">
        <f t="shared" si="134"/>
        <v>0</v>
      </c>
      <c r="BW34" s="527"/>
      <c r="BX34" s="528">
        <f t="shared" si="23"/>
        <v>0</v>
      </c>
      <c r="BY34" s="529">
        <f t="shared" si="135"/>
        <v>0</v>
      </c>
      <c r="BZ34" s="527"/>
      <c r="CA34" s="528">
        <f t="shared" si="24"/>
        <v>0</v>
      </c>
      <c r="CB34" s="529">
        <f t="shared" si="136"/>
        <v>0</v>
      </c>
      <c r="CC34" s="527"/>
      <c r="CD34" s="528">
        <f t="shared" si="25"/>
        <v>0</v>
      </c>
      <c r="CE34" s="529">
        <f t="shared" si="137"/>
        <v>0</v>
      </c>
      <c r="CF34" s="527">
        <v>6</v>
      </c>
      <c r="CG34" s="528">
        <f t="shared" si="26"/>
        <v>0.11476883643527994</v>
      </c>
      <c r="CH34" s="529">
        <f t="shared" si="138"/>
        <v>0</v>
      </c>
      <c r="CI34" s="527"/>
      <c r="CJ34" s="528">
        <f t="shared" si="27"/>
        <v>0</v>
      </c>
      <c r="CK34" s="529">
        <f t="shared" si="139"/>
        <v>0</v>
      </c>
      <c r="CL34" s="527"/>
      <c r="CM34" s="528">
        <f t="shared" si="28"/>
        <v>0</v>
      </c>
      <c r="CN34" s="529">
        <f t="shared" si="140"/>
        <v>0</v>
      </c>
      <c r="CO34" s="527"/>
      <c r="CP34" s="528">
        <f t="shared" si="29"/>
        <v>0</v>
      </c>
      <c r="CQ34" s="529">
        <f t="shared" si="141"/>
        <v>0</v>
      </c>
      <c r="CR34" s="527"/>
      <c r="CS34" s="528">
        <f t="shared" si="30"/>
        <v>0</v>
      </c>
      <c r="CT34" s="529">
        <f t="shared" si="142"/>
        <v>0</v>
      </c>
      <c r="CU34" s="527"/>
      <c r="CV34" s="528">
        <f t="shared" si="31"/>
        <v>0</v>
      </c>
      <c r="CW34" s="529">
        <f t="shared" si="143"/>
        <v>0</v>
      </c>
      <c r="CX34" s="527"/>
      <c r="CY34" s="528">
        <f t="shared" si="32"/>
        <v>0</v>
      </c>
      <c r="CZ34" s="529">
        <f t="shared" si="144"/>
        <v>0</v>
      </c>
      <c r="DA34" s="527">
        <v>218.02325581395326</v>
      </c>
      <c r="DB34" s="528">
        <f t="shared" si="33"/>
        <v>4.1703792309331327</v>
      </c>
      <c r="DC34" s="529">
        <f t="shared" si="145"/>
        <v>0</v>
      </c>
      <c r="DD34" s="527"/>
      <c r="DE34" s="528">
        <f t="shared" si="34"/>
        <v>0</v>
      </c>
      <c r="DF34" s="529">
        <f t="shared" si="146"/>
        <v>0</v>
      </c>
      <c r="DG34" s="527"/>
      <c r="DH34" s="528">
        <f t="shared" si="35"/>
        <v>0</v>
      </c>
      <c r="DI34" s="529">
        <f t="shared" si="203"/>
        <v>0</v>
      </c>
      <c r="DJ34" s="527"/>
      <c r="DK34" s="528">
        <f t="shared" si="36"/>
        <v>0</v>
      </c>
      <c r="DL34" s="529">
        <f t="shared" si="147"/>
        <v>0</v>
      </c>
      <c r="DM34" s="527"/>
      <c r="DN34" s="528">
        <f t="shared" si="37"/>
        <v>0</v>
      </c>
      <c r="DO34" s="529">
        <f t="shared" si="148"/>
        <v>0</v>
      </c>
      <c r="DP34" s="527"/>
      <c r="DQ34" s="528">
        <f t="shared" si="38"/>
        <v>0</v>
      </c>
      <c r="DR34" s="529">
        <f t="shared" si="149"/>
        <v>0</v>
      </c>
      <c r="DS34" s="527"/>
      <c r="DT34" s="528">
        <f t="shared" si="39"/>
        <v>0</v>
      </c>
      <c r="DU34" s="529">
        <f t="shared" si="150"/>
        <v>0</v>
      </c>
      <c r="DV34" s="527"/>
      <c r="DW34" s="528">
        <f t="shared" si="40"/>
        <v>0</v>
      </c>
      <c r="DX34" s="529">
        <f t="shared" si="151"/>
        <v>0</v>
      </c>
      <c r="DY34" s="527"/>
      <c r="DZ34" s="528">
        <f t="shared" si="41"/>
        <v>0</v>
      </c>
      <c r="EA34" s="529">
        <f t="shared" si="152"/>
        <v>0</v>
      </c>
      <c r="EB34" s="527"/>
      <c r="EC34" s="528">
        <f t="shared" si="42"/>
        <v>0</v>
      </c>
      <c r="ED34" s="529">
        <f t="shared" si="153"/>
        <v>0</v>
      </c>
      <c r="EE34" s="527">
        <v>21.802325581395337</v>
      </c>
      <c r="EF34" s="528">
        <f t="shared" si="43"/>
        <v>0.4170379230933135</v>
      </c>
      <c r="EG34" s="529">
        <f t="shared" si="154"/>
        <v>0</v>
      </c>
      <c r="EH34" s="527">
        <v>223.0823529411764</v>
      </c>
      <c r="EI34" s="528">
        <f t="shared" si="44"/>
        <v>4.2671503460505438</v>
      </c>
      <c r="EJ34" s="529">
        <f t="shared" si="155"/>
        <v>0</v>
      </c>
      <c r="EK34" s="527">
        <v>0</v>
      </c>
      <c r="EL34" s="528">
        <f t="shared" si="45"/>
        <v>0</v>
      </c>
      <c r="EM34" s="529">
        <f t="shared" si="156"/>
        <v>0</v>
      </c>
      <c r="EN34" s="527">
        <v>48.780487804878021</v>
      </c>
      <c r="EO34" s="528">
        <f t="shared" si="46"/>
        <v>0.93307997101853546</v>
      </c>
      <c r="EP34" s="529">
        <f t="shared" si="157"/>
        <v>0</v>
      </c>
      <c r="EQ34" s="527">
        <v>54.360465116279101</v>
      </c>
      <c r="ER34" s="528">
        <f t="shared" si="47"/>
        <v>1.0398145549126627</v>
      </c>
      <c r="ES34" s="529">
        <f t="shared" si="158"/>
        <v>0</v>
      </c>
      <c r="ET34" s="527"/>
      <c r="EU34" s="528">
        <f t="shared" si="48"/>
        <v>0</v>
      </c>
      <c r="EV34" s="529">
        <f t="shared" si="159"/>
        <v>0</v>
      </c>
      <c r="EW34" s="527"/>
      <c r="EX34" s="528">
        <f t="shared" si="49"/>
        <v>0</v>
      </c>
      <c r="EY34" s="529">
        <f t="shared" si="160"/>
        <v>0</v>
      </c>
      <c r="EZ34" s="527"/>
      <c r="FA34" s="528">
        <f t="shared" si="50"/>
        <v>0</v>
      </c>
      <c r="FB34" s="529">
        <f t="shared" si="161"/>
        <v>0</v>
      </c>
      <c r="FC34" s="527"/>
      <c r="FD34" s="528">
        <f t="shared" si="51"/>
        <v>0</v>
      </c>
      <c r="FE34" s="529">
        <f t="shared" si="162"/>
        <v>0</v>
      </c>
      <c r="FF34" s="527"/>
      <c r="FG34" s="528">
        <f t="shared" si="52"/>
        <v>0</v>
      </c>
      <c r="FH34" s="529">
        <f t="shared" si="163"/>
        <v>0</v>
      </c>
      <c r="FI34" s="527"/>
      <c r="FJ34" s="528">
        <f t="shared" si="53"/>
        <v>0</v>
      </c>
      <c r="FK34" s="529">
        <f t="shared" si="164"/>
        <v>0</v>
      </c>
      <c r="FL34" s="527"/>
      <c r="FM34" s="528">
        <f t="shared" si="54"/>
        <v>0</v>
      </c>
      <c r="FN34" s="529">
        <f t="shared" si="165"/>
        <v>0</v>
      </c>
      <c r="FO34" s="527"/>
      <c r="FP34" s="528">
        <f t="shared" si="55"/>
        <v>0</v>
      </c>
      <c r="FQ34" s="529">
        <f t="shared" si="166"/>
        <v>0</v>
      </c>
      <c r="FR34" s="527"/>
      <c r="FS34" s="528">
        <f t="shared" si="56"/>
        <v>0</v>
      </c>
      <c r="FT34" s="529">
        <f t="shared" si="167"/>
        <v>0</v>
      </c>
      <c r="FU34" s="527"/>
      <c r="FV34" s="528">
        <f t="shared" si="57"/>
        <v>0</v>
      </c>
      <c r="FW34" s="529">
        <f t="shared" si="168"/>
        <v>0</v>
      </c>
      <c r="FX34" s="527"/>
      <c r="FY34" s="528">
        <f t="shared" si="58"/>
        <v>0</v>
      </c>
      <c r="FZ34" s="529">
        <f t="shared" si="169"/>
        <v>0</v>
      </c>
      <c r="GA34" s="527"/>
      <c r="GB34" s="528">
        <f t="shared" si="59"/>
        <v>0</v>
      </c>
      <c r="GC34" s="529">
        <f t="shared" si="170"/>
        <v>0</v>
      </c>
      <c r="GD34" s="527"/>
      <c r="GE34" s="528">
        <f t="shared" si="60"/>
        <v>0</v>
      </c>
      <c r="GF34" s="529">
        <f t="shared" si="171"/>
        <v>0</v>
      </c>
      <c r="GG34" s="527">
        <v>17.290370793678704</v>
      </c>
      <c r="GH34" s="528">
        <f t="shared" si="61"/>
        <v>0.3307326229208421</v>
      </c>
      <c r="GI34" s="529">
        <f t="shared" si="172"/>
        <v>0</v>
      </c>
      <c r="GJ34" s="527">
        <v>17.290370793678704</v>
      </c>
      <c r="GK34" s="528">
        <f t="shared" si="241"/>
        <v>0.3307326229208421</v>
      </c>
      <c r="GL34" s="529">
        <f t="shared" si="242"/>
        <v>0</v>
      </c>
      <c r="GM34" s="527"/>
      <c r="GN34" s="528">
        <f t="shared" si="243"/>
        <v>0</v>
      </c>
      <c r="GO34" s="529">
        <f t="shared" si="244"/>
        <v>0</v>
      </c>
      <c r="GP34" s="527">
        <v>46.107655449809883</v>
      </c>
      <c r="GQ34" s="528">
        <f t="shared" si="245"/>
        <v>0.8819536611222456</v>
      </c>
      <c r="GR34" s="529">
        <f t="shared" si="246"/>
        <v>0</v>
      </c>
      <c r="GS34" s="527">
        <v>374.62470052970531</v>
      </c>
      <c r="GT34" s="528">
        <f t="shared" si="247"/>
        <v>7.1658734966182456</v>
      </c>
      <c r="GU34" s="529">
        <f t="shared" si="248"/>
        <v>0</v>
      </c>
      <c r="GV34" s="527">
        <v>86.451853968393522</v>
      </c>
      <c r="GW34" s="528">
        <f t="shared" si="249"/>
        <v>1.6536631146042104</v>
      </c>
      <c r="GX34" s="529">
        <f t="shared" si="250"/>
        <v>0</v>
      </c>
      <c r="GY34" s="527"/>
      <c r="GZ34" s="528">
        <f t="shared" si="251"/>
        <v>0</v>
      </c>
      <c r="HA34" s="529">
        <f t="shared" si="178"/>
        <v>0</v>
      </c>
      <c r="HB34" s="527"/>
      <c r="HC34" s="528">
        <f t="shared" si="68"/>
        <v>0</v>
      </c>
      <c r="HD34" s="529">
        <f t="shared" si="179"/>
        <v>0</v>
      </c>
      <c r="HE34" s="527"/>
      <c r="HF34" s="528">
        <f t="shared" si="69"/>
        <v>0</v>
      </c>
      <c r="HG34" s="529">
        <f t="shared" si="180"/>
        <v>0</v>
      </c>
      <c r="HH34" s="527"/>
      <c r="HI34" s="528">
        <f t="shared" si="70"/>
        <v>0</v>
      </c>
      <c r="HJ34" s="529">
        <f t="shared" si="181"/>
        <v>0</v>
      </c>
      <c r="HK34" s="527"/>
      <c r="HL34" s="528">
        <f t="shared" si="71"/>
        <v>0</v>
      </c>
      <c r="HM34" s="529">
        <f t="shared" si="182"/>
        <v>0</v>
      </c>
      <c r="HN34" s="527">
        <v>1035.1168648482319</v>
      </c>
      <c r="HO34" s="528">
        <f t="shared" si="72"/>
        <v>19.799859692194413</v>
      </c>
      <c r="HP34" s="529">
        <f t="shared" si="183"/>
        <v>0</v>
      </c>
      <c r="HQ34" s="527"/>
      <c r="HR34" s="528">
        <f t="shared" si="73"/>
        <v>0</v>
      </c>
      <c r="HS34" s="529">
        <f t="shared" si="184"/>
        <v>0</v>
      </c>
      <c r="HT34" s="527"/>
      <c r="HU34" s="528">
        <f t="shared" si="74"/>
        <v>0</v>
      </c>
      <c r="HV34" s="529">
        <f t="shared" si="185"/>
        <v>0</v>
      </c>
      <c r="HW34" s="527"/>
      <c r="HX34" s="528">
        <f t="shared" si="75"/>
        <v>0</v>
      </c>
      <c r="HY34" s="529">
        <f t="shared" si="186"/>
        <v>0</v>
      </c>
      <c r="HZ34" s="527"/>
      <c r="IA34" s="528">
        <f t="shared" si="76"/>
        <v>0</v>
      </c>
      <c r="IB34" s="529">
        <f t="shared" si="187"/>
        <v>0</v>
      </c>
      <c r="IC34" s="527"/>
      <c r="ID34" s="528">
        <f t="shared" si="77"/>
        <v>0</v>
      </c>
      <c r="IE34" s="529">
        <f t="shared" si="188"/>
        <v>0</v>
      </c>
      <c r="IF34" s="527"/>
      <c r="IG34" s="528">
        <f t="shared" si="78"/>
        <v>0</v>
      </c>
      <c r="IH34" s="529">
        <f t="shared" si="189"/>
        <v>0</v>
      </c>
      <c r="II34" s="527">
        <v>28.817284656131175</v>
      </c>
      <c r="IJ34" s="528">
        <f t="shared" si="79"/>
        <v>0.55122103820140345</v>
      </c>
      <c r="IK34" s="529">
        <f t="shared" si="190"/>
        <v>0</v>
      </c>
      <c r="IL34" s="527"/>
      <c r="IM34" s="528">
        <f t="shared" si="80"/>
        <v>0</v>
      </c>
      <c r="IN34" s="529">
        <f t="shared" si="191"/>
        <v>0</v>
      </c>
      <c r="IO34" s="527"/>
      <c r="IP34" s="528">
        <f t="shared" si="81"/>
        <v>0</v>
      </c>
      <c r="IQ34" s="529">
        <f t="shared" si="192"/>
        <v>0</v>
      </c>
      <c r="IR34" s="527">
        <v>51.871112381036113</v>
      </c>
      <c r="IS34" s="528">
        <f t="shared" si="82"/>
        <v>0.99219786876252625</v>
      </c>
      <c r="IT34" s="529">
        <f t="shared" si="193"/>
        <v>0</v>
      </c>
      <c r="IU34" s="527"/>
      <c r="IV34" s="528">
        <f t="shared" si="83"/>
        <v>0</v>
      </c>
      <c r="IW34" s="529">
        <f t="shared" si="194"/>
        <v>0</v>
      </c>
      <c r="IX34" s="527"/>
      <c r="IY34" s="528">
        <f t="shared" si="84"/>
        <v>0</v>
      </c>
      <c r="IZ34" s="529">
        <f t="shared" si="195"/>
        <v>0</v>
      </c>
      <c r="JA34" s="527"/>
      <c r="JB34" s="528">
        <f t="shared" si="85"/>
        <v>0</v>
      </c>
      <c r="JC34" s="529">
        <f t="shared" si="196"/>
        <v>0</v>
      </c>
      <c r="JD34" s="527"/>
      <c r="JE34" s="528">
        <f t="shared" si="86"/>
        <v>0</v>
      </c>
      <c r="JF34" s="529">
        <f t="shared" si="197"/>
        <v>0</v>
      </c>
      <c r="JG34" s="527"/>
      <c r="JH34" s="528">
        <f t="shared" si="87"/>
        <v>0</v>
      </c>
      <c r="JI34" s="529">
        <f t="shared" si="198"/>
        <v>0</v>
      </c>
      <c r="JJ34" s="527">
        <v>25.935556190518056</v>
      </c>
      <c r="JK34" s="529" t="str">
        <f t="shared" si="88"/>
        <v>0</v>
      </c>
      <c r="JL34" s="529" t="str">
        <f t="shared" si="89"/>
        <v>0</v>
      </c>
      <c r="JM34" s="527"/>
      <c r="JN34" s="529" t="str">
        <f t="shared" si="90"/>
        <v>0</v>
      </c>
      <c r="JO34" s="529" t="str">
        <f t="shared" si="91"/>
        <v>0</v>
      </c>
      <c r="JP34" s="527"/>
      <c r="JQ34" s="529" t="str">
        <f t="shared" si="92"/>
        <v>0</v>
      </c>
      <c r="JR34" s="529" t="str">
        <f t="shared" si="93"/>
        <v>0</v>
      </c>
      <c r="JS34" s="527"/>
      <c r="JT34" s="529" t="str">
        <f t="shared" si="94"/>
        <v>0</v>
      </c>
      <c r="JU34" s="529" t="str">
        <f t="shared" si="95"/>
        <v>0</v>
      </c>
      <c r="JV34" s="527"/>
      <c r="JW34" s="529" t="str">
        <f t="shared" si="96"/>
        <v>0</v>
      </c>
      <c r="JX34" s="529" t="str">
        <f t="shared" si="97"/>
        <v>0</v>
      </c>
      <c r="JY34" s="527"/>
      <c r="JZ34" s="529" t="str">
        <f t="shared" si="98"/>
        <v>0</v>
      </c>
      <c r="KA34" s="529" t="str">
        <f t="shared" si="99"/>
        <v>0</v>
      </c>
      <c r="KB34" s="527"/>
      <c r="KC34" s="529" t="str">
        <f t="shared" si="100"/>
        <v>0</v>
      </c>
      <c r="KD34" s="529" t="str">
        <f t="shared" si="101"/>
        <v>0</v>
      </c>
      <c r="KE34" s="527"/>
      <c r="KF34" s="529" t="str">
        <f t="shared" si="102"/>
        <v>0</v>
      </c>
      <c r="KG34" s="529" t="str">
        <f t="shared" si="103"/>
        <v>0</v>
      </c>
      <c r="KH34" s="527"/>
      <c r="KI34" s="529" t="str">
        <f t="shared" si="104"/>
        <v>0</v>
      </c>
      <c r="KJ34" s="529" t="str">
        <f t="shared" si="105"/>
        <v>0</v>
      </c>
      <c r="KK34" s="527"/>
      <c r="KL34" s="529" t="str">
        <f t="shared" si="106"/>
        <v>0</v>
      </c>
      <c r="KM34" s="529" t="str">
        <f t="shared" si="107"/>
        <v>0</v>
      </c>
      <c r="KN34" s="527"/>
      <c r="KO34" s="529" t="str">
        <f t="shared" si="108"/>
        <v>0</v>
      </c>
      <c r="KP34" s="529" t="str">
        <f t="shared" si="109"/>
        <v>0</v>
      </c>
      <c r="KQ34" s="527"/>
      <c r="KR34" s="529" t="str">
        <f t="shared" si="110"/>
        <v>0</v>
      </c>
      <c r="KS34" s="529" t="str">
        <f t="shared" si="111"/>
        <v>0</v>
      </c>
      <c r="KT34" s="529">
        <f t="shared" si="201"/>
        <v>0</v>
      </c>
      <c r="KU34" s="529">
        <f t="shared" si="202"/>
        <v>0</v>
      </c>
      <c r="KV34" s="268">
        <f t="shared" si="199"/>
        <v>2308.3046568688655</v>
      </c>
    </row>
    <row r="35" spans="1:16384" ht="15" customHeight="1">
      <c r="A35" s="270">
        <f t="shared" si="200"/>
        <v>46108</v>
      </c>
      <c r="B35" s="271" t="str">
        <f>+Report1!B35</f>
        <v>Toilet</v>
      </c>
      <c r="C35" s="271" t="str">
        <f>+Report1!C35</f>
        <v>15/13,5</v>
      </c>
      <c r="D35" s="272">
        <f>+Report1!P35</f>
        <v>51.503</v>
      </c>
      <c r="E35" s="273">
        <f>+Report1!R35</f>
        <v>49.753999999999998</v>
      </c>
      <c r="F35" s="527"/>
      <c r="G35" s="528">
        <f t="shared" si="0"/>
        <v>0</v>
      </c>
      <c r="H35" s="529">
        <f t="shared" si="112"/>
        <v>0</v>
      </c>
      <c r="I35" s="527"/>
      <c r="J35" s="528">
        <f t="shared" si="1"/>
        <v>0</v>
      </c>
      <c r="K35" s="529">
        <f t="shared" si="113"/>
        <v>0</v>
      </c>
      <c r="L35" s="527"/>
      <c r="M35" s="528">
        <f t="shared" si="2"/>
        <v>0</v>
      </c>
      <c r="N35" s="529">
        <f t="shared" si="114"/>
        <v>0</v>
      </c>
      <c r="O35" s="527">
        <v>9</v>
      </c>
      <c r="P35" s="528">
        <f t="shared" si="3"/>
        <v>0.18088997869518028</v>
      </c>
      <c r="Q35" s="529">
        <f t="shared" si="115"/>
        <v>0</v>
      </c>
      <c r="R35" s="527"/>
      <c r="S35" s="528">
        <f t="shared" si="4"/>
        <v>0</v>
      </c>
      <c r="T35" s="529">
        <f t="shared" si="116"/>
        <v>0</v>
      </c>
      <c r="U35" s="527">
        <v>5.1249999999999716</v>
      </c>
      <c r="V35" s="528">
        <f t="shared" si="5"/>
        <v>0.10300679342364376</v>
      </c>
      <c r="W35" s="529">
        <f t="shared" si="117"/>
        <v>0</v>
      </c>
      <c r="X35" s="527"/>
      <c r="Y35" s="528">
        <f t="shared" si="6"/>
        <v>0</v>
      </c>
      <c r="Z35" s="529">
        <f t="shared" si="118"/>
        <v>0</v>
      </c>
      <c r="AA35" s="527">
        <v>6.25</v>
      </c>
      <c r="AB35" s="528">
        <f t="shared" si="7"/>
        <v>0.12561804076054187</v>
      </c>
      <c r="AC35" s="529">
        <f t="shared" si="119"/>
        <v>0</v>
      </c>
      <c r="AD35" s="527"/>
      <c r="AE35" s="528">
        <f t="shared" si="8"/>
        <v>0</v>
      </c>
      <c r="AF35" s="529">
        <f t="shared" si="120"/>
        <v>0</v>
      </c>
      <c r="AG35" s="527"/>
      <c r="AH35" s="528">
        <f t="shared" si="9"/>
        <v>0</v>
      </c>
      <c r="AI35" s="529">
        <f t="shared" si="121"/>
        <v>0</v>
      </c>
      <c r="AJ35" s="527">
        <v>17.625</v>
      </c>
      <c r="AK35" s="528">
        <f t="shared" si="10"/>
        <v>0.35424287494472806</v>
      </c>
      <c r="AL35" s="529">
        <f t="shared" si="122"/>
        <v>0</v>
      </c>
      <c r="AM35" s="527"/>
      <c r="AN35" s="528">
        <f t="shared" si="11"/>
        <v>0</v>
      </c>
      <c r="AO35" s="529">
        <f t="shared" si="123"/>
        <v>0</v>
      </c>
      <c r="AP35" s="527"/>
      <c r="AQ35" s="528">
        <f t="shared" si="12"/>
        <v>0</v>
      </c>
      <c r="AR35" s="529">
        <f t="shared" si="124"/>
        <v>0</v>
      </c>
      <c r="AS35" s="527"/>
      <c r="AT35" s="528">
        <f t="shared" si="13"/>
        <v>0</v>
      </c>
      <c r="AU35" s="529">
        <f t="shared" si="125"/>
        <v>0</v>
      </c>
      <c r="AV35" s="527"/>
      <c r="AW35" s="528">
        <f t="shared" si="14"/>
        <v>0</v>
      </c>
      <c r="AX35" s="529">
        <f t="shared" si="126"/>
        <v>0</v>
      </c>
      <c r="AY35" s="527"/>
      <c r="AZ35" s="528">
        <f t="shared" si="15"/>
        <v>0</v>
      </c>
      <c r="BA35" s="529">
        <f t="shared" si="127"/>
        <v>0</v>
      </c>
      <c r="BB35" s="527"/>
      <c r="BC35" s="528">
        <f t="shared" si="16"/>
        <v>0</v>
      </c>
      <c r="BD35" s="529">
        <f t="shared" si="128"/>
        <v>0</v>
      </c>
      <c r="BE35" s="527"/>
      <c r="BF35" s="528">
        <f t="shared" si="17"/>
        <v>0</v>
      </c>
      <c r="BG35" s="529">
        <f t="shared" si="129"/>
        <v>0</v>
      </c>
      <c r="BH35" s="527"/>
      <c r="BI35" s="528">
        <f t="shared" si="18"/>
        <v>0</v>
      </c>
      <c r="BJ35" s="529">
        <f t="shared" si="130"/>
        <v>0</v>
      </c>
      <c r="BK35" s="527"/>
      <c r="BL35" s="528">
        <f t="shared" si="19"/>
        <v>0</v>
      </c>
      <c r="BM35" s="529">
        <f t="shared" si="131"/>
        <v>0</v>
      </c>
      <c r="BN35" s="527"/>
      <c r="BO35" s="528">
        <f t="shared" si="20"/>
        <v>0</v>
      </c>
      <c r="BP35" s="529">
        <f t="shared" si="132"/>
        <v>0</v>
      </c>
      <c r="BQ35" s="527"/>
      <c r="BR35" s="528">
        <f t="shared" si="21"/>
        <v>0</v>
      </c>
      <c r="BS35" s="529">
        <f t="shared" si="133"/>
        <v>0</v>
      </c>
      <c r="BT35" s="527"/>
      <c r="BU35" s="528">
        <f t="shared" si="22"/>
        <v>0</v>
      </c>
      <c r="BV35" s="529">
        <f t="shared" si="134"/>
        <v>0</v>
      </c>
      <c r="BW35" s="527"/>
      <c r="BX35" s="528">
        <f t="shared" si="23"/>
        <v>0</v>
      </c>
      <c r="BY35" s="529">
        <f t="shared" si="135"/>
        <v>0</v>
      </c>
      <c r="BZ35" s="527"/>
      <c r="CA35" s="528">
        <f t="shared" si="24"/>
        <v>0</v>
      </c>
      <c r="CB35" s="529">
        <f t="shared" si="136"/>
        <v>0</v>
      </c>
      <c r="CC35" s="527"/>
      <c r="CD35" s="528">
        <f t="shared" si="25"/>
        <v>0</v>
      </c>
      <c r="CE35" s="529">
        <f t="shared" si="137"/>
        <v>0</v>
      </c>
      <c r="CF35" s="527">
        <v>6</v>
      </c>
      <c r="CG35" s="528">
        <f t="shared" si="26"/>
        <v>0.1205933191301202</v>
      </c>
      <c r="CH35" s="529">
        <f t="shared" si="138"/>
        <v>0</v>
      </c>
      <c r="CI35" s="527"/>
      <c r="CJ35" s="528">
        <f t="shared" si="27"/>
        <v>0</v>
      </c>
      <c r="CK35" s="529">
        <f t="shared" si="139"/>
        <v>0</v>
      </c>
      <c r="CL35" s="527"/>
      <c r="CM35" s="528">
        <f t="shared" si="28"/>
        <v>0</v>
      </c>
      <c r="CN35" s="529">
        <f t="shared" si="140"/>
        <v>0</v>
      </c>
      <c r="CO35" s="527"/>
      <c r="CP35" s="528">
        <f t="shared" si="29"/>
        <v>0</v>
      </c>
      <c r="CQ35" s="529">
        <f t="shared" si="141"/>
        <v>0</v>
      </c>
      <c r="CR35" s="527"/>
      <c r="CS35" s="528">
        <f t="shared" si="30"/>
        <v>0</v>
      </c>
      <c r="CT35" s="529">
        <f t="shared" si="142"/>
        <v>0</v>
      </c>
      <c r="CU35" s="527"/>
      <c r="CV35" s="528">
        <f t="shared" si="31"/>
        <v>0</v>
      </c>
      <c r="CW35" s="529">
        <f t="shared" si="143"/>
        <v>0</v>
      </c>
      <c r="CX35" s="527"/>
      <c r="CY35" s="528">
        <f t="shared" si="32"/>
        <v>0</v>
      </c>
      <c r="CZ35" s="529">
        <f t="shared" si="144"/>
        <v>0</v>
      </c>
      <c r="DA35" s="527">
        <v>218.02325581395371</v>
      </c>
      <c r="DB35" s="528">
        <f t="shared" si="33"/>
        <v>4.3820246776933258</v>
      </c>
      <c r="DC35" s="529">
        <f t="shared" si="145"/>
        <v>0</v>
      </c>
      <c r="DD35" s="527"/>
      <c r="DE35" s="528">
        <f t="shared" si="34"/>
        <v>0</v>
      </c>
      <c r="DF35" s="529">
        <f t="shared" si="146"/>
        <v>0</v>
      </c>
      <c r="DG35" s="527"/>
      <c r="DH35" s="528">
        <f t="shared" si="35"/>
        <v>0</v>
      </c>
      <c r="DI35" s="529">
        <f t="shared" si="203"/>
        <v>0</v>
      </c>
      <c r="DJ35" s="527"/>
      <c r="DK35" s="528">
        <f t="shared" si="36"/>
        <v>0</v>
      </c>
      <c r="DL35" s="529">
        <f t="shared" si="147"/>
        <v>0</v>
      </c>
      <c r="DM35" s="527"/>
      <c r="DN35" s="528">
        <f t="shared" si="37"/>
        <v>0</v>
      </c>
      <c r="DO35" s="529">
        <f t="shared" si="148"/>
        <v>0</v>
      </c>
      <c r="DP35" s="527"/>
      <c r="DQ35" s="528">
        <f t="shared" si="38"/>
        <v>0</v>
      </c>
      <c r="DR35" s="529">
        <f t="shared" si="149"/>
        <v>0</v>
      </c>
      <c r="DS35" s="527"/>
      <c r="DT35" s="528">
        <f t="shared" si="39"/>
        <v>0</v>
      </c>
      <c r="DU35" s="529">
        <f t="shared" si="150"/>
        <v>0</v>
      </c>
      <c r="DV35" s="527"/>
      <c r="DW35" s="528">
        <f t="shared" si="40"/>
        <v>0</v>
      </c>
      <c r="DX35" s="529">
        <f t="shared" si="151"/>
        <v>0</v>
      </c>
      <c r="DY35" s="527"/>
      <c r="DZ35" s="528">
        <f t="shared" si="41"/>
        <v>0</v>
      </c>
      <c r="EA35" s="529">
        <f t="shared" si="152"/>
        <v>0</v>
      </c>
      <c r="EB35" s="527"/>
      <c r="EC35" s="528">
        <f t="shared" si="42"/>
        <v>0</v>
      </c>
      <c r="ED35" s="529">
        <f t="shared" si="153"/>
        <v>0</v>
      </c>
      <c r="EE35" s="527">
        <v>14.534883720930225</v>
      </c>
      <c r="EF35" s="528">
        <f t="shared" si="43"/>
        <v>0.29213497851288789</v>
      </c>
      <c r="EG35" s="529">
        <f t="shared" si="154"/>
        <v>0</v>
      </c>
      <c r="EH35" s="527">
        <v>223.08235294117662</v>
      </c>
      <c r="EI35" s="528">
        <f t="shared" si="44"/>
        <v>4.48370689675557</v>
      </c>
      <c r="EJ35" s="529">
        <f t="shared" si="155"/>
        <v>0</v>
      </c>
      <c r="EK35" s="527">
        <v>3</v>
      </c>
      <c r="EL35" s="528">
        <f t="shared" si="45"/>
        <v>6.0296659565060098E-2</v>
      </c>
      <c r="EM35" s="529">
        <f t="shared" si="156"/>
        <v>0</v>
      </c>
      <c r="EN35" s="527">
        <v>42.682926829268126</v>
      </c>
      <c r="EO35" s="528">
        <f t="shared" si="46"/>
        <v>0.85787930275491675</v>
      </c>
      <c r="EP35" s="529">
        <f t="shared" si="157"/>
        <v>0</v>
      </c>
      <c r="EQ35" s="527">
        <v>54.360465116279101</v>
      </c>
      <c r="ER35" s="528">
        <f t="shared" si="47"/>
        <v>1.092584819638202</v>
      </c>
      <c r="ES35" s="529">
        <f t="shared" si="158"/>
        <v>0</v>
      </c>
      <c r="ET35" s="527"/>
      <c r="EU35" s="528">
        <f t="shared" si="48"/>
        <v>0</v>
      </c>
      <c r="EV35" s="529">
        <f t="shared" si="159"/>
        <v>0</v>
      </c>
      <c r="EW35" s="527"/>
      <c r="EX35" s="528">
        <f t="shared" si="49"/>
        <v>0</v>
      </c>
      <c r="EY35" s="529">
        <f t="shared" si="160"/>
        <v>0</v>
      </c>
      <c r="EZ35" s="527"/>
      <c r="FA35" s="528">
        <f t="shared" si="50"/>
        <v>0</v>
      </c>
      <c r="FB35" s="529">
        <f t="shared" si="161"/>
        <v>0</v>
      </c>
      <c r="FC35" s="527"/>
      <c r="FD35" s="528">
        <f t="shared" si="51"/>
        <v>0</v>
      </c>
      <c r="FE35" s="529">
        <f t="shared" si="162"/>
        <v>0</v>
      </c>
      <c r="FF35" s="527"/>
      <c r="FG35" s="528">
        <f t="shared" si="52"/>
        <v>0</v>
      </c>
      <c r="FH35" s="529">
        <f t="shared" si="163"/>
        <v>0</v>
      </c>
      <c r="FI35" s="527"/>
      <c r="FJ35" s="528">
        <f t="shared" si="53"/>
        <v>0</v>
      </c>
      <c r="FK35" s="529">
        <f t="shared" si="164"/>
        <v>0</v>
      </c>
      <c r="FL35" s="527"/>
      <c r="FM35" s="528">
        <f t="shared" si="54"/>
        <v>0</v>
      </c>
      <c r="FN35" s="529">
        <f t="shared" si="165"/>
        <v>0</v>
      </c>
      <c r="FO35" s="527"/>
      <c r="FP35" s="528">
        <f t="shared" si="55"/>
        <v>0</v>
      </c>
      <c r="FQ35" s="529">
        <f t="shared" si="166"/>
        <v>0</v>
      </c>
      <c r="FR35" s="527"/>
      <c r="FS35" s="528">
        <f t="shared" si="56"/>
        <v>0</v>
      </c>
      <c r="FT35" s="529">
        <f t="shared" si="167"/>
        <v>0</v>
      </c>
      <c r="FU35" s="527"/>
      <c r="FV35" s="528">
        <f t="shared" si="57"/>
        <v>0</v>
      </c>
      <c r="FW35" s="529">
        <f t="shared" si="168"/>
        <v>0</v>
      </c>
      <c r="FX35" s="527"/>
      <c r="FY35" s="528">
        <f t="shared" si="58"/>
        <v>0</v>
      </c>
      <c r="FZ35" s="529">
        <f t="shared" si="169"/>
        <v>0</v>
      </c>
      <c r="GA35" s="527"/>
      <c r="GB35" s="528">
        <f t="shared" si="59"/>
        <v>0</v>
      </c>
      <c r="GC35" s="529">
        <f t="shared" si="170"/>
        <v>0</v>
      </c>
      <c r="GD35" s="527"/>
      <c r="GE35" s="528">
        <f t="shared" si="60"/>
        <v>0</v>
      </c>
      <c r="GF35" s="529">
        <f t="shared" si="171"/>
        <v>0</v>
      </c>
      <c r="GG35" s="527">
        <v>15.03605523603772</v>
      </c>
      <c r="GH35" s="528">
        <f t="shared" si="61"/>
        <v>0.30220796792293525</v>
      </c>
      <c r="GI35" s="529">
        <f t="shared" si="172"/>
        <v>0</v>
      </c>
      <c r="GJ35" s="527">
        <v>15.03605523603772</v>
      </c>
      <c r="GK35" s="528">
        <f t="shared" ref="GK35:GK39" si="252">+GJ35/$E35</f>
        <v>0.30220796792293525</v>
      </c>
      <c r="GL35" s="529">
        <f t="shared" ref="GL35:GL39" si="253">+GJ35*$H$8</f>
        <v>0</v>
      </c>
      <c r="GM35" s="527"/>
      <c r="GN35" s="528">
        <f t="shared" ref="GN35:GN39" si="254">+GM35/$E35</f>
        <v>0</v>
      </c>
      <c r="GO35" s="529">
        <f t="shared" ref="GO35:GO39" si="255">+GM35*$H$8</f>
        <v>0</v>
      </c>
      <c r="GP35" s="527">
        <v>40.096147296100582</v>
      </c>
      <c r="GQ35" s="528">
        <f t="shared" ref="GQ35:GQ39" si="256">+GP35/$E35</f>
        <v>0.80588791446116059</v>
      </c>
      <c r="GR35" s="529">
        <f t="shared" ref="GR35:GR39" si="257">+GP35*$H$8</f>
        <v>0</v>
      </c>
      <c r="GS35" s="527">
        <v>340.81725201685498</v>
      </c>
      <c r="GT35" s="528">
        <f t="shared" ref="GT35:GT39" si="258">+GS35/$E35</f>
        <v>6.8500472729198654</v>
      </c>
      <c r="GU35" s="529">
        <f t="shared" ref="GU35:GU39" si="259">+GS35*$H$8</f>
        <v>0</v>
      </c>
      <c r="GV35" s="527">
        <v>70.168257768176019</v>
      </c>
      <c r="GW35" s="528">
        <f t="shared" ref="GW35:GW39" si="260">+GV35/$E35</f>
        <v>1.4103038503070311</v>
      </c>
      <c r="GX35" s="529">
        <f t="shared" ref="GX35:GX39" si="261">+GV35*$H$8</f>
        <v>0</v>
      </c>
      <c r="GY35" s="527"/>
      <c r="GZ35" s="528">
        <f t="shared" si="67"/>
        <v>0</v>
      </c>
      <c r="HA35" s="529">
        <f t="shared" si="178"/>
        <v>0</v>
      </c>
      <c r="HB35" s="527"/>
      <c r="HC35" s="528">
        <f t="shared" si="68"/>
        <v>0</v>
      </c>
      <c r="HD35" s="529">
        <f t="shared" si="179"/>
        <v>0</v>
      </c>
      <c r="HE35" s="527"/>
      <c r="HF35" s="528">
        <f t="shared" si="69"/>
        <v>0</v>
      </c>
      <c r="HG35" s="529">
        <f t="shared" si="180"/>
        <v>0</v>
      </c>
      <c r="HH35" s="527"/>
      <c r="HI35" s="528">
        <f t="shared" si="70"/>
        <v>0</v>
      </c>
      <c r="HJ35" s="529">
        <f t="shared" si="181"/>
        <v>0</v>
      </c>
      <c r="HK35" s="527"/>
      <c r="HL35" s="528">
        <f t="shared" si="71"/>
        <v>0</v>
      </c>
      <c r="HM35" s="529">
        <f t="shared" si="182"/>
        <v>0</v>
      </c>
      <c r="HN35" s="527">
        <v>904.16812152706825</v>
      </c>
      <c r="HO35" s="528">
        <f t="shared" si="72"/>
        <v>18.172772471099172</v>
      </c>
      <c r="HP35" s="529">
        <f t="shared" si="183"/>
        <v>0</v>
      </c>
      <c r="HQ35" s="527"/>
      <c r="HR35" s="528">
        <f t="shared" si="73"/>
        <v>0</v>
      </c>
      <c r="HS35" s="529">
        <f t="shared" si="184"/>
        <v>0</v>
      </c>
      <c r="HT35" s="527"/>
      <c r="HU35" s="528">
        <f t="shared" si="74"/>
        <v>0</v>
      </c>
      <c r="HV35" s="529">
        <f t="shared" si="185"/>
        <v>0</v>
      </c>
      <c r="HW35" s="527"/>
      <c r="HX35" s="528">
        <f t="shared" si="75"/>
        <v>0</v>
      </c>
      <c r="HY35" s="529">
        <f t="shared" si="186"/>
        <v>0</v>
      </c>
      <c r="HZ35" s="527"/>
      <c r="IA35" s="528">
        <f t="shared" si="76"/>
        <v>0</v>
      </c>
      <c r="IB35" s="529">
        <f t="shared" si="187"/>
        <v>0</v>
      </c>
      <c r="IC35" s="527"/>
      <c r="ID35" s="528">
        <f t="shared" si="77"/>
        <v>0</v>
      </c>
      <c r="IE35" s="529">
        <f t="shared" si="188"/>
        <v>0</v>
      </c>
      <c r="IF35" s="527"/>
      <c r="IG35" s="528">
        <f t="shared" si="78"/>
        <v>0</v>
      </c>
      <c r="IH35" s="529">
        <f t="shared" si="189"/>
        <v>0</v>
      </c>
      <c r="II35" s="527">
        <v>25.060092060062868</v>
      </c>
      <c r="IJ35" s="528">
        <f t="shared" si="79"/>
        <v>0.50367994653822545</v>
      </c>
      <c r="IK35" s="529">
        <f t="shared" si="190"/>
        <v>0</v>
      </c>
      <c r="IL35" s="527"/>
      <c r="IM35" s="528">
        <f t="shared" si="80"/>
        <v>0</v>
      </c>
      <c r="IN35" s="529">
        <f t="shared" si="191"/>
        <v>0</v>
      </c>
      <c r="IO35" s="527"/>
      <c r="IP35" s="528">
        <f t="shared" si="81"/>
        <v>0</v>
      </c>
      <c r="IQ35" s="529">
        <f t="shared" si="192"/>
        <v>0</v>
      </c>
      <c r="IR35" s="527">
        <v>45.108165708113162</v>
      </c>
      <c r="IS35" s="528">
        <f t="shared" si="82"/>
        <v>0.90662390376880586</v>
      </c>
      <c r="IT35" s="529">
        <f t="shared" si="193"/>
        <v>0</v>
      </c>
      <c r="IU35" s="527"/>
      <c r="IV35" s="528">
        <f t="shared" si="83"/>
        <v>0</v>
      </c>
      <c r="IW35" s="529">
        <f t="shared" si="194"/>
        <v>0</v>
      </c>
      <c r="IX35" s="527"/>
      <c r="IY35" s="528">
        <f t="shared" si="84"/>
        <v>0</v>
      </c>
      <c r="IZ35" s="529">
        <f t="shared" si="195"/>
        <v>0</v>
      </c>
      <c r="JA35" s="527"/>
      <c r="JB35" s="528">
        <f t="shared" si="85"/>
        <v>0</v>
      </c>
      <c r="JC35" s="529">
        <f t="shared" si="196"/>
        <v>0</v>
      </c>
      <c r="JD35" s="527"/>
      <c r="JE35" s="528">
        <f t="shared" si="86"/>
        <v>0</v>
      </c>
      <c r="JF35" s="529">
        <f t="shared" si="197"/>
        <v>0</v>
      </c>
      <c r="JG35" s="527"/>
      <c r="JH35" s="528">
        <f t="shared" si="87"/>
        <v>0</v>
      </c>
      <c r="JI35" s="529">
        <f t="shared" si="198"/>
        <v>0</v>
      </c>
      <c r="JJ35" s="527">
        <v>22.554082854056581</v>
      </c>
      <c r="JK35" s="529" t="str">
        <f t="shared" si="88"/>
        <v>0</v>
      </c>
      <c r="JL35" s="529" t="str">
        <f t="shared" si="89"/>
        <v>0</v>
      </c>
      <c r="JM35" s="527"/>
      <c r="JN35" s="529" t="str">
        <f t="shared" si="90"/>
        <v>0</v>
      </c>
      <c r="JO35" s="529" t="str">
        <f t="shared" si="91"/>
        <v>0</v>
      </c>
      <c r="JP35" s="527"/>
      <c r="JQ35" s="529" t="str">
        <f t="shared" si="92"/>
        <v>0</v>
      </c>
      <c r="JR35" s="529" t="str">
        <f t="shared" si="93"/>
        <v>0</v>
      </c>
      <c r="JS35" s="527"/>
      <c r="JT35" s="529" t="str">
        <f t="shared" si="94"/>
        <v>0</v>
      </c>
      <c r="JU35" s="529" t="str">
        <f t="shared" si="95"/>
        <v>0</v>
      </c>
      <c r="JV35" s="527"/>
      <c r="JW35" s="529" t="str">
        <f t="shared" si="96"/>
        <v>0</v>
      </c>
      <c r="JX35" s="529" t="str">
        <f t="shared" si="97"/>
        <v>0</v>
      </c>
      <c r="JY35" s="527"/>
      <c r="JZ35" s="529" t="str">
        <f t="shared" si="98"/>
        <v>0</v>
      </c>
      <c r="KA35" s="529" t="str">
        <f t="shared" si="99"/>
        <v>0</v>
      </c>
      <c r="KB35" s="527"/>
      <c r="KC35" s="529" t="str">
        <f t="shared" si="100"/>
        <v>0</v>
      </c>
      <c r="KD35" s="529" t="str">
        <f t="shared" si="101"/>
        <v>0</v>
      </c>
      <c r="KE35" s="527"/>
      <c r="KF35" s="529" t="str">
        <f t="shared" si="102"/>
        <v>0</v>
      </c>
      <c r="KG35" s="529" t="str">
        <f t="shared" si="103"/>
        <v>0</v>
      </c>
      <c r="KH35" s="527"/>
      <c r="KI35" s="529" t="str">
        <f t="shared" si="104"/>
        <v>0</v>
      </c>
      <c r="KJ35" s="529" t="str">
        <f t="shared" si="105"/>
        <v>0</v>
      </c>
      <c r="KK35" s="527"/>
      <c r="KL35" s="529" t="str">
        <f t="shared" si="106"/>
        <v>0</v>
      </c>
      <c r="KM35" s="529" t="str">
        <f t="shared" si="107"/>
        <v>0</v>
      </c>
      <c r="KN35" s="527"/>
      <c r="KO35" s="529" t="str">
        <f t="shared" si="108"/>
        <v>0</v>
      </c>
      <c r="KP35" s="529" t="str">
        <f t="shared" si="109"/>
        <v>0</v>
      </c>
      <c r="KQ35" s="527"/>
      <c r="KR35" s="529" t="str">
        <f t="shared" si="110"/>
        <v>0</v>
      </c>
      <c r="KS35" s="529" t="str">
        <f t="shared" si="111"/>
        <v>0</v>
      </c>
      <c r="KT35" s="529">
        <f t="shared" si="201"/>
        <v>0</v>
      </c>
      <c r="KU35" s="529">
        <f t="shared" si="202"/>
        <v>0</v>
      </c>
      <c r="KV35" s="268">
        <f t="shared" si="199"/>
        <v>2077.7281141241156</v>
      </c>
    </row>
    <row r="36" spans="1:16384" ht="15" customHeight="1">
      <c r="A36" s="270">
        <f t="shared" si="200"/>
        <v>46109</v>
      </c>
      <c r="B36" s="271" t="str">
        <f>+Report1!B36</f>
        <v>Toilet</v>
      </c>
      <c r="C36" s="271" t="str">
        <f>+Report1!C36</f>
        <v>13,5/15,5</v>
      </c>
      <c r="D36" s="272">
        <f>+Report1!P36</f>
        <v>51.396000000000001</v>
      </c>
      <c r="E36" s="273">
        <f>+Report1!R36</f>
        <v>52.008000000000003</v>
      </c>
      <c r="F36" s="527"/>
      <c r="G36" s="528">
        <f t="shared" si="0"/>
        <v>0</v>
      </c>
      <c r="H36" s="529">
        <f t="shared" si="112"/>
        <v>0</v>
      </c>
      <c r="I36" s="527"/>
      <c r="J36" s="528">
        <f t="shared" si="1"/>
        <v>0</v>
      </c>
      <c r="K36" s="529">
        <f t="shared" si="113"/>
        <v>0</v>
      </c>
      <c r="L36" s="527"/>
      <c r="M36" s="528">
        <f t="shared" si="2"/>
        <v>0</v>
      </c>
      <c r="N36" s="529">
        <f t="shared" si="114"/>
        <v>0</v>
      </c>
      <c r="O36" s="527">
        <v>8.8708000000000027</v>
      </c>
      <c r="P36" s="528">
        <f t="shared" si="3"/>
        <v>0.17056606675896022</v>
      </c>
      <c r="Q36" s="529">
        <f t="shared" si="115"/>
        <v>0</v>
      </c>
      <c r="R36" s="527"/>
      <c r="S36" s="528">
        <f t="shared" si="4"/>
        <v>0</v>
      </c>
      <c r="T36" s="529">
        <f t="shared" si="116"/>
        <v>0</v>
      </c>
      <c r="U36" s="527">
        <v>3.7968000000000188</v>
      </c>
      <c r="V36" s="528">
        <f t="shared" si="5"/>
        <v>7.3004153207199246E-2</v>
      </c>
      <c r="W36" s="529">
        <f t="shared" si="117"/>
        <v>0</v>
      </c>
      <c r="X36" s="527"/>
      <c r="Y36" s="528">
        <f t="shared" si="6"/>
        <v>0</v>
      </c>
      <c r="Z36" s="529">
        <f t="shared" si="118"/>
        <v>0</v>
      </c>
      <c r="AA36" s="527">
        <v>7.0312499999999929</v>
      </c>
      <c r="AB36" s="528">
        <f t="shared" si="7"/>
        <v>0.13519554683894772</v>
      </c>
      <c r="AC36" s="529">
        <f t="shared" si="119"/>
        <v>0</v>
      </c>
      <c r="AD36" s="527"/>
      <c r="AE36" s="528">
        <f t="shared" si="8"/>
        <v>0</v>
      </c>
      <c r="AF36" s="529">
        <f t="shared" si="120"/>
        <v>0</v>
      </c>
      <c r="AG36" s="527"/>
      <c r="AH36" s="528">
        <f t="shared" si="9"/>
        <v>0</v>
      </c>
      <c r="AI36" s="529">
        <f t="shared" si="121"/>
        <v>0</v>
      </c>
      <c r="AJ36" s="527">
        <v>14.478700000000003</v>
      </c>
      <c r="AK36" s="528">
        <f t="shared" si="10"/>
        <v>0.27839370866020619</v>
      </c>
      <c r="AL36" s="529">
        <f t="shared" si="122"/>
        <v>0</v>
      </c>
      <c r="AM36" s="527"/>
      <c r="AN36" s="528">
        <f t="shared" si="11"/>
        <v>0</v>
      </c>
      <c r="AO36" s="529">
        <f t="shared" si="123"/>
        <v>0</v>
      </c>
      <c r="AP36" s="527"/>
      <c r="AQ36" s="528">
        <f t="shared" si="12"/>
        <v>0</v>
      </c>
      <c r="AR36" s="529">
        <f t="shared" si="124"/>
        <v>0</v>
      </c>
      <c r="AS36" s="527"/>
      <c r="AT36" s="528">
        <f t="shared" si="13"/>
        <v>0</v>
      </c>
      <c r="AU36" s="529">
        <f t="shared" si="125"/>
        <v>0</v>
      </c>
      <c r="AV36" s="527"/>
      <c r="AW36" s="528">
        <f t="shared" si="14"/>
        <v>0</v>
      </c>
      <c r="AX36" s="529">
        <f t="shared" si="126"/>
        <v>0</v>
      </c>
      <c r="AY36" s="527"/>
      <c r="AZ36" s="528">
        <f t="shared" si="15"/>
        <v>0</v>
      </c>
      <c r="BA36" s="529">
        <f t="shared" si="127"/>
        <v>0</v>
      </c>
      <c r="BB36" s="527"/>
      <c r="BC36" s="528">
        <f t="shared" si="16"/>
        <v>0</v>
      </c>
      <c r="BD36" s="529">
        <f t="shared" si="128"/>
        <v>0</v>
      </c>
      <c r="BE36" s="527"/>
      <c r="BF36" s="528">
        <f t="shared" si="17"/>
        <v>0</v>
      </c>
      <c r="BG36" s="529">
        <f t="shared" si="129"/>
        <v>0</v>
      </c>
      <c r="BH36" s="527"/>
      <c r="BI36" s="528">
        <f t="shared" si="18"/>
        <v>0</v>
      </c>
      <c r="BJ36" s="529">
        <f t="shared" si="130"/>
        <v>0</v>
      </c>
      <c r="BK36" s="527"/>
      <c r="BL36" s="528">
        <f t="shared" si="19"/>
        <v>0</v>
      </c>
      <c r="BM36" s="529">
        <f t="shared" si="131"/>
        <v>0</v>
      </c>
      <c r="BN36" s="527"/>
      <c r="BO36" s="528">
        <f t="shared" si="20"/>
        <v>0</v>
      </c>
      <c r="BP36" s="529">
        <f t="shared" si="132"/>
        <v>0</v>
      </c>
      <c r="BQ36" s="527"/>
      <c r="BR36" s="528">
        <f t="shared" si="21"/>
        <v>0</v>
      </c>
      <c r="BS36" s="529">
        <f t="shared" si="133"/>
        <v>0</v>
      </c>
      <c r="BT36" s="527"/>
      <c r="BU36" s="528">
        <f t="shared" si="22"/>
        <v>0</v>
      </c>
      <c r="BV36" s="529">
        <f t="shared" si="134"/>
        <v>0</v>
      </c>
      <c r="BW36" s="527"/>
      <c r="BX36" s="528">
        <f t="shared" si="23"/>
        <v>0</v>
      </c>
      <c r="BY36" s="529">
        <f t="shared" si="135"/>
        <v>0</v>
      </c>
      <c r="BZ36" s="527"/>
      <c r="CA36" s="528">
        <f t="shared" si="24"/>
        <v>0</v>
      </c>
      <c r="CB36" s="529">
        <f t="shared" si="136"/>
        <v>0</v>
      </c>
      <c r="CC36" s="527"/>
      <c r="CD36" s="528">
        <f t="shared" si="25"/>
        <v>0</v>
      </c>
      <c r="CE36" s="529">
        <f t="shared" si="137"/>
        <v>0</v>
      </c>
      <c r="CF36" s="527">
        <v>6</v>
      </c>
      <c r="CG36" s="528">
        <f t="shared" si="26"/>
        <v>0.11536686663590216</v>
      </c>
      <c r="CH36" s="529">
        <f t="shared" si="138"/>
        <v>0</v>
      </c>
      <c r="CI36" s="527"/>
      <c r="CJ36" s="528">
        <f t="shared" si="27"/>
        <v>0</v>
      </c>
      <c r="CK36" s="529">
        <f t="shared" si="139"/>
        <v>0</v>
      </c>
      <c r="CL36" s="527"/>
      <c r="CM36" s="528">
        <f t="shared" si="28"/>
        <v>0</v>
      </c>
      <c r="CN36" s="529">
        <f t="shared" si="140"/>
        <v>0</v>
      </c>
      <c r="CO36" s="527"/>
      <c r="CP36" s="528">
        <f t="shared" si="29"/>
        <v>0</v>
      </c>
      <c r="CQ36" s="529">
        <f t="shared" si="141"/>
        <v>0</v>
      </c>
      <c r="CR36" s="527"/>
      <c r="CS36" s="528">
        <f t="shared" si="30"/>
        <v>0</v>
      </c>
      <c r="CT36" s="529">
        <f t="shared" si="142"/>
        <v>0</v>
      </c>
      <c r="CU36" s="527"/>
      <c r="CV36" s="528">
        <f t="shared" si="31"/>
        <v>0</v>
      </c>
      <c r="CW36" s="529">
        <f t="shared" si="143"/>
        <v>0</v>
      </c>
      <c r="CX36" s="527"/>
      <c r="CY36" s="528">
        <f t="shared" si="32"/>
        <v>0</v>
      </c>
      <c r="CZ36" s="529">
        <f t="shared" si="144"/>
        <v>0</v>
      </c>
      <c r="DA36" s="527">
        <v>215.0203720930233</v>
      </c>
      <c r="DB36" s="528">
        <f t="shared" si="33"/>
        <v>4.1343710985429798</v>
      </c>
      <c r="DC36" s="529">
        <f t="shared" si="145"/>
        <v>0</v>
      </c>
      <c r="DD36" s="527"/>
      <c r="DE36" s="528">
        <f t="shared" si="34"/>
        <v>0</v>
      </c>
      <c r="DF36" s="529">
        <f t="shared" si="146"/>
        <v>0</v>
      </c>
      <c r="DG36" s="527"/>
      <c r="DH36" s="528">
        <f t="shared" si="35"/>
        <v>0</v>
      </c>
      <c r="DI36" s="529">
        <f t="shared" si="203"/>
        <v>0</v>
      </c>
      <c r="DJ36" s="527"/>
      <c r="DK36" s="528">
        <f t="shared" si="36"/>
        <v>0</v>
      </c>
      <c r="DL36" s="529">
        <f t="shared" si="147"/>
        <v>0</v>
      </c>
      <c r="DM36" s="527"/>
      <c r="DN36" s="528">
        <f t="shared" si="37"/>
        <v>0</v>
      </c>
      <c r="DO36" s="529">
        <f t="shared" si="148"/>
        <v>0</v>
      </c>
      <c r="DP36" s="527"/>
      <c r="DQ36" s="528">
        <f t="shared" si="38"/>
        <v>0</v>
      </c>
      <c r="DR36" s="529">
        <f t="shared" si="149"/>
        <v>0</v>
      </c>
      <c r="DS36" s="527"/>
      <c r="DT36" s="528">
        <f t="shared" si="39"/>
        <v>0</v>
      </c>
      <c r="DU36" s="529">
        <f t="shared" si="150"/>
        <v>0</v>
      </c>
      <c r="DV36" s="527"/>
      <c r="DW36" s="528">
        <f t="shared" si="40"/>
        <v>0</v>
      </c>
      <c r="DX36" s="529">
        <f t="shared" si="151"/>
        <v>0</v>
      </c>
      <c r="DY36" s="527"/>
      <c r="DZ36" s="528">
        <f t="shared" si="41"/>
        <v>0</v>
      </c>
      <c r="EA36" s="529">
        <f t="shared" si="152"/>
        <v>0</v>
      </c>
      <c r="EB36" s="527"/>
      <c r="EC36" s="528">
        <f t="shared" si="42"/>
        <v>0</v>
      </c>
      <c r="ED36" s="529">
        <f t="shared" si="153"/>
        <v>0</v>
      </c>
      <c r="EE36" s="527">
        <v>14.534883720930225</v>
      </c>
      <c r="EF36" s="528">
        <f t="shared" si="43"/>
        <v>0.27947399863348377</v>
      </c>
      <c r="EG36" s="529">
        <f t="shared" si="154"/>
        <v>0</v>
      </c>
      <c r="EH36" s="527">
        <v>220.00999999999976</v>
      </c>
      <c r="EI36" s="528">
        <f t="shared" si="44"/>
        <v>4.2303107214274682</v>
      </c>
      <c r="EJ36" s="529">
        <f t="shared" si="155"/>
        <v>0</v>
      </c>
      <c r="EK36" s="527">
        <v>1</v>
      </c>
      <c r="EL36" s="528">
        <f t="shared" si="45"/>
        <v>1.9227811105983695E-2</v>
      </c>
      <c r="EM36" s="529">
        <f t="shared" si="156"/>
        <v>0</v>
      </c>
      <c r="EN36" s="527">
        <v>36.085243780487872</v>
      </c>
      <c r="EO36" s="528">
        <f t="shared" si="46"/>
        <v>0.69384025112459369</v>
      </c>
      <c r="EP36" s="529">
        <f t="shared" si="157"/>
        <v>0</v>
      </c>
      <c r="EQ36" s="527">
        <v>48.74038372093014</v>
      </c>
      <c r="ER36" s="528">
        <f t="shared" si="47"/>
        <v>0.9371708914192074</v>
      </c>
      <c r="ES36" s="529">
        <f t="shared" si="158"/>
        <v>0</v>
      </c>
      <c r="ET36" s="527"/>
      <c r="EU36" s="528">
        <f t="shared" si="48"/>
        <v>0</v>
      </c>
      <c r="EV36" s="529">
        <f t="shared" si="159"/>
        <v>0</v>
      </c>
      <c r="EW36" s="527"/>
      <c r="EX36" s="528">
        <f t="shared" si="49"/>
        <v>0</v>
      </c>
      <c r="EY36" s="529">
        <f t="shared" si="160"/>
        <v>0</v>
      </c>
      <c r="EZ36" s="527"/>
      <c r="FA36" s="528">
        <f t="shared" si="50"/>
        <v>0</v>
      </c>
      <c r="FB36" s="529">
        <f t="shared" si="161"/>
        <v>0</v>
      </c>
      <c r="FC36" s="527"/>
      <c r="FD36" s="528">
        <f t="shared" si="51"/>
        <v>0</v>
      </c>
      <c r="FE36" s="529">
        <f t="shared" si="162"/>
        <v>0</v>
      </c>
      <c r="FF36" s="527"/>
      <c r="FG36" s="528">
        <f t="shared" si="52"/>
        <v>0</v>
      </c>
      <c r="FH36" s="529">
        <f t="shared" si="163"/>
        <v>0</v>
      </c>
      <c r="FI36" s="527"/>
      <c r="FJ36" s="528">
        <f t="shared" si="53"/>
        <v>0</v>
      </c>
      <c r="FK36" s="529">
        <f t="shared" si="164"/>
        <v>0</v>
      </c>
      <c r="FL36" s="527"/>
      <c r="FM36" s="528">
        <f t="shared" si="54"/>
        <v>0</v>
      </c>
      <c r="FN36" s="529">
        <f t="shared" si="165"/>
        <v>0</v>
      </c>
      <c r="FO36" s="527"/>
      <c r="FP36" s="528">
        <f t="shared" si="55"/>
        <v>0</v>
      </c>
      <c r="FQ36" s="529">
        <f t="shared" si="166"/>
        <v>0</v>
      </c>
      <c r="FR36" s="527"/>
      <c r="FS36" s="528">
        <f t="shared" si="56"/>
        <v>0</v>
      </c>
      <c r="FT36" s="529">
        <f t="shared" si="167"/>
        <v>0</v>
      </c>
      <c r="FU36" s="527"/>
      <c r="FV36" s="528">
        <f t="shared" si="57"/>
        <v>0</v>
      </c>
      <c r="FW36" s="529">
        <f t="shared" si="168"/>
        <v>0</v>
      </c>
      <c r="FX36" s="527"/>
      <c r="FY36" s="528">
        <f t="shared" si="58"/>
        <v>0</v>
      </c>
      <c r="FZ36" s="529">
        <f t="shared" si="169"/>
        <v>0</v>
      </c>
      <c r="GA36" s="527"/>
      <c r="GB36" s="528">
        <f t="shared" si="59"/>
        <v>0</v>
      </c>
      <c r="GC36" s="529">
        <f t="shared" si="170"/>
        <v>0</v>
      </c>
      <c r="GD36" s="527"/>
      <c r="GE36" s="528">
        <f t="shared" si="60"/>
        <v>0</v>
      </c>
      <c r="GF36" s="529">
        <f t="shared" si="171"/>
        <v>0</v>
      </c>
      <c r="GG36" s="527">
        <v>14.885023072615988</v>
      </c>
      <c r="GH36" s="528">
        <f t="shared" si="61"/>
        <v>0.28620641194846924</v>
      </c>
      <c r="GI36" s="529">
        <f t="shared" si="172"/>
        <v>0</v>
      </c>
      <c r="GJ36" s="527">
        <v>14.885023072615988</v>
      </c>
      <c r="GK36" s="528">
        <f t="shared" si="252"/>
        <v>0.28620641194846924</v>
      </c>
      <c r="GL36" s="529">
        <f t="shared" si="253"/>
        <v>0</v>
      </c>
      <c r="GM36" s="527"/>
      <c r="GN36" s="528">
        <f t="shared" si="254"/>
        <v>0</v>
      </c>
      <c r="GO36" s="529">
        <f t="shared" si="255"/>
        <v>0</v>
      </c>
      <c r="GP36" s="527">
        <v>39.693394860309304</v>
      </c>
      <c r="GQ36" s="528">
        <f t="shared" si="256"/>
        <v>0.76321709852925135</v>
      </c>
      <c r="GR36" s="529">
        <f t="shared" si="257"/>
        <v>0</v>
      </c>
      <c r="GS36" s="527">
        <v>307.6238101673971</v>
      </c>
      <c r="GT36" s="528">
        <f t="shared" si="258"/>
        <v>5.9149325136016975</v>
      </c>
      <c r="GU36" s="529">
        <f t="shared" si="259"/>
        <v>0</v>
      </c>
      <c r="GV36" s="527">
        <v>74.425115363079939</v>
      </c>
      <c r="GW36" s="528">
        <f t="shared" si="260"/>
        <v>1.431032059742346</v>
      </c>
      <c r="GX36" s="529">
        <f t="shared" si="261"/>
        <v>0</v>
      </c>
      <c r="GY36" s="527"/>
      <c r="GZ36" s="528">
        <f t="shared" si="67"/>
        <v>0</v>
      </c>
      <c r="HA36" s="529">
        <f t="shared" si="178"/>
        <v>0</v>
      </c>
      <c r="HB36" s="527"/>
      <c r="HC36" s="528">
        <f t="shared" si="68"/>
        <v>0</v>
      </c>
      <c r="HD36" s="529">
        <f t="shared" si="179"/>
        <v>0</v>
      </c>
      <c r="HE36" s="527"/>
      <c r="HF36" s="528">
        <f t="shared" si="69"/>
        <v>0</v>
      </c>
      <c r="HG36" s="529">
        <f t="shared" si="180"/>
        <v>0</v>
      </c>
      <c r="HH36" s="527"/>
      <c r="HI36" s="528">
        <f t="shared" si="70"/>
        <v>0</v>
      </c>
      <c r="HJ36" s="529">
        <f t="shared" si="181"/>
        <v>0</v>
      </c>
      <c r="HK36" s="527"/>
      <c r="HL36" s="528">
        <f t="shared" si="71"/>
        <v>0</v>
      </c>
      <c r="HM36" s="529">
        <f t="shared" si="182"/>
        <v>0</v>
      </c>
      <c r="HN36" s="527">
        <v>891.11671461394383</v>
      </c>
      <c r="HO36" s="528">
        <f t="shared" si="72"/>
        <v>17.134223861981692</v>
      </c>
      <c r="HP36" s="529">
        <f t="shared" si="183"/>
        <v>0</v>
      </c>
      <c r="HQ36" s="527"/>
      <c r="HR36" s="528">
        <f t="shared" si="73"/>
        <v>0</v>
      </c>
      <c r="HS36" s="529">
        <f t="shared" si="184"/>
        <v>0</v>
      </c>
      <c r="HT36" s="527"/>
      <c r="HU36" s="528">
        <f t="shared" si="74"/>
        <v>0</v>
      </c>
      <c r="HV36" s="529">
        <f t="shared" si="185"/>
        <v>0</v>
      </c>
      <c r="HW36" s="527"/>
      <c r="HX36" s="528">
        <f t="shared" si="75"/>
        <v>0</v>
      </c>
      <c r="HY36" s="529">
        <f t="shared" si="186"/>
        <v>0</v>
      </c>
      <c r="HZ36" s="527"/>
      <c r="IA36" s="528">
        <f t="shared" si="76"/>
        <v>0</v>
      </c>
      <c r="IB36" s="529">
        <f t="shared" si="187"/>
        <v>0</v>
      </c>
      <c r="IC36" s="527"/>
      <c r="ID36" s="528">
        <f t="shared" si="77"/>
        <v>0</v>
      </c>
      <c r="IE36" s="529">
        <f t="shared" si="188"/>
        <v>0</v>
      </c>
      <c r="IF36" s="527"/>
      <c r="IG36" s="528">
        <f t="shared" si="78"/>
        <v>0</v>
      </c>
      <c r="IH36" s="529">
        <f t="shared" si="189"/>
        <v>0</v>
      </c>
      <c r="II36" s="527">
        <v>24.808371787693314</v>
      </c>
      <c r="IJ36" s="528">
        <f t="shared" si="79"/>
        <v>0.47701068658078205</v>
      </c>
      <c r="IK36" s="529">
        <f t="shared" si="190"/>
        <v>0</v>
      </c>
      <c r="IL36" s="527"/>
      <c r="IM36" s="528">
        <f t="shared" si="80"/>
        <v>0</v>
      </c>
      <c r="IN36" s="529">
        <f t="shared" si="191"/>
        <v>0</v>
      </c>
      <c r="IO36" s="527"/>
      <c r="IP36" s="528">
        <f t="shared" si="81"/>
        <v>0</v>
      </c>
      <c r="IQ36" s="529">
        <f t="shared" si="192"/>
        <v>0</v>
      </c>
      <c r="IR36" s="527">
        <v>44.655069217847966</v>
      </c>
      <c r="IS36" s="528">
        <f t="shared" si="82"/>
        <v>0.85861923584540767</v>
      </c>
      <c r="IT36" s="529">
        <f t="shared" si="193"/>
        <v>0</v>
      </c>
      <c r="IU36" s="527"/>
      <c r="IV36" s="528">
        <f t="shared" si="83"/>
        <v>0</v>
      </c>
      <c r="IW36" s="529">
        <f t="shared" si="194"/>
        <v>0</v>
      </c>
      <c r="IX36" s="527"/>
      <c r="IY36" s="528">
        <f t="shared" si="84"/>
        <v>0</v>
      </c>
      <c r="IZ36" s="529">
        <f t="shared" si="195"/>
        <v>0</v>
      </c>
      <c r="JA36" s="527"/>
      <c r="JB36" s="528">
        <f t="shared" si="85"/>
        <v>0</v>
      </c>
      <c r="JC36" s="529">
        <f t="shared" si="196"/>
        <v>0</v>
      </c>
      <c r="JD36" s="527"/>
      <c r="JE36" s="528">
        <f t="shared" si="86"/>
        <v>0</v>
      </c>
      <c r="JF36" s="529">
        <f t="shared" si="197"/>
        <v>0</v>
      </c>
      <c r="JG36" s="527"/>
      <c r="JH36" s="528">
        <f t="shared" si="87"/>
        <v>0</v>
      </c>
      <c r="JI36" s="529">
        <f t="shared" si="198"/>
        <v>0</v>
      </c>
      <c r="JJ36" s="527">
        <v>19.846697430154652</v>
      </c>
      <c r="JK36" s="529" t="str">
        <f t="shared" si="88"/>
        <v>0</v>
      </c>
      <c r="JL36" s="529" t="str">
        <f t="shared" si="89"/>
        <v>0</v>
      </c>
      <c r="JM36" s="527"/>
      <c r="JN36" s="529" t="str">
        <f t="shared" si="90"/>
        <v>0</v>
      </c>
      <c r="JO36" s="529" t="str">
        <f t="shared" si="91"/>
        <v>0</v>
      </c>
      <c r="JP36" s="527"/>
      <c r="JQ36" s="529" t="str">
        <f t="shared" si="92"/>
        <v>0</v>
      </c>
      <c r="JR36" s="529" t="str">
        <f t="shared" si="93"/>
        <v>0</v>
      </c>
      <c r="JS36" s="527"/>
      <c r="JT36" s="529" t="str">
        <f t="shared" si="94"/>
        <v>0</v>
      </c>
      <c r="JU36" s="529" t="str">
        <f t="shared" si="95"/>
        <v>0</v>
      </c>
      <c r="JV36" s="527"/>
      <c r="JW36" s="529" t="str">
        <f t="shared" si="96"/>
        <v>0</v>
      </c>
      <c r="JX36" s="529" t="str">
        <f t="shared" si="97"/>
        <v>0</v>
      </c>
      <c r="JY36" s="527"/>
      <c r="JZ36" s="529" t="str">
        <f t="shared" si="98"/>
        <v>0</v>
      </c>
      <c r="KA36" s="529" t="str">
        <f t="shared" si="99"/>
        <v>0</v>
      </c>
      <c r="KB36" s="527"/>
      <c r="KC36" s="529" t="str">
        <f t="shared" si="100"/>
        <v>0</v>
      </c>
      <c r="KD36" s="529" t="str">
        <f t="shared" si="101"/>
        <v>0</v>
      </c>
      <c r="KE36" s="527"/>
      <c r="KF36" s="529" t="str">
        <f t="shared" si="102"/>
        <v>0</v>
      </c>
      <c r="KG36" s="529" t="str">
        <f t="shared" si="103"/>
        <v>0</v>
      </c>
      <c r="KH36" s="527"/>
      <c r="KI36" s="529" t="str">
        <f t="shared" si="104"/>
        <v>0</v>
      </c>
      <c r="KJ36" s="529" t="str">
        <f t="shared" si="105"/>
        <v>0</v>
      </c>
      <c r="KK36" s="527"/>
      <c r="KL36" s="529" t="str">
        <f t="shared" si="106"/>
        <v>0</v>
      </c>
      <c r="KM36" s="529" t="str">
        <f t="shared" si="107"/>
        <v>0</v>
      </c>
      <c r="KN36" s="527"/>
      <c r="KO36" s="529" t="str">
        <f t="shared" si="108"/>
        <v>0</v>
      </c>
      <c r="KP36" s="529" t="str">
        <f t="shared" si="109"/>
        <v>0</v>
      </c>
      <c r="KQ36" s="527"/>
      <c r="KR36" s="529" t="str">
        <f t="shared" si="110"/>
        <v>0</v>
      </c>
      <c r="KS36" s="529" t="str">
        <f t="shared" si="111"/>
        <v>0</v>
      </c>
      <c r="KT36" s="529">
        <f t="shared" si="201"/>
        <v>0</v>
      </c>
      <c r="KU36" s="529">
        <f t="shared" si="202"/>
        <v>0</v>
      </c>
      <c r="KV36" s="268">
        <f t="shared" si="199"/>
        <v>2007.5076529010291</v>
      </c>
    </row>
    <row r="37" spans="1:16384" ht="15" customHeight="1">
      <c r="A37" s="270">
        <f t="shared" si="200"/>
        <v>46110</v>
      </c>
      <c r="B37" s="271" t="str">
        <f>+Report1!B37</f>
        <v>Toilet</v>
      </c>
      <c r="C37" s="276">
        <f>+Report1!C37</f>
        <v>15.5</v>
      </c>
      <c r="D37" s="272">
        <f>+Report1!P37</f>
        <v>52.830799999999996</v>
      </c>
      <c r="E37" s="273">
        <f>+Report1!R37</f>
        <v>50.317</v>
      </c>
      <c r="F37" s="527"/>
      <c r="G37" s="528">
        <f t="shared" si="0"/>
        <v>0</v>
      </c>
      <c r="H37" s="529">
        <f t="shared" si="112"/>
        <v>0</v>
      </c>
      <c r="I37" s="527"/>
      <c r="J37" s="528">
        <f t="shared" si="1"/>
        <v>0</v>
      </c>
      <c r="K37" s="529">
        <f t="shared" si="113"/>
        <v>0</v>
      </c>
      <c r="L37" s="527"/>
      <c r="M37" s="528">
        <f t="shared" si="2"/>
        <v>0</v>
      </c>
      <c r="N37" s="529">
        <f t="shared" si="114"/>
        <v>0</v>
      </c>
      <c r="O37" s="527">
        <v>9.1291999999999973</v>
      </c>
      <c r="P37" s="528">
        <f t="shared" si="3"/>
        <v>0.18143371027684474</v>
      </c>
      <c r="Q37" s="529">
        <f t="shared" si="115"/>
        <v>0</v>
      </c>
      <c r="R37" s="527"/>
      <c r="S37" s="528">
        <f t="shared" si="4"/>
        <v>0</v>
      </c>
      <c r="T37" s="529">
        <f t="shared" si="116"/>
        <v>0</v>
      </c>
      <c r="U37" s="527">
        <v>3.893400000000014</v>
      </c>
      <c r="V37" s="528">
        <f t="shared" si="5"/>
        <v>7.7377427112109501E-2</v>
      </c>
      <c r="W37" s="529">
        <f t="shared" si="117"/>
        <v>0</v>
      </c>
      <c r="X37" s="527"/>
      <c r="Y37" s="528">
        <f t="shared" si="6"/>
        <v>0</v>
      </c>
      <c r="Z37" s="529">
        <f t="shared" si="118"/>
        <v>0</v>
      </c>
      <c r="AA37" s="527">
        <v>7.0312499999999929</v>
      </c>
      <c r="AB37" s="528">
        <f t="shared" si="7"/>
        <v>0.1397390543951347</v>
      </c>
      <c r="AC37" s="529">
        <f t="shared" si="119"/>
        <v>0</v>
      </c>
      <c r="AD37" s="527"/>
      <c r="AE37" s="528">
        <f t="shared" si="8"/>
        <v>0</v>
      </c>
      <c r="AF37" s="529">
        <f t="shared" si="120"/>
        <v>0</v>
      </c>
      <c r="AG37" s="527"/>
      <c r="AH37" s="528">
        <f t="shared" si="9"/>
        <v>0</v>
      </c>
      <c r="AI37" s="529">
        <f t="shared" si="121"/>
        <v>0</v>
      </c>
      <c r="AJ37" s="527">
        <v>14.895299999999992</v>
      </c>
      <c r="AK37" s="528">
        <f t="shared" si="10"/>
        <v>0.29602917503030768</v>
      </c>
      <c r="AL37" s="529">
        <f t="shared" si="122"/>
        <v>0</v>
      </c>
      <c r="AM37" s="527"/>
      <c r="AN37" s="528">
        <f t="shared" si="11"/>
        <v>0</v>
      </c>
      <c r="AO37" s="529">
        <f t="shared" si="123"/>
        <v>0</v>
      </c>
      <c r="AP37" s="527"/>
      <c r="AQ37" s="528">
        <f t="shared" si="12"/>
        <v>0</v>
      </c>
      <c r="AR37" s="529">
        <f t="shared" si="124"/>
        <v>0</v>
      </c>
      <c r="AS37" s="527"/>
      <c r="AT37" s="528">
        <f t="shared" si="13"/>
        <v>0</v>
      </c>
      <c r="AU37" s="529">
        <f t="shared" si="125"/>
        <v>0</v>
      </c>
      <c r="AV37" s="527"/>
      <c r="AW37" s="528">
        <f t="shared" si="14"/>
        <v>0</v>
      </c>
      <c r="AX37" s="529">
        <f t="shared" si="126"/>
        <v>0</v>
      </c>
      <c r="AY37" s="527"/>
      <c r="AZ37" s="528">
        <f t="shared" si="15"/>
        <v>0</v>
      </c>
      <c r="BA37" s="529">
        <f t="shared" si="127"/>
        <v>0</v>
      </c>
      <c r="BB37" s="527"/>
      <c r="BC37" s="528">
        <f t="shared" si="16"/>
        <v>0</v>
      </c>
      <c r="BD37" s="529">
        <f t="shared" si="128"/>
        <v>0</v>
      </c>
      <c r="BE37" s="527"/>
      <c r="BF37" s="528">
        <f t="shared" si="17"/>
        <v>0</v>
      </c>
      <c r="BG37" s="529">
        <f t="shared" si="129"/>
        <v>0</v>
      </c>
      <c r="BH37" s="527"/>
      <c r="BI37" s="528">
        <f t="shared" si="18"/>
        <v>0</v>
      </c>
      <c r="BJ37" s="529">
        <f t="shared" si="130"/>
        <v>0</v>
      </c>
      <c r="BK37" s="527"/>
      <c r="BL37" s="528">
        <f t="shared" si="19"/>
        <v>0</v>
      </c>
      <c r="BM37" s="529">
        <f t="shared" si="131"/>
        <v>0</v>
      </c>
      <c r="BN37" s="527"/>
      <c r="BO37" s="528">
        <f t="shared" si="20"/>
        <v>0</v>
      </c>
      <c r="BP37" s="529">
        <f t="shared" si="132"/>
        <v>0</v>
      </c>
      <c r="BQ37" s="527"/>
      <c r="BR37" s="528">
        <f t="shared" si="21"/>
        <v>0</v>
      </c>
      <c r="BS37" s="529">
        <f t="shared" si="133"/>
        <v>0</v>
      </c>
      <c r="BT37" s="527"/>
      <c r="BU37" s="528">
        <f t="shared" si="22"/>
        <v>0</v>
      </c>
      <c r="BV37" s="529">
        <f t="shared" si="134"/>
        <v>0</v>
      </c>
      <c r="BW37" s="527"/>
      <c r="BX37" s="528">
        <f t="shared" si="23"/>
        <v>0</v>
      </c>
      <c r="BY37" s="529">
        <f t="shared" si="135"/>
        <v>0</v>
      </c>
      <c r="BZ37" s="527"/>
      <c r="CA37" s="528">
        <f t="shared" si="24"/>
        <v>0</v>
      </c>
      <c r="CB37" s="529">
        <f t="shared" si="136"/>
        <v>0</v>
      </c>
      <c r="CC37" s="527"/>
      <c r="CD37" s="528">
        <f t="shared" si="25"/>
        <v>0</v>
      </c>
      <c r="CE37" s="529">
        <f t="shared" si="137"/>
        <v>0</v>
      </c>
      <c r="CF37" s="527">
        <v>6</v>
      </c>
      <c r="CG37" s="528">
        <f t="shared" si="26"/>
        <v>0.11924399308384841</v>
      </c>
      <c r="CH37" s="529">
        <f t="shared" si="138"/>
        <v>0</v>
      </c>
      <c r="CI37" s="527"/>
      <c r="CJ37" s="528">
        <f t="shared" si="27"/>
        <v>0</v>
      </c>
      <c r="CK37" s="529">
        <f t="shared" si="139"/>
        <v>0</v>
      </c>
      <c r="CL37" s="527"/>
      <c r="CM37" s="528">
        <f t="shared" si="28"/>
        <v>0</v>
      </c>
      <c r="CN37" s="529">
        <f t="shared" si="140"/>
        <v>0</v>
      </c>
      <c r="CO37" s="527"/>
      <c r="CP37" s="528">
        <f t="shared" si="29"/>
        <v>0</v>
      </c>
      <c r="CQ37" s="529">
        <f t="shared" si="141"/>
        <v>0</v>
      </c>
      <c r="CR37" s="527"/>
      <c r="CS37" s="528">
        <f t="shared" si="30"/>
        <v>0</v>
      </c>
      <c r="CT37" s="529">
        <f t="shared" si="142"/>
        <v>0</v>
      </c>
      <c r="CU37" s="527"/>
      <c r="CV37" s="528">
        <f t="shared" si="31"/>
        <v>0</v>
      </c>
      <c r="CW37" s="529">
        <f t="shared" si="143"/>
        <v>0</v>
      </c>
      <c r="CX37" s="527"/>
      <c r="CY37" s="528">
        <f t="shared" si="32"/>
        <v>0</v>
      </c>
      <c r="CZ37" s="529">
        <f t="shared" si="144"/>
        <v>0</v>
      </c>
      <c r="DA37" s="527">
        <v>221.02800000000002</v>
      </c>
      <c r="DB37" s="528">
        <f t="shared" si="33"/>
        <v>4.3927102172228079</v>
      </c>
      <c r="DC37" s="529">
        <f t="shared" si="145"/>
        <v>0</v>
      </c>
      <c r="DD37" s="527"/>
      <c r="DE37" s="528">
        <f t="shared" si="34"/>
        <v>0</v>
      </c>
      <c r="DF37" s="529">
        <f t="shared" si="146"/>
        <v>0</v>
      </c>
      <c r="DG37" s="527"/>
      <c r="DH37" s="528">
        <f t="shared" si="35"/>
        <v>0</v>
      </c>
      <c r="DI37" s="529">
        <f t="shared" si="203"/>
        <v>0</v>
      </c>
      <c r="DJ37" s="527"/>
      <c r="DK37" s="528">
        <f t="shared" si="36"/>
        <v>0</v>
      </c>
      <c r="DL37" s="529">
        <f t="shared" si="147"/>
        <v>0</v>
      </c>
      <c r="DM37" s="527"/>
      <c r="DN37" s="528">
        <f t="shared" si="37"/>
        <v>0</v>
      </c>
      <c r="DO37" s="529">
        <f t="shared" si="148"/>
        <v>0</v>
      </c>
      <c r="DP37" s="527"/>
      <c r="DQ37" s="528">
        <f t="shared" si="38"/>
        <v>0</v>
      </c>
      <c r="DR37" s="529">
        <f t="shared" si="149"/>
        <v>0</v>
      </c>
      <c r="DS37" s="527"/>
      <c r="DT37" s="528">
        <f t="shared" si="39"/>
        <v>0</v>
      </c>
      <c r="DU37" s="529">
        <f t="shared" si="150"/>
        <v>0</v>
      </c>
      <c r="DV37" s="527"/>
      <c r="DW37" s="528">
        <f t="shared" si="40"/>
        <v>0</v>
      </c>
      <c r="DX37" s="529">
        <f t="shared" si="151"/>
        <v>0</v>
      </c>
      <c r="DY37" s="527"/>
      <c r="DZ37" s="528">
        <f t="shared" si="41"/>
        <v>0</v>
      </c>
      <c r="EA37" s="529">
        <f t="shared" si="152"/>
        <v>0</v>
      </c>
      <c r="EB37" s="527"/>
      <c r="EC37" s="528">
        <f t="shared" si="42"/>
        <v>0</v>
      </c>
      <c r="ED37" s="529">
        <f t="shared" si="153"/>
        <v>0</v>
      </c>
      <c r="EE37" s="527">
        <v>14.534883720930225</v>
      </c>
      <c r="EF37" s="528">
        <f t="shared" si="43"/>
        <v>0.28886626231552409</v>
      </c>
      <c r="EG37" s="529">
        <f t="shared" si="154"/>
        <v>0</v>
      </c>
      <c r="EH37" s="527">
        <v>226.15000000000009</v>
      </c>
      <c r="EI37" s="528">
        <f t="shared" si="44"/>
        <v>4.4945048393187212</v>
      </c>
      <c r="EJ37" s="529">
        <f t="shared" si="155"/>
        <v>0</v>
      </c>
      <c r="EK37" s="527">
        <v>1</v>
      </c>
      <c r="EL37" s="528">
        <f t="shared" si="45"/>
        <v>1.9873998847308068E-2</v>
      </c>
      <c r="EM37" s="529">
        <f t="shared" si="156"/>
        <v>0</v>
      </c>
      <c r="EN37" s="527">
        <v>37.085685000000012</v>
      </c>
      <c r="EO37" s="528">
        <f t="shared" si="46"/>
        <v>0.73704086094163035</v>
      </c>
      <c r="EP37" s="529">
        <f t="shared" si="157"/>
        <v>0</v>
      </c>
      <c r="EQ37" s="527">
        <v>50.098999999999933</v>
      </c>
      <c r="ER37" s="528">
        <f t="shared" si="47"/>
        <v>0.99566746825128549</v>
      </c>
      <c r="ES37" s="529">
        <f t="shared" si="158"/>
        <v>0</v>
      </c>
      <c r="ET37" s="527"/>
      <c r="EU37" s="528">
        <f t="shared" si="48"/>
        <v>0</v>
      </c>
      <c r="EV37" s="529">
        <f t="shared" si="159"/>
        <v>0</v>
      </c>
      <c r="EW37" s="527"/>
      <c r="EX37" s="528">
        <f t="shared" si="49"/>
        <v>0</v>
      </c>
      <c r="EY37" s="529">
        <f t="shared" si="160"/>
        <v>0</v>
      </c>
      <c r="EZ37" s="527"/>
      <c r="FA37" s="528">
        <f t="shared" si="50"/>
        <v>0</v>
      </c>
      <c r="FB37" s="529">
        <f t="shared" si="161"/>
        <v>0</v>
      </c>
      <c r="FC37" s="527"/>
      <c r="FD37" s="528">
        <f t="shared" si="51"/>
        <v>0</v>
      </c>
      <c r="FE37" s="529">
        <f t="shared" si="162"/>
        <v>0</v>
      </c>
      <c r="FF37" s="527"/>
      <c r="FG37" s="528">
        <f t="shared" si="52"/>
        <v>0</v>
      </c>
      <c r="FH37" s="529">
        <f t="shared" si="163"/>
        <v>0</v>
      </c>
      <c r="FI37" s="527"/>
      <c r="FJ37" s="528">
        <f t="shared" si="53"/>
        <v>0</v>
      </c>
      <c r="FK37" s="529">
        <f t="shared" si="164"/>
        <v>0</v>
      </c>
      <c r="FL37" s="527"/>
      <c r="FM37" s="528">
        <f t="shared" si="54"/>
        <v>0</v>
      </c>
      <c r="FN37" s="529">
        <f t="shared" si="165"/>
        <v>0</v>
      </c>
      <c r="FO37" s="527"/>
      <c r="FP37" s="528">
        <f t="shared" si="55"/>
        <v>0</v>
      </c>
      <c r="FQ37" s="529">
        <f t="shared" si="166"/>
        <v>0</v>
      </c>
      <c r="FR37" s="527"/>
      <c r="FS37" s="528">
        <f t="shared" si="56"/>
        <v>0</v>
      </c>
      <c r="FT37" s="529">
        <f t="shared" si="167"/>
        <v>0</v>
      </c>
      <c r="FU37" s="527"/>
      <c r="FV37" s="528">
        <f t="shared" si="57"/>
        <v>0</v>
      </c>
      <c r="FW37" s="529">
        <f t="shared" si="168"/>
        <v>0</v>
      </c>
      <c r="FX37" s="527"/>
      <c r="FY37" s="528">
        <f t="shared" si="58"/>
        <v>0</v>
      </c>
      <c r="FZ37" s="529">
        <f t="shared" si="169"/>
        <v>0</v>
      </c>
      <c r="GA37" s="527"/>
      <c r="GB37" s="528">
        <f t="shared" si="59"/>
        <v>0</v>
      </c>
      <c r="GC37" s="529">
        <f t="shared" si="170"/>
        <v>0</v>
      </c>
      <c r="GD37" s="527"/>
      <c r="GE37" s="528">
        <f t="shared" si="60"/>
        <v>0</v>
      </c>
      <c r="GF37" s="529">
        <f t="shared" si="171"/>
        <v>0</v>
      </c>
      <c r="GG37" s="527">
        <v>15.256406554120005</v>
      </c>
      <c r="GH37" s="528">
        <f t="shared" si="61"/>
        <v>0.3032058062706442</v>
      </c>
      <c r="GI37" s="529">
        <f t="shared" si="172"/>
        <v>0</v>
      </c>
      <c r="GJ37" s="527">
        <v>10.17093770274667</v>
      </c>
      <c r="GK37" s="528">
        <f t="shared" si="252"/>
        <v>0.20213720418042949</v>
      </c>
      <c r="GL37" s="529">
        <f t="shared" si="253"/>
        <v>0</v>
      </c>
      <c r="GM37" s="527"/>
      <c r="GN37" s="528">
        <f t="shared" si="254"/>
        <v>0</v>
      </c>
      <c r="GO37" s="529">
        <f t="shared" si="255"/>
        <v>0</v>
      </c>
      <c r="GP37" s="527">
        <v>40.68375081098668</v>
      </c>
      <c r="GQ37" s="528">
        <f t="shared" si="256"/>
        <v>0.80854881672171797</v>
      </c>
      <c r="GR37" s="529">
        <f t="shared" si="257"/>
        <v>0</v>
      </c>
      <c r="GS37" s="527">
        <v>320.38453763652012</v>
      </c>
      <c r="GT37" s="528">
        <f t="shared" si="258"/>
        <v>6.367321931683529</v>
      </c>
      <c r="GU37" s="529">
        <f t="shared" si="259"/>
        <v>0</v>
      </c>
      <c r="GV37" s="527">
        <v>76.282032770600026</v>
      </c>
      <c r="GW37" s="528">
        <f t="shared" si="260"/>
        <v>1.516029031353221</v>
      </c>
      <c r="GX37" s="529">
        <f t="shared" si="261"/>
        <v>0</v>
      </c>
      <c r="GY37" s="527"/>
      <c r="GZ37" s="528">
        <f t="shared" si="67"/>
        <v>0</v>
      </c>
      <c r="HA37" s="529">
        <f t="shared" si="178"/>
        <v>0</v>
      </c>
      <c r="HB37" s="527"/>
      <c r="HC37" s="528">
        <f t="shared" si="68"/>
        <v>0</v>
      </c>
      <c r="HD37" s="529">
        <f t="shared" si="179"/>
        <v>0</v>
      </c>
      <c r="HE37" s="527"/>
      <c r="HF37" s="528">
        <f t="shared" si="69"/>
        <v>0</v>
      </c>
      <c r="HG37" s="529">
        <f t="shared" si="180"/>
        <v>0</v>
      </c>
      <c r="HH37" s="527"/>
      <c r="HI37" s="528">
        <f t="shared" si="70"/>
        <v>0</v>
      </c>
      <c r="HJ37" s="529">
        <f t="shared" si="181"/>
        <v>0</v>
      </c>
      <c r="HK37" s="527"/>
      <c r="HL37" s="528">
        <f t="shared" si="71"/>
        <v>0</v>
      </c>
      <c r="HM37" s="529">
        <f t="shared" si="182"/>
        <v>0</v>
      </c>
      <c r="HN37" s="527">
        <v>927.58951849049629</v>
      </c>
      <c r="HO37" s="528">
        <f t="shared" si="72"/>
        <v>18.434913021255166</v>
      </c>
      <c r="HP37" s="529">
        <f t="shared" si="183"/>
        <v>0</v>
      </c>
      <c r="HQ37" s="527"/>
      <c r="HR37" s="528">
        <f t="shared" si="73"/>
        <v>0</v>
      </c>
      <c r="HS37" s="529">
        <f t="shared" si="184"/>
        <v>0</v>
      </c>
      <c r="HT37" s="527"/>
      <c r="HU37" s="528">
        <f t="shared" si="74"/>
        <v>0</v>
      </c>
      <c r="HV37" s="529">
        <f t="shared" si="185"/>
        <v>0</v>
      </c>
      <c r="HW37" s="527"/>
      <c r="HX37" s="528">
        <f t="shared" si="75"/>
        <v>0</v>
      </c>
      <c r="HY37" s="529">
        <f t="shared" si="186"/>
        <v>0</v>
      </c>
      <c r="HZ37" s="527"/>
      <c r="IA37" s="528">
        <f t="shared" si="76"/>
        <v>0</v>
      </c>
      <c r="IB37" s="529">
        <f t="shared" si="187"/>
        <v>0</v>
      </c>
      <c r="IC37" s="527"/>
      <c r="ID37" s="528">
        <f t="shared" si="77"/>
        <v>0</v>
      </c>
      <c r="IE37" s="529">
        <f t="shared" si="188"/>
        <v>0</v>
      </c>
      <c r="IF37" s="527"/>
      <c r="IG37" s="528">
        <f t="shared" si="78"/>
        <v>0</v>
      </c>
      <c r="IH37" s="529">
        <f t="shared" si="189"/>
        <v>0</v>
      </c>
      <c r="II37" s="527">
        <v>25.427344256866675</v>
      </c>
      <c r="IJ37" s="528">
        <f t="shared" si="79"/>
        <v>0.50534301045107366</v>
      </c>
      <c r="IK37" s="529">
        <f t="shared" si="190"/>
        <v>0</v>
      </c>
      <c r="IL37" s="527"/>
      <c r="IM37" s="528">
        <f t="shared" si="80"/>
        <v>0</v>
      </c>
      <c r="IN37" s="529">
        <f t="shared" si="191"/>
        <v>0</v>
      </c>
      <c r="IO37" s="527"/>
      <c r="IP37" s="528">
        <f t="shared" si="81"/>
        <v>0</v>
      </c>
      <c r="IQ37" s="529">
        <f t="shared" si="192"/>
        <v>0</v>
      </c>
      <c r="IR37" s="527">
        <v>45.769219662360015</v>
      </c>
      <c r="IS37" s="528">
        <f t="shared" si="82"/>
        <v>0.9096174188119327</v>
      </c>
      <c r="IT37" s="529">
        <f t="shared" si="193"/>
        <v>0</v>
      </c>
      <c r="IU37" s="527"/>
      <c r="IV37" s="528">
        <f t="shared" si="83"/>
        <v>0</v>
      </c>
      <c r="IW37" s="529">
        <f t="shared" si="194"/>
        <v>0</v>
      </c>
      <c r="IX37" s="527"/>
      <c r="IY37" s="528">
        <f t="shared" si="84"/>
        <v>0</v>
      </c>
      <c r="IZ37" s="529">
        <f t="shared" si="195"/>
        <v>0</v>
      </c>
      <c r="JA37" s="527"/>
      <c r="JB37" s="528">
        <f t="shared" si="85"/>
        <v>0</v>
      </c>
      <c r="JC37" s="529">
        <f t="shared" si="196"/>
        <v>0</v>
      </c>
      <c r="JD37" s="527"/>
      <c r="JE37" s="528">
        <f t="shared" si="86"/>
        <v>0</v>
      </c>
      <c r="JF37" s="529">
        <f t="shared" si="197"/>
        <v>0</v>
      </c>
      <c r="JG37" s="527"/>
      <c r="JH37" s="528">
        <f t="shared" si="87"/>
        <v>0</v>
      </c>
      <c r="JI37" s="529">
        <f t="shared" si="198"/>
        <v>0</v>
      </c>
      <c r="JJ37" s="527">
        <v>12.713672128433338</v>
      </c>
      <c r="JK37" s="529" t="str">
        <f t="shared" si="88"/>
        <v>0</v>
      </c>
      <c r="JL37" s="529" t="str">
        <f t="shared" si="89"/>
        <v>0</v>
      </c>
      <c r="JM37" s="527"/>
      <c r="JN37" s="529" t="str">
        <f t="shared" si="90"/>
        <v>0</v>
      </c>
      <c r="JO37" s="529" t="str">
        <f t="shared" si="91"/>
        <v>0</v>
      </c>
      <c r="JP37" s="527"/>
      <c r="JQ37" s="529" t="str">
        <f t="shared" si="92"/>
        <v>0</v>
      </c>
      <c r="JR37" s="529" t="str">
        <f t="shared" si="93"/>
        <v>0</v>
      </c>
      <c r="JS37" s="527"/>
      <c r="JT37" s="529" t="str">
        <f t="shared" si="94"/>
        <v>0</v>
      </c>
      <c r="JU37" s="529" t="str">
        <f t="shared" si="95"/>
        <v>0</v>
      </c>
      <c r="JV37" s="527"/>
      <c r="JW37" s="529" t="str">
        <f t="shared" si="96"/>
        <v>0</v>
      </c>
      <c r="JX37" s="529" t="str">
        <f t="shared" si="97"/>
        <v>0</v>
      </c>
      <c r="JY37" s="527"/>
      <c r="JZ37" s="529" t="str">
        <f t="shared" si="98"/>
        <v>0</v>
      </c>
      <c r="KA37" s="529" t="str">
        <f t="shared" si="99"/>
        <v>0</v>
      </c>
      <c r="KB37" s="527"/>
      <c r="KC37" s="529" t="str">
        <f t="shared" si="100"/>
        <v>0</v>
      </c>
      <c r="KD37" s="529" t="str">
        <f t="shared" si="101"/>
        <v>0</v>
      </c>
      <c r="KE37" s="527"/>
      <c r="KF37" s="529" t="str">
        <f t="shared" si="102"/>
        <v>0</v>
      </c>
      <c r="KG37" s="529" t="str">
        <f t="shared" si="103"/>
        <v>0</v>
      </c>
      <c r="KH37" s="527"/>
      <c r="KI37" s="529" t="str">
        <f t="shared" si="104"/>
        <v>0</v>
      </c>
      <c r="KJ37" s="529" t="str">
        <f t="shared" si="105"/>
        <v>0</v>
      </c>
      <c r="KK37" s="527"/>
      <c r="KL37" s="529" t="str">
        <f t="shared" si="106"/>
        <v>0</v>
      </c>
      <c r="KM37" s="529" t="str">
        <f t="shared" si="107"/>
        <v>0</v>
      </c>
      <c r="KN37" s="527"/>
      <c r="KO37" s="529" t="str">
        <f t="shared" si="108"/>
        <v>0</v>
      </c>
      <c r="KP37" s="529" t="str">
        <f t="shared" si="109"/>
        <v>0</v>
      </c>
      <c r="KQ37" s="527"/>
      <c r="KR37" s="529" t="str">
        <f t="shared" si="110"/>
        <v>0</v>
      </c>
      <c r="KS37" s="529" t="str">
        <f t="shared" si="111"/>
        <v>0</v>
      </c>
      <c r="KT37" s="529">
        <f t="shared" si="201"/>
        <v>0</v>
      </c>
      <c r="KU37" s="529">
        <f t="shared" si="202"/>
        <v>0</v>
      </c>
      <c r="KV37" s="268">
        <f t="shared" si="199"/>
        <v>2065.1241387340597</v>
      </c>
    </row>
    <row r="38" spans="1:16384" ht="15" customHeight="1">
      <c r="A38" s="270">
        <f t="shared" si="200"/>
        <v>46111</v>
      </c>
      <c r="B38" s="271" t="str">
        <f>+Report1!B38</f>
        <v>Toilet</v>
      </c>
      <c r="C38" s="276">
        <f>+Report1!C38</f>
        <v>15.5</v>
      </c>
      <c r="D38" s="272">
        <f>+Report1!P38</f>
        <v>47.233000000000004</v>
      </c>
      <c r="E38" s="273">
        <f>+Report1!R38</f>
        <v>45.555</v>
      </c>
      <c r="F38" s="527"/>
      <c r="G38" s="528">
        <f t="shared" si="0"/>
        <v>0</v>
      </c>
      <c r="H38" s="529">
        <f t="shared" si="112"/>
        <v>0</v>
      </c>
      <c r="I38" s="527"/>
      <c r="J38" s="528">
        <f t="shared" si="1"/>
        <v>0</v>
      </c>
      <c r="K38" s="529">
        <f t="shared" si="113"/>
        <v>0</v>
      </c>
      <c r="L38" s="527"/>
      <c r="M38" s="528">
        <f t="shared" si="2"/>
        <v>0</v>
      </c>
      <c r="N38" s="529">
        <f t="shared" si="114"/>
        <v>0</v>
      </c>
      <c r="O38" s="527">
        <v>9</v>
      </c>
      <c r="P38" s="528">
        <f t="shared" si="3"/>
        <v>0.19756338491932829</v>
      </c>
      <c r="Q38" s="529">
        <f t="shared" si="115"/>
        <v>0</v>
      </c>
      <c r="R38" s="527"/>
      <c r="S38" s="528">
        <f t="shared" si="4"/>
        <v>0</v>
      </c>
      <c r="T38" s="529">
        <f t="shared" si="116"/>
        <v>0</v>
      </c>
      <c r="U38" s="527">
        <v>5.1222999999999956</v>
      </c>
      <c r="V38" s="528">
        <f t="shared" si="5"/>
        <v>0.11244210295247493</v>
      </c>
      <c r="W38" s="529">
        <f t="shared" si="117"/>
        <v>0</v>
      </c>
      <c r="X38" s="527"/>
      <c r="Y38" s="528">
        <f t="shared" si="6"/>
        <v>0</v>
      </c>
      <c r="Z38" s="529">
        <f t="shared" si="118"/>
        <v>0</v>
      </c>
      <c r="AA38" s="527">
        <v>10.937500000000007</v>
      </c>
      <c r="AB38" s="528">
        <f t="shared" si="7"/>
        <v>0.24009439139501718</v>
      </c>
      <c r="AC38" s="529">
        <f t="shared" si="119"/>
        <v>0</v>
      </c>
      <c r="AD38" s="527"/>
      <c r="AE38" s="528">
        <f t="shared" si="8"/>
        <v>0</v>
      </c>
      <c r="AF38" s="529">
        <f t="shared" si="120"/>
        <v>0</v>
      </c>
      <c r="AG38" s="527"/>
      <c r="AH38" s="528">
        <f t="shared" si="9"/>
        <v>0</v>
      </c>
      <c r="AI38" s="529">
        <f t="shared" si="121"/>
        <v>0</v>
      </c>
      <c r="AJ38" s="527">
        <v>11.751000000000019</v>
      </c>
      <c r="AK38" s="528">
        <f t="shared" si="10"/>
        <v>0.25795192624300339</v>
      </c>
      <c r="AL38" s="529">
        <f t="shared" si="122"/>
        <v>0</v>
      </c>
      <c r="AM38" s="527"/>
      <c r="AN38" s="528">
        <f t="shared" si="11"/>
        <v>0</v>
      </c>
      <c r="AO38" s="529">
        <f t="shared" si="123"/>
        <v>0</v>
      </c>
      <c r="AP38" s="527"/>
      <c r="AQ38" s="528">
        <f t="shared" si="12"/>
        <v>0</v>
      </c>
      <c r="AR38" s="529">
        <f t="shared" si="124"/>
        <v>0</v>
      </c>
      <c r="AS38" s="527"/>
      <c r="AT38" s="528">
        <f t="shared" si="13"/>
        <v>0</v>
      </c>
      <c r="AU38" s="529">
        <f t="shared" si="125"/>
        <v>0</v>
      </c>
      <c r="AV38" s="527"/>
      <c r="AW38" s="528">
        <f t="shared" si="14"/>
        <v>0</v>
      </c>
      <c r="AX38" s="529">
        <f t="shared" si="126"/>
        <v>0</v>
      </c>
      <c r="AY38" s="527"/>
      <c r="AZ38" s="528">
        <f t="shared" si="15"/>
        <v>0</v>
      </c>
      <c r="BA38" s="529">
        <f t="shared" si="127"/>
        <v>0</v>
      </c>
      <c r="BB38" s="527"/>
      <c r="BC38" s="528">
        <f t="shared" si="16"/>
        <v>0</v>
      </c>
      <c r="BD38" s="529">
        <f t="shared" si="128"/>
        <v>0</v>
      </c>
      <c r="BE38" s="527"/>
      <c r="BF38" s="528">
        <f t="shared" si="17"/>
        <v>0</v>
      </c>
      <c r="BG38" s="529">
        <f t="shared" si="129"/>
        <v>0</v>
      </c>
      <c r="BH38" s="527"/>
      <c r="BI38" s="528">
        <f t="shared" si="18"/>
        <v>0</v>
      </c>
      <c r="BJ38" s="529">
        <f t="shared" si="130"/>
        <v>0</v>
      </c>
      <c r="BK38" s="527"/>
      <c r="BL38" s="528">
        <f t="shared" si="19"/>
        <v>0</v>
      </c>
      <c r="BM38" s="529">
        <f t="shared" si="131"/>
        <v>0</v>
      </c>
      <c r="BN38" s="527"/>
      <c r="BO38" s="528">
        <f t="shared" si="20"/>
        <v>0</v>
      </c>
      <c r="BP38" s="529">
        <f t="shared" si="132"/>
        <v>0</v>
      </c>
      <c r="BQ38" s="527"/>
      <c r="BR38" s="528">
        <f t="shared" si="21"/>
        <v>0</v>
      </c>
      <c r="BS38" s="529">
        <f t="shared" si="133"/>
        <v>0</v>
      </c>
      <c r="BT38" s="527"/>
      <c r="BU38" s="528">
        <f t="shared" si="22"/>
        <v>0</v>
      </c>
      <c r="BV38" s="529">
        <f t="shared" si="134"/>
        <v>0</v>
      </c>
      <c r="BW38" s="527"/>
      <c r="BX38" s="528">
        <f t="shared" si="23"/>
        <v>0</v>
      </c>
      <c r="BY38" s="529">
        <f t="shared" si="135"/>
        <v>0</v>
      </c>
      <c r="BZ38" s="527"/>
      <c r="CA38" s="528">
        <f t="shared" si="24"/>
        <v>0</v>
      </c>
      <c r="CB38" s="529">
        <f t="shared" si="136"/>
        <v>0</v>
      </c>
      <c r="CC38" s="527"/>
      <c r="CD38" s="528">
        <f t="shared" si="25"/>
        <v>0</v>
      </c>
      <c r="CE38" s="529">
        <f t="shared" si="137"/>
        <v>0</v>
      </c>
      <c r="CF38" s="527">
        <v>6</v>
      </c>
      <c r="CG38" s="528">
        <f t="shared" si="26"/>
        <v>0.13170892327955219</v>
      </c>
      <c r="CH38" s="529">
        <f t="shared" si="138"/>
        <v>0</v>
      </c>
      <c r="CI38" s="527"/>
      <c r="CJ38" s="528">
        <f t="shared" si="27"/>
        <v>0</v>
      </c>
      <c r="CK38" s="529">
        <f t="shared" si="139"/>
        <v>0</v>
      </c>
      <c r="CL38" s="527"/>
      <c r="CM38" s="528">
        <f t="shared" si="28"/>
        <v>0</v>
      </c>
      <c r="CN38" s="529">
        <f t="shared" si="140"/>
        <v>0</v>
      </c>
      <c r="CO38" s="527"/>
      <c r="CP38" s="528">
        <f t="shared" si="29"/>
        <v>0</v>
      </c>
      <c r="CQ38" s="529">
        <f t="shared" si="141"/>
        <v>0</v>
      </c>
      <c r="CR38" s="527"/>
      <c r="CS38" s="528">
        <f t="shared" si="30"/>
        <v>0</v>
      </c>
      <c r="CT38" s="529">
        <f t="shared" si="142"/>
        <v>0</v>
      </c>
      <c r="CU38" s="527"/>
      <c r="CV38" s="528">
        <f t="shared" si="31"/>
        <v>0</v>
      </c>
      <c r="CW38" s="529">
        <f t="shared" si="143"/>
        <v>0</v>
      </c>
      <c r="CX38" s="527"/>
      <c r="CY38" s="528">
        <f t="shared" si="32"/>
        <v>0</v>
      </c>
      <c r="CZ38" s="529">
        <f t="shared" si="144"/>
        <v>0</v>
      </c>
      <c r="DA38" s="527">
        <v>218.02139534883736</v>
      </c>
      <c r="DB38" s="528">
        <f t="shared" si="33"/>
        <v>4.7858938722168229</v>
      </c>
      <c r="DC38" s="529">
        <f t="shared" si="145"/>
        <v>0</v>
      </c>
      <c r="DD38" s="527"/>
      <c r="DE38" s="528">
        <f t="shared" si="34"/>
        <v>0</v>
      </c>
      <c r="DF38" s="529">
        <f t="shared" si="146"/>
        <v>0</v>
      </c>
      <c r="DG38" s="527"/>
      <c r="DH38" s="528">
        <f t="shared" si="35"/>
        <v>0</v>
      </c>
      <c r="DI38" s="529">
        <f t="shared" si="203"/>
        <v>0</v>
      </c>
      <c r="DJ38" s="527"/>
      <c r="DK38" s="528">
        <f t="shared" si="36"/>
        <v>0</v>
      </c>
      <c r="DL38" s="529">
        <f t="shared" si="147"/>
        <v>0</v>
      </c>
      <c r="DM38" s="527"/>
      <c r="DN38" s="528">
        <f t="shared" si="37"/>
        <v>0</v>
      </c>
      <c r="DO38" s="529">
        <f t="shared" si="148"/>
        <v>0</v>
      </c>
      <c r="DP38" s="527"/>
      <c r="DQ38" s="528">
        <f t="shared" si="38"/>
        <v>0</v>
      </c>
      <c r="DR38" s="529">
        <f t="shared" si="149"/>
        <v>0</v>
      </c>
      <c r="DS38" s="527"/>
      <c r="DT38" s="528">
        <f t="shared" si="39"/>
        <v>0</v>
      </c>
      <c r="DU38" s="529">
        <f t="shared" si="150"/>
        <v>0</v>
      </c>
      <c r="DV38" s="527"/>
      <c r="DW38" s="528">
        <f t="shared" si="40"/>
        <v>0</v>
      </c>
      <c r="DX38" s="529">
        <f t="shared" si="151"/>
        <v>0</v>
      </c>
      <c r="DY38" s="527"/>
      <c r="DZ38" s="528">
        <f t="shared" si="41"/>
        <v>0</v>
      </c>
      <c r="EA38" s="529">
        <f t="shared" si="152"/>
        <v>0</v>
      </c>
      <c r="EB38" s="527"/>
      <c r="EC38" s="528">
        <f t="shared" si="42"/>
        <v>0</v>
      </c>
      <c r="ED38" s="529">
        <f t="shared" si="153"/>
        <v>0</v>
      </c>
      <c r="EE38" s="527">
        <v>21.802325581395337</v>
      </c>
      <c r="EF38" s="528">
        <f t="shared" si="43"/>
        <v>0.47859347121930274</v>
      </c>
      <c r="EG38" s="529">
        <f t="shared" si="154"/>
        <v>0</v>
      </c>
      <c r="EH38" s="527">
        <v>211.3458823529412</v>
      </c>
      <c r="EI38" s="528">
        <f t="shared" si="44"/>
        <v>4.6393564340454656</v>
      </c>
      <c r="EJ38" s="529">
        <f t="shared" si="155"/>
        <v>0</v>
      </c>
      <c r="EK38" s="527"/>
      <c r="EL38" s="528">
        <f t="shared" si="45"/>
        <v>0</v>
      </c>
      <c r="EM38" s="529">
        <f t="shared" si="156"/>
        <v>0</v>
      </c>
      <c r="EN38" s="527">
        <v>30.487607804878053</v>
      </c>
      <c r="EO38" s="528">
        <f t="shared" si="46"/>
        <v>0.66924833289162666</v>
      </c>
      <c r="EP38" s="529">
        <f t="shared" si="157"/>
        <v>0</v>
      </c>
      <c r="EQ38" s="527">
        <v>44.474569767441949</v>
      </c>
      <c r="ER38" s="528">
        <f t="shared" si="47"/>
        <v>0.9762829495651838</v>
      </c>
      <c r="ES38" s="529">
        <f t="shared" si="158"/>
        <v>0</v>
      </c>
      <c r="ET38" s="527"/>
      <c r="EU38" s="528">
        <f t="shared" si="48"/>
        <v>0</v>
      </c>
      <c r="EV38" s="529">
        <f t="shared" si="159"/>
        <v>0</v>
      </c>
      <c r="EW38" s="527"/>
      <c r="EX38" s="528">
        <f t="shared" si="49"/>
        <v>0</v>
      </c>
      <c r="EY38" s="529">
        <f t="shared" si="160"/>
        <v>0</v>
      </c>
      <c r="EZ38" s="527"/>
      <c r="FA38" s="528">
        <f t="shared" si="50"/>
        <v>0</v>
      </c>
      <c r="FB38" s="529">
        <f t="shared" si="161"/>
        <v>0</v>
      </c>
      <c r="FC38" s="527"/>
      <c r="FD38" s="528">
        <f t="shared" si="51"/>
        <v>0</v>
      </c>
      <c r="FE38" s="529">
        <f t="shared" si="162"/>
        <v>0</v>
      </c>
      <c r="FF38" s="527"/>
      <c r="FG38" s="528">
        <f t="shared" si="52"/>
        <v>0</v>
      </c>
      <c r="FH38" s="529">
        <f t="shared" si="163"/>
        <v>0</v>
      </c>
      <c r="FI38" s="527"/>
      <c r="FJ38" s="528">
        <f t="shared" si="53"/>
        <v>0</v>
      </c>
      <c r="FK38" s="529">
        <f t="shared" si="164"/>
        <v>0</v>
      </c>
      <c r="FL38" s="527"/>
      <c r="FM38" s="528">
        <f t="shared" si="54"/>
        <v>0</v>
      </c>
      <c r="FN38" s="529">
        <f t="shared" si="165"/>
        <v>0</v>
      </c>
      <c r="FO38" s="527"/>
      <c r="FP38" s="528">
        <f t="shared" si="55"/>
        <v>0</v>
      </c>
      <c r="FQ38" s="529">
        <f t="shared" si="166"/>
        <v>0</v>
      </c>
      <c r="FR38" s="527"/>
      <c r="FS38" s="528">
        <f t="shared" si="56"/>
        <v>0</v>
      </c>
      <c r="FT38" s="529">
        <f t="shared" si="167"/>
        <v>0</v>
      </c>
      <c r="FU38" s="527"/>
      <c r="FV38" s="528">
        <f t="shared" si="57"/>
        <v>0</v>
      </c>
      <c r="FW38" s="529">
        <f t="shared" si="168"/>
        <v>0</v>
      </c>
      <c r="FX38" s="527"/>
      <c r="FY38" s="528">
        <f t="shared" si="58"/>
        <v>0</v>
      </c>
      <c r="FZ38" s="529">
        <f t="shared" si="169"/>
        <v>0</v>
      </c>
      <c r="GA38" s="527"/>
      <c r="GB38" s="528">
        <f t="shared" si="59"/>
        <v>0</v>
      </c>
      <c r="GC38" s="529">
        <f t="shared" si="170"/>
        <v>0</v>
      </c>
      <c r="GD38" s="527"/>
      <c r="GE38" s="528">
        <f t="shared" si="60"/>
        <v>0</v>
      </c>
      <c r="GF38" s="529">
        <f t="shared" si="171"/>
        <v>0</v>
      </c>
      <c r="GG38" s="527">
        <v>9.6890192619335771</v>
      </c>
      <c r="GH38" s="528">
        <f t="shared" si="61"/>
        <v>0.21268838243735214</v>
      </c>
      <c r="GI38" s="529">
        <f t="shared" si="172"/>
        <v>0</v>
      </c>
      <c r="GJ38" s="527">
        <v>9.6890192619335771</v>
      </c>
      <c r="GK38" s="528">
        <f t="shared" si="252"/>
        <v>0.21268838243735214</v>
      </c>
      <c r="GL38" s="529">
        <f t="shared" si="253"/>
        <v>0</v>
      </c>
      <c r="GM38" s="527"/>
      <c r="GN38" s="528">
        <f t="shared" si="254"/>
        <v>0</v>
      </c>
      <c r="GO38" s="529">
        <f t="shared" si="255"/>
        <v>0</v>
      </c>
      <c r="GP38" s="527">
        <v>29.067057785800735</v>
      </c>
      <c r="GQ38" s="528">
        <f t="shared" si="256"/>
        <v>0.63806514731205655</v>
      </c>
      <c r="GR38" s="529">
        <f t="shared" si="257"/>
        <v>0</v>
      </c>
      <c r="GS38" s="527">
        <v>251.91450081027304</v>
      </c>
      <c r="GT38" s="528">
        <f t="shared" si="258"/>
        <v>5.5298979433711564</v>
      </c>
      <c r="GU38" s="529">
        <f t="shared" si="259"/>
        <v>0</v>
      </c>
      <c r="GV38" s="527">
        <v>48.445096309667889</v>
      </c>
      <c r="GW38" s="528">
        <f t="shared" si="260"/>
        <v>1.0634419121867609</v>
      </c>
      <c r="GX38" s="529">
        <f t="shared" si="261"/>
        <v>0</v>
      </c>
      <c r="GY38" s="527"/>
      <c r="GZ38" s="528">
        <f t="shared" si="67"/>
        <v>0</v>
      </c>
      <c r="HA38" s="529">
        <f t="shared" si="178"/>
        <v>0</v>
      </c>
      <c r="HB38" s="527"/>
      <c r="HC38" s="528">
        <f t="shared" si="68"/>
        <v>0</v>
      </c>
      <c r="HD38" s="529">
        <f t="shared" si="179"/>
        <v>0</v>
      </c>
      <c r="HE38" s="527"/>
      <c r="HF38" s="528">
        <f t="shared" si="69"/>
        <v>0</v>
      </c>
      <c r="HG38" s="529">
        <f t="shared" si="180"/>
        <v>0</v>
      </c>
      <c r="HH38" s="527"/>
      <c r="HI38" s="528">
        <f t="shared" si="70"/>
        <v>0</v>
      </c>
      <c r="HJ38" s="529">
        <f t="shared" si="181"/>
        <v>0</v>
      </c>
      <c r="HK38" s="527"/>
      <c r="HL38" s="528">
        <f t="shared" si="71"/>
        <v>0</v>
      </c>
      <c r="HM38" s="529">
        <f t="shared" si="182"/>
        <v>0</v>
      </c>
      <c r="HN38" s="527">
        <v>762.52581591417254</v>
      </c>
      <c r="HO38" s="528">
        <f t="shared" si="72"/>
        <v>16.738575697819616</v>
      </c>
      <c r="HP38" s="529">
        <f t="shared" si="183"/>
        <v>0</v>
      </c>
      <c r="HQ38" s="527"/>
      <c r="HR38" s="528">
        <f t="shared" si="73"/>
        <v>0</v>
      </c>
      <c r="HS38" s="529">
        <f t="shared" si="184"/>
        <v>0</v>
      </c>
      <c r="HT38" s="527"/>
      <c r="HU38" s="528">
        <f t="shared" si="74"/>
        <v>0</v>
      </c>
      <c r="HV38" s="529">
        <f t="shared" si="185"/>
        <v>0</v>
      </c>
      <c r="HW38" s="527"/>
      <c r="HX38" s="528">
        <f t="shared" si="75"/>
        <v>0</v>
      </c>
      <c r="HY38" s="529">
        <f t="shared" si="186"/>
        <v>0</v>
      </c>
      <c r="HZ38" s="527"/>
      <c r="IA38" s="528">
        <f t="shared" si="76"/>
        <v>0</v>
      </c>
      <c r="IB38" s="529">
        <f t="shared" si="187"/>
        <v>0</v>
      </c>
      <c r="IC38" s="527"/>
      <c r="ID38" s="528">
        <f t="shared" si="77"/>
        <v>0</v>
      </c>
      <c r="IE38" s="529">
        <f t="shared" si="188"/>
        <v>0</v>
      </c>
      <c r="IF38" s="527"/>
      <c r="IG38" s="528">
        <f t="shared" si="78"/>
        <v>0</v>
      </c>
      <c r="IH38" s="529">
        <f t="shared" si="189"/>
        <v>0</v>
      </c>
      <c r="II38" s="527">
        <v>19.378038523867154</v>
      </c>
      <c r="IJ38" s="528">
        <f t="shared" si="79"/>
        <v>0.42537676487470427</v>
      </c>
      <c r="IK38" s="529">
        <f t="shared" si="190"/>
        <v>0</v>
      </c>
      <c r="IL38" s="527"/>
      <c r="IM38" s="528">
        <f t="shared" si="80"/>
        <v>0</v>
      </c>
      <c r="IN38" s="529">
        <f t="shared" si="191"/>
        <v>0</v>
      </c>
      <c r="IO38" s="527"/>
      <c r="IP38" s="528">
        <f t="shared" si="81"/>
        <v>0</v>
      </c>
      <c r="IQ38" s="529">
        <f t="shared" si="192"/>
        <v>0</v>
      </c>
      <c r="IR38" s="527">
        <v>38.756077047734308</v>
      </c>
      <c r="IS38" s="528">
        <f t="shared" si="82"/>
        <v>0.85075352974940854</v>
      </c>
      <c r="IT38" s="529">
        <f t="shared" si="193"/>
        <v>0</v>
      </c>
      <c r="IU38" s="527"/>
      <c r="IV38" s="528">
        <f t="shared" si="83"/>
        <v>0</v>
      </c>
      <c r="IW38" s="529">
        <f t="shared" si="194"/>
        <v>0</v>
      </c>
      <c r="IX38" s="527"/>
      <c r="IY38" s="528">
        <f t="shared" si="84"/>
        <v>0</v>
      </c>
      <c r="IZ38" s="529">
        <f t="shared" si="195"/>
        <v>0</v>
      </c>
      <c r="JA38" s="527"/>
      <c r="JB38" s="528">
        <f t="shared" si="85"/>
        <v>0</v>
      </c>
      <c r="JC38" s="529">
        <f t="shared" si="196"/>
        <v>0</v>
      </c>
      <c r="JD38" s="527"/>
      <c r="JE38" s="528">
        <f t="shared" si="86"/>
        <v>0</v>
      </c>
      <c r="JF38" s="529">
        <f t="shared" si="197"/>
        <v>0</v>
      </c>
      <c r="JG38" s="527"/>
      <c r="JH38" s="528">
        <f t="shared" si="87"/>
        <v>0</v>
      </c>
      <c r="JI38" s="529">
        <f t="shared" si="198"/>
        <v>0</v>
      </c>
      <c r="JJ38" s="527">
        <v>19.378038523867154</v>
      </c>
      <c r="JK38" s="529" t="str">
        <f t="shared" si="88"/>
        <v>0</v>
      </c>
      <c r="JL38" s="529" t="str">
        <f t="shared" si="89"/>
        <v>0</v>
      </c>
      <c r="JM38" s="527"/>
      <c r="JN38" s="529" t="str">
        <f t="shared" si="90"/>
        <v>0</v>
      </c>
      <c r="JO38" s="529" t="str">
        <f t="shared" si="91"/>
        <v>0</v>
      </c>
      <c r="JP38" s="527"/>
      <c r="JQ38" s="529" t="str">
        <f t="shared" si="92"/>
        <v>0</v>
      </c>
      <c r="JR38" s="529" t="str">
        <f t="shared" si="93"/>
        <v>0</v>
      </c>
      <c r="JS38" s="527"/>
      <c r="JT38" s="529" t="str">
        <f t="shared" si="94"/>
        <v>0</v>
      </c>
      <c r="JU38" s="529" t="str">
        <f t="shared" si="95"/>
        <v>0</v>
      </c>
      <c r="JV38" s="527"/>
      <c r="JW38" s="529" t="str">
        <f t="shared" si="96"/>
        <v>0</v>
      </c>
      <c r="JX38" s="529" t="str">
        <f t="shared" si="97"/>
        <v>0</v>
      </c>
      <c r="JY38" s="527"/>
      <c r="JZ38" s="529" t="str">
        <f t="shared" si="98"/>
        <v>0</v>
      </c>
      <c r="KA38" s="529" t="str">
        <f t="shared" si="99"/>
        <v>0</v>
      </c>
      <c r="KB38" s="527"/>
      <c r="KC38" s="529" t="str">
        <f t="shared" si="100"/>
        <v>0</v>
      </c>
      <c r="KD38" s="529" t="str">
        <f t="shared" si="101"/>
        <v>0</v>
      </c>
      <c r="KE38" s="527"/>
      <c r="KF38" s="529" t="str">
        <f t="shared" si="102"/>
        <v>0</v>
      </c>
      <c r="KG38" s="529" t="str">
        <f t="shared" si="103"/>
        <v>0</v>
      </c>
      <c r="KH38" s="527"/>
      <c r="KI38" s="529" t="str">
        <f t="shared" si="104"/>
        <v>0</v>
      </c>
      <c r="KJ38" s="529" t="str">
        <f t="shared" si="105"/>
        <v>0</v>
      </c>
      <c r="KK38" s="527"/>
      <c r="KL38" s="529" t="str">
        <f t="shared" si="106"/>
        <v>0</v>
      </c>
      <c r="KM38" s="529" t="str">
        <f t="shared" si="107"/>
        <v>0</v>
      </c>
      <c r="KN38" s="527"/>
      <c r="KO38" s="529" t="str">
        <f t="shared" si="108"/>
        <v>0</v>
      </c>
      <c r="KP38" s="529" t="str">
        <f t="shared" si="109"/>
        <v>0</v>
      </c>
      <c r="KQ38" s="527"/>
      <c r="KR38" s="529" t="str">
        <f t="shared" si="110"/>
        <v>0</v>
      </c>
      <c r="KS38" s="529" t="str">
        <f t="shared" si="111"/>
        <v>0</v>
      </c>
      <c r="KT38" s="529">
        <f t="shared" si="201"/>
        <v>0</v>
      </c>
      <c r="KU38" s="529">
        <f t="shared" si="202"/>
        <v>0</v>
      </c>
      <c r="KV38" s="268">
        <f t="shared" si="199"/>
        <v>1757.7852442947437</v>
      </c>
    </row>
    <row r="39" spans="1:16384" ht="15" customHeight="1">
      <c r="A39" s="270">
        <f t="shared" si="200"/>
        <v>46112</v>
      </c>
      <c r="B39" s="271" t="str">
        <f>+Report1!B39</f>
        <v>Toilet</v>
      </c>
      <c r="C39" s="271" t="str">
        <f>+Report1!C39</f>
        <v>15,5/16</v>
      </c>
      <c r="D39" s="272">
        <f>+Report1!P39</f>
        <v>33.408000000000001</v>
      </c>
      <c r="E39" s="273">
        <f>+Report1!R39</f>
        <v>33.673999999999999</v>
      </c>
      <c r="F39" s="527"/>
      <c r="G39" s="528">
        <f t="shared" si="0"/>
        <v>0</v>
      </c>
      <c r="H39" s="529">
        <f t="shared" si="112"/>
        <v>0</v>
      </c>
      <c r="I39" s="527"/>
      <c r="J39" s="528">
        <f t="shared" si="1"/>
        <v>0</v>
      </c>
      <c r="K39" s="529">
        <f t="shared" si="113"/>
        <v>0</v>
      </c>
      <c r="L39" s="527"/>
      <c r="M39" s="528">
        <f t="shared" si="2"/>
        <v>0</v>
      </c>
      <c r="N39" s="529">
        <f t="shared" si="114"/>
        <v>0</v>
      </c>
      <c r="O39" s="527">
        <v>9.0000000000000284</v>
      </c>
      <c r="P39" s="528">
        <f t="shared" si="3"/>
        <v>0.26726851576884325</v>
      </c>
      <c r="Q39" s="529">
        <f t="shared" si="115"/>
        <v>0</v>
      </c>
      <c r="R39" s="527"/>
      <c r="S39" s="528">
        <f t="shared" si="4"/>
        <v>0</v>
      </c>
      <c r="T39" s="529">
        <f t="shared" si="116"/>
        <v>0</v>
      </c>
      <c r="U39" s="527">
        <v>7.6875</v>
      </c>
      <c r="V39" s="528">
        <f t="shared" si="5"/>
        <v>0.22829185721921957</v>
      </c>
      <c r="W39" s="529">
        <f t="shared" si="117"/>
        <v>0</v>
      </c>
      <c r="X39" s="527"/>
      <c r="Y39" s="528">
        <f t="shared" si="6"/>
        <v>0</v>
      </c>
      <c r="Z39" s="529">
        <f t="shared" si="118"/>
        <v>0</v>
      </c>
      <c r="AA39" s="527">
        <v>9.3749999999999929</v>
      </c>
      <c r="AB39" s="528">
        <f t="shared" si="7"/>
        <v>0.27840470392587735</v>
      </c>
      <c r="AC39" s="529">
        <f t="shared" si="119"/>
        <v>0</v>
      </c>
      <c r="AD39" s="527"/>
      <c r="AE39" s="528">
        <f t="shared" si="8"/>
        <v>0</v>
      </c>
      <c r="AF39" s="529">
        <f t="shared" si="120"/>
        <v>0</v>
      </c>
      <c r="AG39" s="527"/>
      <c r="AH39" s="528">
        <f t="shared" si="9"/>
        <v>0</v>
      </c>
      <c r="AI39" s="529">
        <f t="shared" si="121"/>
        <v>0</v>
      </c>
      <c r="AJ39" s="527">
        <v>29.374999999999986</v>
      </c>
      <c r="AK39" s="528">
        <f t="shared" si="10"/>
        <v>0.87233473896774916</v>
      </c>
      <c r="AL39" s="529">
        <f t="shared" si="122"/>
        <v>0</v>
      </c>
      <c r="AM39" s="527"/>
      <c r="AN39" s="528">
        <f t="shared" si="11"/>
        <v>0</v>
      </c>
      <c r="AO39" s="529">
        <f t="shared" si="123"/>
        <v>0</v>
      </c>
      <c r="AP39" s="527"/>
      <c r="AQ39" s="528">
        <f t="shared" si="12"/>
        <v>0</v>
      </c>
      <c r="AR39" s="529">
        <f t="shared" si="124"/>
        <v>0</v>
      </c>
      <c r="AS39" s="527"/>
      <c r="AT39" s="528">
        <f t="shared" si="13"/>
        <v>0</v>
      </c>
      <c r="AU39" s="529">
        <f t="shared" si="125"/>
        <v>0</v>
      </c>
      <c r="AV39" s="527"/>
      <c r="AW39" s="528">
        <f t="shared" si="14"/>
        <v>0</v>
      </c>
      <c r="AX39" s="529">
        <f t="shared" si="126"/>
        <v>0</v>
      </c>
      <c r="AY39" s="527"/>
      <c r="AZ39" s="528">
        <f t="shared" si="15"/>
        <v>0</v>
      </c>
      <c r="BA39" s="529">
        <f t="shared" si="127"/>
        <v>0</v>
      </c>
      <c r="BB39" s="527"/>
      <c r="BC39" s="528">
        <f t="shared" si="16"/>
        <v>0</v>
      </c>
      <c r="BD39" s="529">
        <f t="shared" si="128"/>
        <v>0</v>
      </c>
      <c r="BE39" s="527"/>
      <c r="BF39" s="528">
        <f t="shared" si="17"/>
        <v>0</v>
      </c>
      <c r="BG39" s="529">
        <f t="shared" si="129"/>
        <v>0</v>
      </c>
      <c r="BH39" s="527"/>
      <c r="BI39" s="528">
        <f t="shared" si="18"/>
        <v>0</v>
      </c>
      <c r="BJ39" s="529">
        <f t="shared" si="130"/>
        <v>0</v>
      </c>
      <c r="BK39" s="527"/>
      <c r="BL39" s="528">
        <f t="shared" si="19"/>
        <v>0</v>
      </c>
      <c r="BM39" s="529">
        <f t="shared" si="131"/>
        <v>0</v>
      </c>
      <c r="BN39" s="527"/>
      <c r="BO39" s="528">
        <f t="shared" si="20"/>
        <v>0</v>
      </c>
      <c r="BP39" s="529">
        <f t="shared" si="132"/>
        <v>0</v>
      </c>
      <c r="BQ39" s="527"/>
      <c r="BR39" s="528">
        <f t="shared" si="21"/>
        <v>0</v>
      </c>
      <c r="BS39" s="529">
        <f t="shared" si="133"/>
        <v>0</v>
      </c>
      <c r="BT39" s="527"/>
      <c r="BU39" s="528">
        <f t="shared" si="22"/>
        <v>0</v>
      </c>
      <c r="BV39" s="529">
        <f t="shared" si="134"/>
        <v>0</v>
      </c>
      <c r="BW39" s="527"/>
      <c r="BX39" s="528">
        <f t="shared" si="23"/>
        <v>0</v>
      </c>
      <c r="BY39" s="529">
        <f t="shared" si="135"/>
        <v>0</v>
      </c>
      <c r="BZ39" s="527"/>
      <c r="CA39" s="528">
        <f t="shared" si="24"/>
        <v>0</v>
      </c>
      <c r="CB39" s="529">
        <f t="shared" si="136"/>
        <v>0</v>
      </c>
      <c r="CC39" s="527"/>
      <c r="CD39" s="528">
        <f t="shared" si="25"/>
        <v>0</v>
      </c>
      <c r="CE39" s="529">
        <f t="shared" si="137"/>
        <v>0</v>
      </c>
      <c r="CF39" s="527">
        <v>5.5</v>
      </c>
      <c r="CG39" s="528">
        <f t="shared" si="26"/>
        <v>0.16333075963651483</v>
      </c>
      <c r="CH39" s="529">
        <f t="shared" si="138"/>
        <v>0</v>
      </c>
      <c r="CI39" s="527"/>
      <c r="CJ39" s="528">
        <f t="shared" si="27"/>
        <v>0</v>
      </c>
      <c r="CK39" s="529">
        <f t="shared" si="139"/>
        <v>0</v>
      </c>
      <c r="CL39" s="527"/>
      <c r="CM39" s="528">
        <f t="shared" si="28"/>
        <v>0</v>
      </c>
      <c r="CN39" s="529">
        <f t="shared" si="140"/>
        <v>0</v>
      </c>
      <c r="CO39" s="527"/>
      <c r="CP39" s="528">
        <f t="shared" si="29"/>
        <v>0</v>
      </c>
      <c r="CQ39" s="529">
        <f t="shared" si="141"/>
        <v>0</v>
      </c>
      <c r="CR39" s="527"/>
      <c r="CS39" s="528">
        <f t="shared" si="30"/>
        <v>0</v>
      </c>
      <c r="CT39" s="529">
        <f t="shared" si="142"/>
        <v>0</v>
      </c>
      <c r="CU39" s="527"/>
      <c r="CV39" s="528">
        <f t="shared" si="31"/>
        <v>0</v>
      </c>
      <c r="CW39" s="529">
        <f t="shared" si="143"/>
        <v>0</v>
      </c>
      <c r="CX39" s="527"/>
      <c r="CY39" s="528">
        <f t="shared" si="32"/>
        <v>0</v>
      </c>
      <c r="CZ39" s="529">
        <f t="shared" si="144"/>
        <v>0</v>
      </c>
      <c r="DA39" s="527">
        <v>203.48837209302314</v>
      </c>
      <c r="DB39" s="528">
        <f t="shared" si="33"/>
        <v>6.0428927983911374</v>
      </c>
      <c r="DC39" s="529">
        <f t="shared" si="145"/>
        <v>0</v>
      </c>
      <c r="DD39" s="527"/>
      <c r="DE39" s="528">
        <f t="shared" si="34"/>
        <v>0</v>
      </c>
      <c r="DF39" s="529">
        <f t="shared" si="146"/>
        <v>0</v>
      </c>
      <c r="DG39" s="527"/>
      <c r="DH39" s="528">
        <f t="shared" si="35"/>
        <v>0</v>
      </c>
      <c r="DI39" s="529">
        <f t="shared" si="203"/>
        <v>0</v>
      </c>
      <c r="DJ39" s="527"/>
      <c r="DK39" s="528">
        <f t="shared" si="36"/>
        <v>0</v>
      </c>
      <c r="DL39" s="529">
        <f t="shared" si="147"/>
        <v>0</v>
      </c>
      <c r="DM39" s="527"/>
      <c r="DN39" s="528">
        <f t="shared" si="37"/>
        <v>0</v>
      </c>
      <c r="DO39" s="529">
        <f t="shared" si="148"/>
        <v>0</v>
      </c>
      <c r="DP39" s="527"/>
      <c r="DQ39" s="528">
        <f t="shared" si="38"/>
        <v>0</v>
      </c>
      <c r="DR39" s="529">
        <f t="shared" si="149"/>
        <v>0</v>
      </c>
      <c r="DS39" s="527"/>
      <c r="DT39" s="528">
        <f t="shared" si="39"/>
        <v>0</v>
      </c>
      <c r="DU39" s="529">
        <f t="shared" si="150"/>
        <v>0</v>
      </c>
      <c r="DV39" s="527"/>
      <c r="DW39" s="528">
        <f t="shared" si="40"/>
        <v>0</v>
      </c>
      <c r="DX39" s="529">
        <f t="shared" si="151"/>
        <v>0</v>
      </c>
      <c r="DY39" s="527"/>
      <c r="DZ39" s="528">
        <f t="shared" si="41"/>
        <v>0</v>
      </c>
      <c r="EA39" s="529">
        <f t="shared" si="152"/>
        <v>0</v>
      </c>
      <c r="EB39" s="527"/>
      <c r="EC39" s="528">
        <f t="shared" si="42"/>
        <v>0</v>
      </c>
      <c r="ED39" s="529">
        <f t="shared" si="153"/>
        <v>0</v>
      </c>
      <c r="EE39" s="527">
        <v>21.802325581395337</v>
      </c>
      <c r="EF39" s="528">
        <f t="shared" si="43"/>
        <v>0.64745279982762183</v>
      </c>
      <c r="EG39" s="529">
        <f t="shared" si="154"/>
        <v>0</v>
      </c>
      <c r="EH39" s="527">
        <v>211.34117647058838</v>
      </c>
      <c r="EI39" s="528">
        <f t="shared" si="44"/>
        <v>6.2760936173483515</v>
      </c>
      <c r="EJ39" s="529">
        <f t="shared" si="155"/>
        <v>0</v>
      </c>
      <c r="EK39" s="527"/>
      <c r="EL39" s="528">
        <f t="shared" si="45"/>
        <v>0</v>
      </c>
      <c r="EM39" s="529">
        <f t="shared" si="156"/>
        <v>0</v>
      </c>
      <c r="EN39" s="527">
        <v>36.585365853658459</v>
      </c>
      <c r="EO39" s="528">
        <f t="shared" si="46"/>
        <v>1.086457381174154</v>
      </c>
      <c r="EP39" s="529">
        <f t="shared" si="157"/>
        <v>0</v>
      </c>
      <c r="EQ39" s="527">
        <v>39.534883720930338</v>
      </c>
      <c r="ER39" s="528">
        <f t="shared" si="47"/>
        <v>1.1740477436874246</v>
      </c>
      <c r="ES39" s="529">
        <f t="shared" si="158"/>
        <v>0</v>
      </c>
      <c r="ET39" s="527"/>
      <c r="EU39" s="528">
        <f t="shared" si="48"/>
        <v>0</v>
      </c>
      <c r="EV39" s="529">
        <f t="shared" si="159"/>
        <v>0</v>
      </c>
      <c r="EW39" s="527"/>
      <c r="EX39" s="528">
        <f t="shared" si="49"/>
        <v>0</v>
      </c>
      <c r="EY39" s="529">
        <f t="shared" si="160"/>
        <v>0</v>
      </c>
      <c r="EZ39" s="527"/>
      <c r="FA39" s="528">
        <f t="shared" si="50"/>
        <v>0</v>
      </c>
      <c r="FB39" s="529">
        <f t="shared" si="161"/>
        <v>0</v>
      </c>
      <c r="FC39" s="527"/>
      <c r="FD39" s="528">
        <f t="shared" si="51"/>
        <v>0</v>
      </c>
      <c r="FE39" s="529">
        <f t="shared" si="162"/>
        <v>0</v>
      </c>
      <c r="FF39" s="527"/>
      <c r="FG39" s="528">
        <f t="shared" si="52"/>
        <v>0</v>
      </c>
      <c r="FH39" s="529">
        <f t="shared" si="163"/>
        <v>0</v>
      </c>
      <c r="FI39" s="527"/>
      <c r="FJ39" s="528">
        <f t="shared" si="53"/>
        <v>0</v>
      </c>
      <c r="FK39" s="529">
        <f t="shared" si="164"/>
        <v>0</v>
      </c>
      <c r="FL39" s="527"/>
      <c r="FM39" s="528">
        <f t="shared" si="54"/>
        <v>0</v>
      </c>
      <c r="FN39" s="529">
        <f t="shared" si="165"/>
        <v>0</v>
      </c>
      <c r="FO39" s="527"/>
      <c r="FP39" s="528">
        <f t="shared" si="55"/>
        <v>0</v>
      </c>
      <c r="FQ39" s="529">
        <f t="shared" si="166"/>
        <v>0</v>
      </c>
      <c r="FR39" s="527"/>
      <c r="FS39" s="528">
        <f t="shared" si="56"/>
        <v>0</v>
      </c>
      <c r="FT39" s="529">
        <f t="shared" si="167"/>
        <v>0</v>
      </c>
      <c r="FU39" s="527"/>
      <c r="FV39" s="528">
        <f t="shared" si="57"/>
        <v>0</v>
      </c>
      <c r="FW39" s="529">
        <f t="shared" si="168"/>
        <v>0</v>
      </c>
      <c r="FX39" s="527"/>
      <c r="FY39" s="528">
        <f t="shared" si="58"/>
        <v>0</v>
      </c>
      <c r="FZ39" s="529">
        <f t="shared" si="169"/>
        <v>0</v>
      </c>
      <c r="GA39" s="527"/>
      <c r="GB39" s="528">
        <f t="shared" si="59"/>
        <v>0</v>
      </c>
      <c r="GC39" s="529">
        <f t="shared" si="170"/>
        <v>0</v>
      </c>
      <c r="GD39" s="527"/>
      <c r="GE39" s="528">
        <f t="shared" si="60"/>
        <v>0</v>
      </c>
      <c r="GF39" s="529">
        <f t="shared" si="171"/>
        <v>0</v>
      </c>
      <c r="GG39" s="527">
        <v>12.125288844260014</v>
      </c>
      <c r="GH39" s="528">
        <f t="shared" si="61"/>
        <v>0.36007866140820854</v>
      </c>
      <c r="GI39" s="529">
        <f t="shared" si="172"/>
        <v>0</v>
      </c>
      <c r="GJ39" s="527">
        <v>12.125288844260014</v>
      </c>
      <c r="GK39" s="528">
        <f t="shared" si="252"/>
        <v>0.36007866140820854</v>
      </c>
      <c r="GL39" s="529">
        <f t="shared" si="253"/>
        <v>0</v>
      </c>
      <c r="GM39" s="527"/>
      <c r="GN39" s="528">
        <f t="shared" si="254"/>
        <v>0</v>
      </c>
      <c r="GO39" s="529">
        <f t="shared" si="255"/>
        <v>0</v>
      </c>
      <c r="GP39" s="527">
        <v>32.334103584693366</v>
      </c>
      <c r="GQ39" s="528">
        <f t="shared" si="256"/>
        <v>0.9602097637552226</v>
      </c>
      <c r="GR39" s="529">
        <f t="shared" si="257"/>
        <v>0</v>
      </c>
      <c r="GS39" s="527">
        <v>278.88164341798034</v>
      </c>
      <c r="GT39" s="528">
        <f t="shared" si="258"/>
        <v>8.2818092123887972</v>
      </c>
      <c r="GU39" s="529">
        <f t="shared" si="259"/>
        <v>0</v>
      </c>
      <c r="GV39" s="527">
        <v>52.542918325126728</v>
      </c>
      <c r="GW39" s="528">
        <f t="shared" si="260"/>
        <v>1.5603408661022369</v>
      </c>
      <c r="GX39" s="529">
        <f t="shared" si="261"/>
        <v>0</v>
      </c>
      <c r="GY39" s="527"/>
      <c r="GZ39" s="528">
        <f t="shared" si="67"/>
        <v>0</v>
      </c>
      <c r="HA39" s="529">
        <f t="shared" si="178"/>
        <v>0</v>
      </c>
      <c r="HB39" s="527"/>
      <c r="HC39" s="528">
        <f t="shared" si="68"/>
        <v>0</v>
      </c>
      <c r="HD39" s="529">
        <f t="shared" si="179"/>
        <v>0</v>
      </c>
      <c r="HE39" s="527"/>
      <c r="HF39" s="528">
        <f t="shared" si="69"/>
        <v>0</v>
      </c>
      <c r="HG39" s="529">
        <f t="shared" si="180"/>
        <v>0</v>
      </c>
      <c r="HH39" s="527"/>
      <c r="HI39" s="528">
        <f t="shared" si="70"/>
        <v>0</v>
      </c>
      <c r="HJ39" s="529">
        <f t="shared" si="181"/>
        <v>0</v>
      </c>
      <c r="HK39" s="527"/>
      <c r="HL39" s="528">
        <f t="shared" si="71"/>
        <v>0</v>
      </c>
      <c r="HM39" s="529">
        <f t="shared" si="182"/>
        <v>0</v>
      </c>
      <c r="HN39" s="527">
        <v>812.79852886022957</v>
      </c>
      <c r="HO39" s="528">
        <f t="shared" si="72"/>
        <v>24.137272936396911</v>
      </c>
      <c r="HP39" s="529">
        <f t="shared" si="183"/>
        <v>0</v>
      </c>
      <c r="HQ39" s="527"/>
      <c r="HR39" s="528">
        <f t="shared" si="73"/>
        <v>0</v>
      </c>
      <c r="HS39" s="529">
        <f t="shared" si="184"/>
        <v>0</v>
      </c>
      <c r="HT39" s="527"/>
      <c r="HU39" s="528">
        <f t="shared" si="74"/>
        <v>0</v>
      </c>
      <c r="HV39" s="529">
        <f t="shared" si="185"/>
        <v>0</v>
      </c>
      <c r="HW39" s="527"/>
      <c r="HX39" s="528">
        <f t="shared" si="75"/>
        <v>0</v>
      </c>
      <c r="HY39" s="529">
        <f t="shared" si="186"/>
        <v>0</v>
      </c>
      <c r="HZ39" s="527"/>
      <c r="IA39" s="528">
        <f t="shared" si="76"/>
        <v>0</v>
      </c>
      <c r="IB39" s="529">
        <f t="shared" si="187"/>
        <v>0</v>
      </c>
      <c r="IC39" s="527"/>
      <c r="ID39" s="528">
        <f t="shared" si="77"/>
        <v>0</v>
      </c>
      <c r="IE39" s="529">
        <f t="shared" si="188"/>
        <v>0</v>
      </c>
      <c r="IF39" s="527"/>
      <c r="IG39" s="528">
        <f t="shared" si="78"/>
        <v>0</v>
      </c>
      <c r="IH39" s="529">
        <f t="shared" si="189"/>
        <v>0</v>
      </c>
      <c r="II39" s="527">
        <v>20.208814740433358</v>
      </c>
      <c r="IJ39" s="528">
        <f t="shared" si="79"/>
        <v>0.60013110234701428</v>
      </c>
      <c r="IK39" s="529">
        <f t="shared" si="190"/>
        <v>0</v>
      </c>
      <c r="IL39" s="527"/>
      <c r="IM39" s="528">
        <f t="shared" si="80"/>
        <v>0</v>
      </c>
      <c r="IN39" s="529">
        <f t="shared" si="191"/>
        <v>0</v>
      </c>
      <c r="IO39" s="527"/>
      <c r="IP39" s="528">
        <f t="shared" si="81"/>
        <v>0</v>
      </c>
      <c r="IQ39" s="529">
        <f t="shared" si="192"/>
        <v>0</v>
      </c>
      <c r="IR39" s="527">
        <v>40.417629480866715</v>
      </c>
      <c r="IS39" s="528">
        <f t="shared" si="82"/>
        <v>1.2002622046940286</v>
      </c>
      <c r="IT39" s="529">
        <f t="shared" si="193"/>
        <v>0</v>
      </c>
      <c r="IU39" s="527"/>
      <c r="IV39" s="528">
        <f t="shared" si="83"/>
        <v>0</v>
      </c>
      <c r="IW39" s="529">
        <f t="shared" si="194"/>
        <v>0</v>
      </c>
      <c r="IX39" s="527"/>
      <c r="IY39" s="528">
        <f t="shared" si="84"/>
        <v>0</v>
      </c>
      <c r="IZ39" s="529">
        <f t="shared" si="195"/>
        <v>0</v>
      </c>
      <c r="JA39" s="527"/>
      <c r="JB39" s="528">
        <f t="shared" si="85"/>
        <v>0</v>
      </c>
      <c r="JC39" s="529">
        <f t="shared" si="196"/>
        <v>0</v>
      </c>
      <c r="JD39" s="527"/>
      <c r="JE39" s="528">
        <f t="shared" si="86"/>
        <v>0</v>
      </c>
      <c r="JF39" s="529">
        <f t="shared" si="197"/>
        <v>0</v>
      </c>
      <c r="JG39" s="527"/>
      <c r="JH39" s="528">
        <f t="shared" si="87"/>
        <v>0</v>
      </c>
      <c r="JI39" s="529">
        <f t="shared" si="198"/>
        <v>0</v>
      </c>
      <c r="JJ39" s="527">
        <v>22.229696214476693</v>
      </c>
      <c r="JK39" s="529" t="str">
        <f t="shared" si="88"/>
        <v>0</v>
      </c>
      <c r="JL39" s="529" t="str">
        <f t="shared" si="89"/>
        <v>0</v>
      </c>
      <c r="JM39" s="527"/>
      <c r="JN39" s="529" t="str">
        <f t="shared" si="90"/>
        <v>0</v>
      </c>
      <c r="JO39" s="529" t="str">
        <f t="shared" si="91"/>
        <v>0</v>
      </c>
      <c r="JP39" s="527"/>
      <c r="JQ39" s="529" t="str">
        <f t="shared" si="92"/>
        <v>0</v>
      </c>
      <c r="JR39" s="529" t="str">
        <f t="shared" si="93"/>
        <v>0</v>
      </c>
      <c r="JS39" s="527"/>
      <c r="JT39" s="529" t="str">
        <f t="shared" si="94"/>
        <v>0</v>
      </c>
      <c r="JU39" s="529" t="str">
        <f t="shared" si="95"/>
        <v>0</v>
      </c>
      <c r="JV39" s="527"/>
      <c r="JW39" s="529" t="str">
        <f t="shared" si="96"/>
        <v>0</v>
      </c>
      <c r="JX39" s="529" t="str">
        <f t="shared" si="97"/>
        <v>0</v>
      </c>
      <c r="JY39" s="527"/>
      <c r="JZ39" s="529" t="str">
        <f t="shared" si="98"/>
        <v>0</v>
      </c>
      <c r="KA39" s="529" t="str">
        <f t="shared" si="99"/>
        <v>0</v>
      </c>
      <c r="KB39" s="527"/>
      <c r="KC39" s="529" t="str">
        <f t="shared" si="100"/>
        <v>0</v>
      </c>
      <c r="KD39" s="529" t="str">
        <f t="shared" si="101"/>
        <v>0</v>
      </c>
      <c r="KE39" s="527"/>
      <c r="KF39" s="529" t="str">
        <f t="shared" si="102"/>
        <v>0</v>
      </c>
      <c r="KG39" s="529" t="str">
        <f t="shared" si="103"/>
        <v>0</v>
      </c>
      <c r="KH39" s="527"/>
      <c r="KI39" s="529" t="str">
        <f t="shared" si="104"/>
        <v>0</v>
      </c>
      <c r="KJ39" s="529" t="str">
        <f t="shared" si="105"/>
        <v>0</v>
      </c>
      <c r="KK39" s="527"/>
      <c r="KL39" s="529" t="str">
        <f t="shared" si="106"/>
        <v>0</v>
      </c>
      <c r="KM39" s="529" t="str">
        <f t="shared" si="107"/>
        <v>0</v>
      </c>
      <c r="KN39" s="527"/>
      <c r="KO39" s="529" t="str">
        <f t="shared" si="108"/>
        <v>0</v>
      </c>
      <c r="KP39" s="529" t="str">
        <f t="shared" si="109"/>
        <v>0</v>
      </c>
      <c r="KQ39" s="527"/>
      <c r="KR39" s="529" t="str">
        <f t="shared" si="110"/>
        <v>0</v>
      </c>
      <c r="KS39" s="529" t="str">
        <f t="shared" si="111"/>
        <v>0</v>
      </c>
      <c r="KT39" s="529">
        <f t="shared" si="201"/>
        <v>0</v>
      </c>
      <c r="KU39" s="529">
        <f t="shared" si="202"/>
        <v>0</v>
      </c>
      <c r="KV39" s="268">
        <f t="shared" si="199"/>
        <v>1857.3535360319224</v>
      </c>
    </row>
    <row r="40" spans="1:16384" ht="15" customHeight="1" thickBot="1">
      <c r="A40" s="275"/>
      <c r="B40" s="276"/>
      <c r="C40" s="277"/>
      <c r="D40" s="277"/>
      <c r="E40" s="273"/>
      <c r="F40" s="527"/>
      <c r="G40" s="528"/>
      <c r="H40" s="529"/>
      <c r="I40" s="527"/>
      <c r="J40" s="528"/>
      <c r="K40" s="529"/>
      <c r="L40" s="527"/>
      <c r="M40" s="528"/>
      <c r="N40" s="529"/>
      <c r="O40" s="527"/>
      <c r="P40" s="528"/>
      <c r="Q40" s="529"/>
      <c r="R40" s="527"/>
      <c r="S40" s="528"/>
      <c r="T40" s="529"/>
      <c r="U40" s="527"/>
      <c r="V40" s="528"/>
      <c r="W40" s="529"/>
      <c r="X40" s="527"/>
      <c r="Y40" s="528"/>
      <c r="Z40" s="529"/>
      <c r="AA40" s="527"/>
      <c r="AB40" s="528"/>
      <c r="AC40" s="529"/>
      <c r="AD40" s="527"/>
      <c r="AE40" s="528"/>
      <c r="AF40" s="529"/>
      <c r="AG40" s="527"/>
      <c r="AH40" s="528"/>
      <c r="AI40" s="529"/>
      <c r="AJ40" s="527"/>
      <c r="AK40" s="528"/>
      <c r="AL40" s="529"/>
      <c r="AM40" s="527"/>
      <c r="AN40" s="528"/>
      <c r="AO40" s="529"/>
      <c r="AP40" s="527"/>
      <c r="AQ40" s="528"/>
      <c r="AR40" s="529"/>
      <c r="AS40" s="527"/>
      <c r="AT40" s="528"/>
      <c r="AU40" s="529"/>
      <c r="AV40" s="527"/>
      <c r="AW40" s="528"/>
      <c r="AX40" s="529"/>
      <c r="AY40" s="527"/>
      <c r="AZ40" s="528"/>
      <c r="BA40" s="529"/>
      <c r="BB40" s="527"/>
      <c r="BC40" s="528"/>
      <c r="BD40" s="529"/>
      <c r="BE40" s="527"/>
      <c r="BF40" s="528"/>
      <c r="BG40" s="529"/>
      <c r="BH40" s="527"/>
      <c r="BI40" s="528"/>
      <c r="BJ40" s="529"/>
      <c r="BK40" s="527"/>
      <c r="BL40" s="528"/>
      <c r="BM40" s="529"/>
      <c r="BN40" s="527"/>
      <c r="BO40" s="528"/>
      <c r="BP40" s="529"/>
      <c r="BQ40" s="527"/>
      <c r="BR40" s="528"/>
      <c r="BS40" s="529"/>
      <c r="BT40" s="527"/>
      <c r="BU40" s="528"/>
      <c r="BV40" s="529"/>
      <c r="BW40" s="527"/>
      <c r="BX40" s="528"/>
      <c r="BY40" s="529"/>
      <c r="BZ40" s="527"/>
      <c r="CA40" s="528"/>
      <c r="CB40" s="529"/>
      <c r="CC40" s="527"/>
      <c r="CD40" s="528"/>
      <c r="CE40" s="529"/>
      <c r="CF40" s="527"/>
      <c r="CG40" s="528"/>
      <c r="CH40" s="529"/>
      <c r="CI40" s="527"/>
      <c r="CJ40" s="528"/>
      <c r="CK40" s="529"/>
      <c r="CL40" s="527"/>
      <c r="CM40" s="528"/>
      <c r="CN40" s="529"/>
      <c r="CO40" s="527"/>
      <c r="CP40" s="528"/>
      <c r="CQ40" s="529"/>
      <c r="CR40" s="527"/>
      <c r="CS40" s="528"/>
      <c r="CT40" s="529"/>
      <c r="CU40" s="527"/>
      <c r="CV40" s="528"/>
      <c r="CW40" s="529"/>
      <c r="CX40" s="527"/>
      <c r="CY40" s="528"/>
      <c r="CZ40" s="529"/>
      <c r="DA40" s="527"/>
      <c r="DB40" s="528"/>
      <c r="DC40" s="529"/>
      <c r="DD40" s="527"/>
      <c r="DE40" s="528"/>
      <c r="DF40" s="529"/>
      <c r="DG40" s="527"/>
      <c r="DH40" s="528"/>
      <c r="DI40" s="529"/>
      <c r="DJ40" s="527"/>
      <c r="DK40" s="528"/>
      <c r="DL40" s="529"/>
      <c r="DM40" s="527"/>
      <c r="DN40" s="528"/>
      <c r="DO40" s="529"/>
      <c r="DP40" s="527"/>
      <c r="DQ40" s="528"/>
      <c r="DR40" s="529"/>
      <c r="DS40" s="527"/>
      <c r="DT40" s="528"/>
      <c r="DU40" s="529"/>
      <c r="DV40" s="527"/>
      <c r="DW40" s="528"/>
      <c r="DX40" s="529"/>
      <c r="DY40" s="527"/>
      <c r="DZ40" s="528"/>
      <c r="EA40" s="529"/>
      <c r="EB40" s="527"/>
      <c r="EC40" s="528"/>
      <c r="ED40" s="529"/>
      <c r="EE40" s="527"/>
      <c r="EF40" s="528"/>
      <c r="EG40" s="529"/>
      <c r="EH40" s="527"/>
      <c r="EI40" s="528"/>
      <c r="EJ40" s="529"/>
      <c r="EK40" s="527"/>
      <c r="EL40" s="528"/>
      <c r="EM40" s="529"/>
      <c r="EN40" s="527"/>
      <c r="EO40" s="528"/>
      <c r="EP40" s="529"/>
      <c r="EQ40" s="527"/>
      <c r="ER40" s="528"/>
      <c r="ES40" s="529"/>
      <c r="ET40" s="527"/>
      <c r="EU40" s="528"/>
      <c r="EV40" s="529"/>
      <c r="EW40" s="527"/>
      <c r="EX40" s="528"/>
      <c r="EY40" s="529"/>
      <c r="EZ40" s="527"/>
      <c r="FA40" s="528"/>
      <c r="FB40" s="529"/>
      <c r="FC40" s="527"/>
      <c r="FD40" s="528"/>
      <c r="FE40" s="529"/>
      <c r="FF40" s="527"/>
      <c r="FG40" s="528"/>
      <c r="FH40" s="529"/>
      <c r="FI40" s="527"/>
      <c r="FJ40" s="528"/>
      <c r="FK40" s="529"/>
      <c r="FL40" s="527"/>
      <c r="FM40" s="528"/>
      <c r="FN40" s="529"/>
      <c r="FO40" s="527"/>
      <c r="FP40" s="528"/>
      <c r="FQ40" s="529"/>
      <c r="FR40" s="527"/>
      <c r="FS40" s="528"/>
      <c r="FT40" s="529"/>
      <c r="FU40" s="527"/>
      <c r="FV40" s="528"/>
      <c r="FW40" s="529"/>
      <c r="FX40" s="527"/>
      <c r="FY40" s="528"/>
      <c r="FZ40" s="529"/>
      <c r="GA40" s="527"/>
      <c r="GB40" s="528"/>
      <c r="GC40" s="529"/>
      <c r="GD40" s="527"/>
      <c r="GE40" s="528"/>
      <c r="GF40" s="529"/>
      <c r="GG40" s="527"/>
      <c r="GH40" s="528"/>
      <c r="GI40" s="529"/>
      <c r="GJ40" s="527"/>
      <c r="GK40" s="528"/>
      <c r="GL40" s="529"/>
      <c r="GM40" s="527"/>
      <c r="GN40" s="528"/>
      <c r="GO40" s="529"/>
      <c r="GP40" s="527"/>
      <c r="GQ40" s="528"/>
      <c r="GR40" s="529"/>
      <c r="GS40" s="527"/>
      <c r="GT40" s="528"/>
      <c r="GU40" s="529"/>
      <c r="GV40" s="527"/>
      <c r="GW40" s="528"/>
      <c r="GX40" s="529"/>
      <c r="GY40" s="527"/>
      <c r="GZ40" s="528"/>
      <c r="HA40" s="529"/>
      <c r="HB40" s="527"/>
      <c r="HC40" s="528"/>
      <c r="HD40" s="529"/>
      <c r="HE40" s="527"/>
      <c r="HF40" s="528"/>
      <c r="HG40" s="529"/>
      <c r="HH40" s="527"/>
      <c r="HI40" s="528"/>
      <c r="HJ40" s="529"/>
      <c r="HK40" s="527"/>
      <c r="HL40" s="528"/>
      <c r="HM40" s="529"/>
      <c r="HN40" s="527"/>
      <c r="HO40" s="528"/>
      <c r="HP40" s="529"/>
      <c r="HQ40" s="527"/>
      <c r="HR40" s="528"/>
      <c r="HS40" s="529"/>
      <c r="HT40" s="527"/>
      <c r="HU40" s="528"/>
      <c r="HV40" s="529"/>
      <c r="HW40" s="527"/>
      <c r="HX40" s="528"/>
      <c r="HY40" s="529"/>
      <c r="HZ40" s="527"/>
      <c r="IA40" s="528"/>
      <c r="IB40" s="529"/>
      <c r="IC40" s="527"/>
      <c r="ID40" s="528"/>
      <c r="IE40" s="529"/>
      <c r="IF40" s="527"/>
      <c r="IG40" s="528"/>
      <c r="IH40" s="529"/>
      <c r="II40" s="527"/>
      <c r="IJ40" s="528"/>
      <c r="IK40" s="529"/>
      <c r="IL40" s="527"/>
      <c r="IM40" s="528"/>
      <c r="IN40" s="529"/>
      <c r="IO40" s="527"/>
      <c r="IP40" s="528"/>
      <c r="IQ40" s="529"/>
      <c r="IR40" s="527"/>
      <c r="IS40" s="528"/>
      <c r="IT40" s="529"/>
      <c r="IU40" s="527"/>
      <c r="IV40" s="528"/>
      <c r="IW40" s="529"/>
      <c r="IX40" s="527"/>
      <c r="IY40" s="528"/>
      <c r="IZ40" s="529"/>
      <c r="JA40" s="527"/>
      <c r="JB40" s="528"/>
      <c r="JC40" s="529"/>
      <c r="JD40" s="527"/>
      <c r="JE40" s="528"/>
      <c r="JF40" s="529"/>
      <c r="JG40" s="527"/>
      <c r="JH40" s="528"/>
      <c r="JI40" s="529"/>
      <c r="JJ40" s="527"/>
      <c r="JK40" s="529"/>
      <c r="JL40" s="529"/>
      <c r="JM40" s="527"/>
      <c r="JN40" s="529"/>
      <c r="JO40" s="529"/>
      <c r="JP40" s="527"/>
      <c r="JQ40" s="529"/>
      <c r="JR40" s="529"/>
      <c r="JS40" s="527"/>
      <c r="JT40" s="529"/>
      <c r="JU40" s="529"/>
      <c r="JV40" s="527"/>
      <c r="JW40" s="529"/>
      <c r="JX40" s="529"/>
      <c r="JY40" s="527"/>
      <c r="JZ40" s="529"/>
      <c r="KA40" s="529"/>
      <c r="KB40" s="527"/>
      <c r="KC40" s="529"/>
      <c r="KD40" s="529"/>
      <c r="KE40" s="527"/>
      <c r="KF40" s="529"/>
      <c r="KG40" s="529"/>
      <c r="KH40" s="527"/>
      <c r="KI40" s="529"/>
      <c r="KJ40" s="529"/>
      <c r="KK40" s="527"/>
      <c r="KL40" s="529"/>
      <c r="KM40" s="529"/>
      <c r="KN40" s="527"/>
      <c r="KO40" s="529"/>
      <c r="KP40" s="529"/>
      <c r="KQ40" s="527"/>
      <c r="KR40" s="529"/>
      <c r="KS40" s="529"/>
      <c r="KT40" s="529"/>
      <c r="KU40" s="529"/>
      <c r="KV40" s="268"/>
    </row>
    <row r="41" spans="1:16384" s="274" customFormat="1" ht="15" customHeight="1" thickTop="1" thickBot="1">
      <c r="A41" s="717" t="s">
        <v>29</v>
      </c>
      <c r="B41" s="718"/>
      <c r="C41" s="719"/>
      <c r="D41" s="278">
        <f>SUM(D9:D40)</f>
        <v>1452.9290999999996</v>
      </c>
      <c r="E41" s="273">
        <v>0</v>
      </c>
      <c r="F41" s="530">
        <f>SUM(F9:F39)</f>
        <v>0</v>
      </c>
      <c r="G41" s="530">
        <f>IFERROR((F41/$L$41),0)</f>
        <v>0</v>
      </c>
      <c r="H41" s="530">
        <f>IFERROR(((F41*H$8)/$L$41),0)</f>
        <v>0</v>
      </c>
      <c r="I41" s="530">
        <f>SUM(I9:I39)</f>
        <v>0</v>
      </c>
      <c r="J41" s="530">
        <f>IFERROR((I41/$L$41),0)</f>
        <v>0</v>
      </c>
      <c r="K41" s="530">
        <f>IFERROR(((I41*K$8)/$L$41),0)</f>
        <v>0</v>
      </c>
      <c r="L41" s="530">
        <f>SUM(L9:L39)</f>
        <v>0</v>
      </c>
      <c r="M41" s="530">
        <f>IFERROR((L41/$L$41),0)</f>
        <v>0</v>
      </c>
      <c r="N41" s="530">
        <f>IFERROR(((L41*N$8)/$L$41),0)</f>
        <v>0</v>
      </c>
      <c r="O41" s="530">
        <f>SUM(O9:O39)</f>
        <v>335.12840000000006</v>
      </c>
      <c r="P41" s="530">
        <f>IFERROR((O41/$L$41),0)</f>
        <v>0</v>
      </c>
      <c r="Q41" s="530">
        <f>IFERROR(((O41*Q$8)/$L$41),0)</f>
        <v>0</v>
      </c>
      <c r="R41" s="530">
        <f>SUM(R9:R39)</f>
        <v>0</v>
      </c>
      <c r="S41" s="530">
        <f>IFERROR((R41/$L$41),0)</f>
        <v>0</v>
      </c>
      <c r="T41" s="530">
        <f>IFERROR(((R41*T$8)/$L$41),0)</f>
        <v>0</v>
      </c>
      <c r="U41" s="530">
        <f>SUM(U9:U39)</f>
        <v>219.62260000000001</v>
      </c>
      <c r="V41" s="530">
        <f>IFERROR((U41/$L$41),0)</f>
        <v>0</v>
      </c>
      <c r="W41" s="530">
        <f>IFERROR(((U41*W$8)/$L$41),0)</f>
        <v>0</v>
      </c>
      <c r="X41" s="530">
        <f>SUM(X9:X39)</f>
        <v>0</v>
      </c>
      <c r="Y41" s="530">
        <f>IFERROR((X41/$L$41),0)</f>
        <v>0</v>
      </c>
      <c r="Z41" s="530">
        <f>IFERROR(((X41*Z$8)/$L$41),0)</f>
        <v>0</v>
      </c>
      <c r="AA41" s="530">
        <f>SUM(AA9:AA39)</f>
        <v>192.96874999999994</v>
      </c>
      <c r="AB41" s="530">
        <f>IFERROR((AA41/$L$41),0)</f>
        <v>0</v>
      </c>
      <c r="AC41" s="530">
        <f>IFERROR(((AA41*AC$8)/$L$41),0)</f>
        <v>0</v>
      </c>
      <c r="AD41" s="530">
        <f>SUM(AD9:AD39)</f>
        <v>0</v>
      </c>
      <c r="AE41" s="530">
        <f>IFERROR((AD41/$L$41),0)</f>
        <v>0</v>
      </c>
      <c r="AF41" s="530">
        <f>IFERROR(((AD41*AF$8)/$L$41),0)</f>
        <v>0</v>
      </c>
      <c r="AG41" s="530">
        <f>SUM(AG9:AG39)</f>
        <v>0</v>
      </c>
      <c r="AH41" s="530">
        <f>IFERROR((AG41/$L$41),0)</f>
        <v>0</v>
      </c>
      <c r="AI41" s="530">
        <f>IFERROR(((AG41*AI$8)/$L$41),0)</f>
        <v>0</v>
      </c>
      <c r="AJ41" s="530">
        <f>SUM(AJ9:AJ39)</f>
        <v>814.31719999999996</v>
      </c>
      <c r="AK41" s="530">
        <f>IFERROR((AJ41/$L$41),0)</f>
        <v>0</v>
      </c>
      <c r="AL41" s="530">
        <f>IFERROR(((AJ41*AL$8)/$L$41),0)</f>
        <v>0</v>
      </c>
      <c r="AM41" s="530">
        <f>SUM(AM9:AM39)</f>
        <v>0</v>
      </c>
      <c r="AN41" s="530">
        <f>IFERROR((AM41/$L$41),0)</f>
        <v>0</v>
      </c>
      <c r="AO41" s="530">
        <f>IFERROR(((AM41*AO$8)/$L$41),0)</f>
        <v>0</v>
      </c>
      <c r="AP41" s="530">
        <f>SUM(AP9:AP39)</f>
        <v>0</v>
      </c>
      <c r="AQ41" s="530">
        <f>IFERROR((AP41/$L$41),0)</f>
        <v>0</v>
      </c>
      <c r="AR41" s="530">
        <f>IFERROR(((AP41*AR$8)/$L$41),0)</f>
        <v>0</v>
      </c>
      <c r="AS41" s="530">
        <f>SUM(AS9:AS39)</f>
        <v>0</v>
      </c>
      <c r="AT41" s="530">
        <f>IFERROR((AS41/$L$41),0)</f>
        <v>0</v>
      </c>
      <c r="AU41" s="530">
        <f>IFERROR(((AS41*AU$8)/$L$41),0)</f>
        <v>0</v>
      </c>
      <c r="AV41" s="530">
        <f>SUM(AV9:AV39)</f>
        <v>0</v>
      </c>
      <c r="AW41" s="530">
        <f>IFERROR((AV41/$L$41),0)</f>
        <v>0</v>
      </c>
      <c r="AX41" s="530">
        <f>IFERROR(((AV41*AX$8)/$L$41),0)</f>
        <v>0</v>
      </c>
      <c r="AY41" s="530">
        <f>SUM(AY9:AY39)</f>
        <v>0</v>
      </c>
      <c r="AZ41" s="530">
        <f>IFERROR((AY41/$L$41),0)</f>
        <v>0</v>
      </c>
      <c r="BA41" s="530">
        <f>IFERROR(((AY41*BA$8)/$L$41),0)</f>
        <v>0</v>
      </c>
      <c r="BB41" s="530">
        <f>SUM(BB9:BB39)</f>
        <v>0</v>
      </c>
      <c r="BC41" s="530">
        <f>IFERROR((BB41/$L$41),0)</f>
        <v>0</v>
      </c>
      <c r="BD41" s="530">
        <f>IFERROR(((BB41*BD$8)/$L$41),0)</f>
        <v>0</v>
      </c>
      <c r="BE41" s="530">
        <f>SUM(BE9:BE39)</f>
        <v>0</v>
      </c>
      <c r="BF41" s="530">
        <f>IFERROR((BE41/$L$41),0)</f>
        <v>0</v>
      </c>
      <c r="BG41" s="530">
        <f>IFERROR(((BE41*BG$8)/$L$41),0)</f>
        <v>0</v>
      </c>
      <c r="BH41" s="530">
        <f>SUM(BH9:BH39)</f>
        <v>0</v>
      </c>
      <c r="BI41" s="530">
        <f>IFERROR((BH41/$L$41),0)</f>
        <v>0</v>
      </c>
      <c r="BJ41" s="530">
        <f>IFERROR(((BH41*BJ$8)/$L$41),0)</f>
        <v>0</v>
      </c>
      <c r="BK41" s="530">
        <f>SUM(BK9:BK39)</f>
        <v>0</v>
      </c>
      <c r="BL41" s="530">
        <f>IFERROR((BK41/$L$41),0)</f>
        <v>0</v>
      </c>
      <c r="BM41" s="530">
        <f>IFERROR(((BK41*BM$8)/$L$41),0)</f>
        <v>0</v>
      </c>
      <c r="BN41" s="530">
        <f>SUM(BN9:BN39)</f>
        <v>0</v>
      </c>
      <c r="BO41" s="530">
        <f>IFERROR((BN41/$L$41),0)</f>
        <v>0</v>
      </c>
      <c r="BP41" s="530">
        <f>IFERROR(((BN41*BP$8)/$L$41),0)</f>
        <v>0</v>
      </c>
      <c r="BQ41" s="530">
        <f>SUM(BQ9:BQ39)</f>
        <v>0</v>
      </c>
      <c r="BR41" s="530">
        <f>IFERROR((BQ41/$L$41),0)</f>
        <v>0</v>
      </c>
      <c r="BS41" s="530">
        <f>IFERROR(((BQ41*BS$8)/$L$41),0)</f>
        <v>0</v>
      </c>
      <c r="BT41" s="530">
        <f>SUM(BT9:BT39)</f>
        <v>0</v>
      </c>
      <c r="BU41" s="530">
        <f>IFERROR((BT41/$L$41),0)</f>
        <v>0</v>
      </c>
      <c r="BV41" s="530">
        <f>IFERROR(((BT41*BV$8)/$L$41),0)</f>
        <v>0</v>
      </c>
      <c r="BW41" s="530">
        <f>SUM(BW9:BW39)</f>
        <v>0</v>
      </c>
      <c r="BX41" s="530">
        <f>IFERROR((BW41/$L$41),0)</f>
        <v>0</v>
      </c>
      <c r="BY41" s="530">
        <f>IFERROR(((BW41*BY$8)/$L$41),0)</f>
        <v>0</v>
      </c>
      <c r="BZ41" s="530">
        <f>SUM(BZ9:BZ39)</f>
        <v>0</v>
      </c>
      <c r="CA41" s="530">
        <f>IFERROR((BZ41/$L$41),0)</f>
        <v>0</v>
      </c>
      <c r="CB41" s="530">
        <f>IFERROR(((BZ41*CB$8)/$L$41),0)</f>
        <v>0</v>
      </c>
      <c r="CC41" s="530">
        <f>SUM(CC9:CC39)</f>
        <v>15</v>
      </c>
      <c r="CD41" s="530">
        <f>IFERROR((CC41/$L$41),0)</f>
        <v>0</v>
      </c>
      <c r="CE41" s="530">
        <f>IFERROR(((CC41*CE$8)/$L$41),0)</f>
        <v>0</v>
      </c>
      <c r="CF41" s="530">
        <f>SUM(CF9:CF39)</f>
        <v>145.5</v>
      </c>
      <c r="CG41" s="530">
        <f>IFERROR((CF41/$L$41),0)</f>
        <v>0</v>
      </c>
      <c r="CH41" s="530">
        <f>IFERROR(((CF41*CH$8)/$L$41),0)</f>
        <v>0</v>
      </c>
      <c r="CI41" s="530">
        <f>SUM(CI9:CI39)</f>
        <v>0</v>
      </c>
      <c r="CJ41" s="530">
        <f>IFERROR((CI41/$L$41),0)</f>
        <v>0</v>
      </c>
      <c r="CK41" s="530">
        <f>IFERROR(((CI41*CK$8)/$L$41),0)</f>
        <v>0</v>
      </c>
      <c r="CL41" s="530">
        <f>SUM(CL9:CL39)</f>
        <v>0</v>
      </c>
      <c r="CM41" s="530">
        <f>IFERROR((CL41/$L$41),0)</f>
        <v>0</v>
      </c>
      <c r="CN41" s="530">
        <f>IFERROR(((CL41*CN$8)/$L$41),0)</f>
        <v>0</v>
      </c>
      <c r="CO41" s="530">
        <f>SUM(CO9:CO39)</f>
        <v>0</v>
      </c>
      <c r="CP41" s="530">
        <f>IFERROR((CO41/$L$41),0)</f>
        <v>0</v>
      </c>
      <c r="CQ41" s="530">
        <f>IFERROR(((CO41*CQ$8)/$L$41),0)</f>
        <v>0</v>
      </c>
      <c r="CR41" s="530">
        <f>SUM(CR9:CR39)</f>
        <v>0</v>
      </c>
      <c r="CS41" s="530">
        <f>IFERROR((CR41/$L$41),0)</f>
        <v>0</v>
      </c>
      <c r="CT41" s="530">
        <f>IFERROR(((CR41*CT$8)/$L$41),0)</f>
        <v>0</v>
      </c>
      <c r="CU41" s="530">
        <f>SUM(CU9:CU39)</f>
        <v>0</v>
      </c>
      <c r="CV41" s="530">
        <f>IFERROR((CU41/$L$41),0)</f>
        <v>0</v>
      </c>
      <c r="CW41" s="530">
        <f>IFERROR(((CU41*CW$8)/$L$41),0)</f>
        <v>0</v>
      </c>
      <c r="CX41" s="530">
        <f>SUM(CX9:CX39)</f>
        <v>0</v>
      </c>
      <c r="CY41" s="530">
        <f>IFERROR((CX41/$L$41),0)</f>
        <v>0</v>
      </c>
      <c r="CZ41" s="530">
        <f>IFERROR(((CX41*CZ$8)/$L$41),0)</f>
        <v>0</v>
      </c>
      <c r="DA41" s="530">
        <f>SUM(DA9:DA39)</f>
        <v>4764.9924651162792</v>
      </c>
      <c r="DB41" s="530">
        <f>IFERROR((DA41/$L$41),0)</f>
        <v>0</v>
      </c>
      <c r="DC41" s="530">
        <f>IFERROR(((DA41*DC$8)/$L$41),0)</f>
        <v>0</v>
      </c>
      <c r="DD41" s="530">
        <f>SUM(DD9:DD39)</f>
        <v>0</v>
      </c>
      <c r="DE41" s="530">
        <f>IFERROR((DD41/$L$41),0)</f>
        <v>0</v>
      </c>
      <c r="DF41" s="530">
        <f>IFERROR(((DD41*DF$8)/$L$41),0)</f>
        <v>0</v>
      </c>
      <c r="DG41" s="530">
        <f>SUM(DG14:DG39)</f>
        <v>0</v>
      </c>
      <c r="DH41" s="530">
        <f>IFERROR((DG41/$L$41),0)</f>
        <v>0</v>
      </c>
      <c r="DI41" s="530">
        <f>IFERROR(((DG41*DI$8)/$L$41),0)</f>
        <v>0</v>
      </c>
      <c r="DJ41" s="530">
        <f>SUM(DJ9:DJ39)</f>
        <v>0</v>
      </c>
      <c r="DK41" s="530">
        <f>IFERROR((DJ41/$L$41),0)</f>
        <v>0</v>
      </c>
      <c r="DL41" s="530">
        <f>IFERROR(((DJ41*DL$8)/$L$41),0)</f>
        <v>0</v>
      </c>
      <c r="DM41" s="530">
        <f>SUM(DM9:DM39)</f>
        <v>0</v>
      </c>
      <c r="DN41" s="530">
        <f>IFERROR((DM41/$L$41),0)</f>
        <v>0</v>
      </c>
      <c r="DO41" s="530">
        <f>IFERROR(((DM41*DO$8)/$L$41),0)</f>
        <v>0</v>
      </c>
      <c r="DP41" s="530">
        <f>SUM(DP9:DP39)</f>
        <v>0</v>
      </c>
      <c r="DQ41" s="530">
        <f>IFERROR((DP41/$L$41),0)</f>
        <v>0</v>
      </c>
      <c r="DR41" s="530">
        <f>IFERROR(((DP41*DR$8)/$L$41),0)</f>
        <v>0</v>
      </c>
      <c r="DS41" s="530">
        <f>SUM(DS9:DS39)</f>
        <v>0</v>
      </c>
      <c r="DT41" s="530">
        <f>IFERROR((DS41/$L$41),0)</f>
        <v>0</v>
      </c>
      <c r="DU41" s="530">
        <f>IFERROR(((DS41*DU$8)/$L$41),0)</f>
        <v>0</v>
      </c>
      <c r="DV41" s="530">
        <f>SUM(DV9:DV39)</f>
        <v>0</v>
      </c>
      <c r="DW41" s="530">
        <f>IFERROR((DV41/$L$41),0)</f>
        <v>0</v>
      </c>
      <c r="DX41" s="530">
        <f>IFERROR(((DV41*DX$8)/$L$41),0)</f>
        <v>0</v>
      </c>
      <c r="DY41" s="530">
        <f>SUM(DY9:DY39)</f>
        <v>0</v>
      </c>
      <c r="DZ41" s="530">
        <f>IFERROR((DY41/$L$41),0)</f>
        <v>0</v>
      </c>
      <c r="EA41" s="530">
        <f>IFERROR(((DY41*EA$8)/$L$41),0)</f>
        <v>0</v>
      </c>
      <c r="EB41" s="530">
        <f>SUM(EB9:EB39)</f>
        <v>7104.6511627906966</v>
      </c>
      <c r="EC41" s="530">
        <f>IFERROR((EB41/$L$41),0)</f>
        <v>0</v>
      </c>
      <c r="ED41" s="530">
        <f>IFERROR(((EB41*ED$8)/$L$41),0)</f>
        <v>0</v>
      </c>
      <c r="EE41" s="530">
        <f>SUM(EE9:EE39)</f>
        <v>537.79093023255814</v>
      </c>
      <c r="EF41" s="530">
        <f>IFERROR((EE41/$L$41),0)</f>
        <v>0</v>
      </c>
      <c r="EG41" s="530">
        <f>IFERROR(((EE41*EG$8)/$L$41),0)</f>
        <v>0</v>
      </c>
      <c r="EH41" s="530">
        <f>SUM(EH9:EH39)</f>
        <v>7146.020588235293</v>
      </c>
      <c r="EI41" s="530">
        <f>IFERROR((EH41/$L$41),0)</f>
        <v>0</v>
      </c>
      <c r="EJ41" s="530">
        <f>IFERROR(((EH41*EJ$8)/$L$41),0)</f>
        <v>0</v>
      </c>
      <c r="EK41" s="530">
        <f>SUM(EK9:EK39)</f>
        <v>29.500000000000004</v>
      </c>
      <c r="EL41" s="530">
        <f>IFERROR((EK41/$L$41),0)</f>
        <v>0</v>
      </c>
      <c r="EM41" s="530">
        <f>IFERROR(((EK41*EM$8)/$L$41),0)</f>
        <v>0</v>
      </c>
      <c r="EN41" s="530">
        <f>SUM(EN9:EN39)</f>
        <v>1097.4417697646061</v>
      </c>
      <c r="EO41" s="530">
        <f>IFERROR((EN41/$L$41),0)</f>
        <v>0</v>
      </c>
      <c r="EP41" s="530">
        <f>IFERROR(((EN41*EP$8)/$L$41),0)</f>
        <v>0</v>
      </c>
      <c r="EQ41" s="530">
        <f>SUM(EQ9:EQ39)</f>
        <v>1281.6069566903006</v>
      </c>
      <c r="ER41" s="530">
        <f>IFERROR((EQ41/$L$41),0)</f>
        <v>0</v>
      </c>
      <c r="ES41" s="530">
        <f>IFERROR(((EQ41*ES$8)/$L$41),0)</f>
        <v>0</v>
      </c>
      <c r="ET41" s="530">
        <f>SUM(ET9:ET39)</f>
        <v>0</v>
      </c>
      <c r="EU41" s="530">
        <f>IFERROR((ET41/$L$41),0)</f>
        <v>0</v>
      </c>
      <c r="EV41" s="530">
        <f>IFERROR(((ET41*EV$8)/$L$41),0)</f>
        <v>0</v>
      </c>
      <c r="EW41" s="530">
        <f>SUM(EW9:EW39)</f>
        <v>0</v>
      </c>
      <c r="EX41" s="530">
        <f>IFERROR((EW41/$L$41),0)</f>
        <v>0</v>
      </c>
      <c r="EY41" s="530">
        <f>IFERROR(((EW41*EY$8)/$L$41),0)</f>
        <v>0</v>
      </c>
      <c r="EZ41" s="530">
        <f>SUM(EZ9:EZ39)</f>
        <v>0</v>
      </c>
      <c r="FA41" s="530">
        <f>IFERROR((EZ41/$L$41),0)</f>
        <v>0</v>
      </c>
      <c r="FB41" s="530">
        <f>IFERROR(((EZ41*FB$8)/$L$41),0)</f>
        <v>0</v>
      </c>
      <c r="FC41" s="530">
        <f>SUM(FC9:FC39)</f>
        <v>0</v>
      </c>
      <c r="FD41" s="530">
        <f>IFERROR((FC41/$L$41),0)</f>
        <v>0</v>
      </c>
      <c r="FE41" s="530">
        <f>IFERROR(((FC41*FE$8)/$L$41),0)</f>
        <v>0</v>
      </c>
      <c r="FF41" s="530">
        <f>SUM(FF9:FF39)</f>
        <v>0</v>
      </c>
      <c r="FG41" s="530">
        <f>IFERROR((FF41/$L$41),0)</f>
        <v>0</v>
      </c>
      <c r="FH41" s="530">
        <f>IFERROR(((FF41*FH$8)/$L$41),0)</f>
        <v>0</v>
      </c>
      <c r="FI41" s="530">
        <f>SUM(FI9:FI39)</f>
        <v>0</v>
      </c>
      <c r="FJ41" s="530">
        <f>IFERROR((FI41/$L$41),0)</f>
        <v>0</v>
      </c>
      <c r="FK41" s="530">
        <f>IFERROR(((FI41*FK$8)/$L$41),0)</f>
        <v>0</v>
      </c>
      <c r="FL41" s="530">
        <f>SUM(FL9:FL39)</f>
        <v>0</v>
      </c>
      <c r="FM41" s="530">
        <f>IFERROR((FL41/$L$41),0)</f>
        <v>0</v>
      </c>
      <c r="FN41" s="530">
        <f>IFERROR(((FL41*FN$8)/$L$41),0)</f>
        <v>0</v>
      </c>
      <c r="FO41" s="530">
        <f>SUM(FO9:FO39)</f>
        <v>0</v>
      </c>
      <c r="FP41" s="530">
        <f>IFERROR((FO41/$L$41),0)</f>
        <v>0</v>
      </c>
      <c r="FQ41" s="530">
        <f>IFERROR(((FO41*FQ$8)/$L$41),0)</f>
        <v>0</v>
      </c>
      <c r="FR41" s="530">
        <f>SUM(FR9:FR39)</f>
        <v>0</v>
      </c>
      <c r="FS41" s="530">
        <f>IFERROR((FR41/$L$41),0)</f>
        <v>0</v>
      </c>
      <c r="FT41" s="530">
        <f>IFERROR(((FR41*FT$8)/$L$41),0)</f>
        <v>0</v>
      </c>
      <c r="FU41" s="530">
        <f>SUM(FU9:FU39)</f>
        <v>0</v>
      </c>
      <c r="FV41" s="530">
        <f>IFERROR((FU41/$L$41),0)</f>
        <v>0</v>
      </c>
      <c r="FW41" s="530">
        <f>IFERROR(((FU41*FW$8)/$L$41),0)</f>
        <v>0</v>
      </c>
      <c r="FX41" s="530">
        <f>SUM(FX9:FX39)</f>
        <v>0</v>
      </c>
      <c r="FY41" s="530">
        <f>IFERROR((FX41/$L$41),0)</f>
        <v>0</v>
      </c>
      <c r="FZ41" s="530">
        <f>IFERROR(((FX41*FZ$8)/$L$41),0)</f>
        <v>0</v>
      </c>
      <c r="GA41" s="530">
        <f>SUM(GA9:GA39)</f>
        <v>0</v>
      </c>
      <c r="GB41" s="530">
        <f>IFERROR((GA41/$L$41),0)</f>
        <v>0</v>
      </c>
      <c r="GC41" s="530">
        <f>IFERROR(((GA41*GC$8)/$L$41),0)</f>
        <v>0</v>
      </c>
      <c r="GD41" s="530">
        <f>SUM(GD9:GD39)</f>
        <v>0</v>
      </c>
      <c r="GE41" s="530">
        <f>IFERROR((GD41/$L$41),0)</f>
        <v>0</v>
      </c>
      <c r="GF41" s="530">
        <f>IFERROR(((GD41*GF$8)/$L$41),0)</f>
        <v>0</v>
      </c>
      <c r="GG41" s="530">
        <f>SUM(GG9:GG39)</f>
        <v>436.17661085324693</v>
      </c>
      <c r="GH41" s="530">
        <f>IFERROR((GG41/$L$41),0)</f>
        <v>0</v>
      </c>
      <c r="GI41" s="530">
        <f>IFERROR(((GG41*GI$8)/$L$41),0)</f>
        <v>0</v>
      </c>
      <c r="GJ41" s="530">
        <f>SUM(GJ9:GJ39)</f>
        <v>450.80778472869383</v>
      </c>
      <c r="GK41" s="530">
        <f>IFERROR((GJ41/$L$41),0)</f>
        <v>0</v>
      </c>
      <c r="GL41" s="530">
        <f>IFERROR(((GJ41*GL$8)/$L$41),0)</f>
        <v>0</v>
      </c>
      <c r="GM41" s="530">
        <f>SUM(GM9:GM39)</f>
        <v>0</v>
      </c>
      <c r="GN41" s="530">
        <f>IFERROR((GM41/$L$41),0)</f>
        <v>0</v>
      </c>
      <c r="GO41" s="530">
        <f>IFERROR(((GM41*GO$8)/$L$41),0)</f>
        <v>0</v>
      </c>
      <c r="GP41" s="530">
        <f>SUM(GP9:GP39)</f>
        <v>1136.15445016843</v>
      </c>
      <c r="GQ41" s="530">
        <f>IFERROR((GP41/$L$41),0)</f>
        <v>0</v>
      </c>
      <c r="GR41" s="530">
        <f>IFERROR(((GP41*GR$8)/$L$41),0)</f>
        <v>0</v>
      </c>
      <c r="GS41" s="530">
        <f>SUM(GS9:GS39)</f>
        <v>7153.747366497123</v>
      </c>
      <c r="GT41" s="530">
        <f>IFERROR((GS41/$L$41),0)</f>
        <v>0</v>
      </c>
      <c r="GU41" s="530">
        <f>IFERROR(((GS41*GU$8)/$L$41),0)</f>
        <v>0</v>
      </c>
      <c r="GV41" s="530">
        <f>SUM(GV9:GV39)</f>
        <v>2287.1243333849984</v>
      </c>
      <c r="GW41" s="530">
        <f>IFERROR((GV41/$L$41),0)</f>
        <v>0</v>
      </c>
      <c r="GX41" s="530">
        <f>IFERROR(((GV41*GX$8)/$L$41),0)</f>
        <v>0</v>
      </c>
      <c r="GY41" s="530">
        <f>SUM(GY9:GY39)</f>
        <v>0</v>
      </c>
      <c r="GZ41" s="530">
        <f>IFERROR((GY41/$L$41),0)</f>
        <v>0</v>
      </c>
      <c r="HA41" s="530">
        <f>IFERROR(((GY41*HA$8)/$L$41),0)</f>
        <v>0</v>
      </c>
      <c r="HB41" s="530">
        <f>SUM(HB9:HB39)</f>
        <v>0</v>
      </c>
      <c r="HC41" s="530">
        <f>IFERROR((HB41/$L$41),0)</f>
        <v>0</v>
      </c>
      <c r="HD41" s="530">
        <f>IFERROR(((HB41*HD$8)/$L$41),0)</f>
        <v>0</v>
      </c>
      <c r="HE41" s="530">
        <f>SUM(HE9:HE39)</f>
        <v>0</v>
      </c>
      <c r="HF41" s="530">
        <f>IFERROR((HE41/$L$41),0)</f>
        <v>0</v>
      </c>
      <c r="HG41" s="530">
        <f>IFERROR(((HE41*HG$8)/$L$41),0)</f>
        <v>0</v>
      </c>
      <c r="HH41" s="530">
        <f>SUM(HH9:HH39)</f>
        <v>0</v>
      </c>
      <c r="HI41" s="530">
        <f>IFERROR((HH41/$L$41),0)</f>
        <v>0</v>
      </c>
      <c r="HJ41" s="530">
        <f>IFERROR(((HH41*HJ$8)/$L$41),0)</f>
        <v>0</v>
      </c>
      <c r="HK41" s="530">
        <f>SUM(HK9:HK39)</f>
        <v>0</v>
      </c>
      <c r="HL41" s="530">
        <f>IFERROR((HK41/$L$41),0)</f>
        <v>0</v>
      </c>
      <c r="HM41" s="530">
        <f>IFERROR(((HK41*HM$8)/$L$41),0)</f>
        <v>0</v>
      </c>
      <c r="HN41" s="530">
        <f>SUM(HN9:HN39)</f>
        <v>24798.251079607893</v>
      </c>
      <c r="HO41" s="530">
        <f>IFERROR((HN41/$L$41),0)</f>
        <v>0</v>
      </c>
      <c r="HP41" s="530">
        <f>IFERROR(((HN41*HP$8)/$L$41),0)</f>
        <v>0</v>
      </c>
      <c r="HQ41" s="530">
        <f>SUM(HQ9:HQ39)</f>
        <v>0</v>
      </c>
      <c r="HR41" s="530">
        <f>IFERROR((HQ41/$L$41),0)</f>
        <v>0</v>
      </c>
      <c r="HS41" s="530">
        <f>IFERROR(((HQ41*HS$8)/$L$41),0)</f>
        <v>0</v>
      </c>
      <c r="HT41" s="530">
        <f>SUM(HT9:HT39)</f>
        <v>0</v>
      </c>
      <c r="HU41" s="530">
        <f>IFERROR((HT41/$L$41),0)</f>
        <v>0</v>
      </c>
      <c r="HV41" s="530">
        <f>IFERROR(((HT41*HV$8)/$L$41),0)</f>
        <v>0</v>
      </c>
      <c r="HW41" s="530">
        <f>SUM(HW9:HW39)</f>
        <v>0</v>
      </c>
      <c r="HX41" s="530">
        <f>IFERROR((HW41/$L$41),0)</f>
        <v>0</v>
      </c>
      <c r="HY41" s="530">
        <f>IFERROR(((HW41*HY$8)/$L$41),0)</f>
        <v>0</v>
      </c>
      <c r="HZ41" s="530">
        <f>SUM(HZ9:HZ39)</f>
        <v>0</v>
      </c>
      <c r="IA41" s="530">
        <f>IFERROR((HZ41/$L$41),0)</f>
        <v>0</v>
      </c>
      <c r="IB41" s="530">
        <f>IFERROR(((HZ41*IB$8)/$L$41),0)</f>
        <v>0</v>
      </c>
      <c r="IC41" s="530">
        <f>SUM(IC9:IC39)</f>
        <v>0</v>
      </c>
      <c r="ID41" s="530">
        <f>IFERROR((IC41/$L$41),0)</f>
        <v>0</v>
      </c>
      <c r="IE41" s="530">
        <f>IFERROR(((IC41*IE$8)/$L$41),0)</f>
        <v>0</v>
      </c>
      <c r="IF41" s="530">
        <f>SUM(IF9:IF39)</f>
        <v>0</v>
      </c>
      <c r="IG41" s="530">
        <f>IFERROR((IF41/$L$41),0)</f>
        <v>0</v>
      </c>
      <c r="IH41" s="530">
        <f>IFERROR(((IF41*IH$8)/$L$41),0)</f>
        <v>0</v>
      </c>
      <c r="II41" s="530">
        <f>SUM(II9:II39)</f>
        <v>711.68501268429623</v>
      </c>
      <c r="IJ41" s="530">
        <f>IFERROR((II41/$L$41),0)</f>
        <v>0</v>
      </c>
      <c r="IK41" s="530">
        <f>IFERROR(((II41*IK$8)/$L$41),0)</f>
        <v>0</v>
      </c>
      <c r="IL41" s="530">
        <f>SUM(IL9:IL39)</f>
        <v>0</v>
      </c>
      <c r="IM41" s="530">
        <f>IFERROR((IL41/$L$41),0)</f>
        <v>0</v>
      </c>
      <c r="IN41" s="530">
        <f>IFERROR(((IL41*IN$8)/$L$41),0)</f>
        <v>0</v>
      </c>
      <c r="IO41" s="530">
        <f>SUM(IO9:IO39)</f>
        <v>0</v>
      </c>
      <c r="IP41" s="530">
        <f>IFERROR((IO41/$L$41),0)</f>
        <v>0</v>
      </c>
      <c r="IQ41" s="530">
        <f>IFERROR(((IO41*IQ$8)/$L$41),0)</f>
        <v>0</v>
      </c>
      <c r="IR41" s="530">
        <f>SUM(IR9:IR39)</f>
        <v>1360.9855517067854</v>
      </c>
      <c r="IS41" s="530">
        <f>IFERROR((IR41/$L$41),0)</f>
        <v>0</v>
      </c>
      <c r="IT41" s="530">
        <f>IFERROR(((IR41*IT$8)/$L$41),0)</f>
        <v>0</v>
      </c>
      <c r="IU41" s="530">
        <f>SUM(IU9:IU39)</f>
        <v>0</v>
      </c>
      <c r="IV41" s="530">
        <f>IFERROR((IU41/$L$41),0)</f>
        <v>0</v>
      </c>
      <c r="IW41" s="530">
        <f>IFERROR(((IU41*IW$8)/$L$41),0)</f>
        <v>0</v>
      </c>
      <c r="IX41" s="530">
        <f>SUM(IX9:IX39)</f>
        <v>0</v>
      </c>
      <c r="IY41" s="530">
        <f>IFERROR((IX41/$L$41),0)</f>
        <v>0</v>
      </c>
      <c r="IZ41" s="530">
        <f>IFERROR(((IX41*IZ$8)/$L$41),0)</f>
        <v>0</v>
      </c>
      <c r="JA41" s="530">
        <f>SUM(JA9:JA39)</f>
        <v>0</v>
      </c>
      <c r="JB41" s="530">
        <f>IFERROR((JA41/$L$41),0)</f>
        <v>0</v>
      </c>
      <c r="JC41" s="530">
        <f>IFERROR(((JA41*JC$8)/$L$41),0)</f>
        <v>0</v>
      </c>
      <c r="JD41" s="530">
        <f>SUM(JD9:JD39)</f>
        <v>0</v>
      </c>
      <c r="JE41" s="530">
        <f>IFERROR((JD41/$L$41),0)</f>
        <v>0</v>
      </c>
      <c r="JF41" s="530">
        <f>IFERROR(((JD41*JF$8)/$L$41),0)</f>
        <v>0</v>
      </c>
      <c r="JG41" s="530">
        <f>SUM(JG9:JG39)</f>
        <v>0</v>
      </c>
      <c r="JH41" s="530">
        <f>IFERROR((JG41/$L$41),0)</f>
        <v>0</v>
      </c>
      <c r="JI41" s="530">
        <f>IFERROR(((JG41*JI$8)/$L$41),0)</f>
        <v>0</v>
      </c>
      <c r="JJ41" s="530">
        <f>SUM(JJ9:JJ39)</f>
        <v>665.90851262214892</v>
      </c>
      <c r="JK41" s="530">
        <f>IFERROR((JJ41/$L$41),0)</f>
        <v>0</v>
      </c>
      <c r="JL41" s="530">
        <f>IFERROR(((JJ41*JL$8)/$L$41),0)</f>
        <v>0</v>
      </c>
      <c r="JM41" s="530">
        <f>SUM(JM9:JM39)</f>
        <v>13.104974450449966</v>
      </c>
      <c r="JN41" s="530">
        <f>IFERROR((JM41/$L$41),0)</f>
        <v>0</v>
      </c>
      <c r="JO41" s="530">
        <f>IFERROR(((JM41*JO$8)/$L$41),0)</f>
        <v>0</v>
      </c>
      <c r="JP41" s="530">
        <f>SUM(JP9:JP39)</f>
        <v>0</v>
      </c>
      <c r="JQ41" s="530">
        <f>IFERROR((JP41/$L$41),0)</f>
        <v>0</v>
      </c>
      <c r="JR41" s="530">
        <f>IFERROR(((JP41*JR$8)/$L$41),0)</f>
        <v>0</v>
      </c>
      <c r="JS41" s="530">
        <f>SUM(JS9:JS39)</f>
        <v>0</v>
      </c>
      <c r="JT41" s="530">
        <f>IFERROR((JS41/$L$41),0)</f>
        <v>0</v>
      </c>
      <c r="JU41" s="530">
        <f>IFERROR(((JS41*JU$8)/$L$41),0)</f>
        <v>0</v>
      </c>
      <c r="JV41" s="530">
        <f>SUM(JV9:JV39)</f>
        <v>0</v>
      </c>
      <c r="JW41" s="530">
        <f>IFERROR((JV41/$L$41),0)</f>
        <v>0</v>
      </c>
      <c r="JX41" s="530">
        <f>IFERROR(((JV41*JX$8)/$L$41),0)</f>
        <v>0</v>
      </c>
      <c r="JY41" s="530">
        <f>SUM(JY9:JY39)</f>
        <v>0</v>
      </c>
      <c r="JZ41" s="530">
        <f>IFERROR((JY41/$L$41),0)</f>
        <v>0</v>
      </c>
      <c r="KA41" s="530">
        <f>IFERROR(((JY41*KA$8)/$L$41),0)</f>
        <v>0</v>
      </c>
      <c r="KB41" s="530">
        <f>SUM(KB9:KB39)</f>
        <v>0</v>
      </c>
      <c r="KC41" s="530">
        <f>IFERROR((KB41/$L$41),0)</f>
        <v>0</v>
      </c>
      <c r="KD41" s="530">
        <f>IFERROR(((KB41*KD$8)/$L$41),0)</f>
        <v>0</v>
      </c>
      <c r="KE41" s="530">
        <f>SUM(KE9:KE39)</f>
        <v>0</v>
      </c>
      <c r="KF41" s="530">
        <f>IFERROR((KE41/$L$41),0)</f>
        <v>0</v>
      </c>
      <c r="KG41" s="530">
        <f>IFERROR(((KE41*KG$8)/$L$41),0)</f>
        <v>0</v>
      </c>
      <c r="KH41" s="530">
        <f>SUM(KH9:KH39)</f>
        <v>0</v>
      </c>
      <c r="KI41" s="530">
        <f>IFERROR((KH41/$L$41),0)</f>
        <v>0</v>
      </c>
      <c r="KJ41" s="530">
        <f>IFERROR(((KH41*KJ$8)/$L$41),0)</f>
        <v>0</v>
      </c>
      <c r="KK41" s="530">
        <f>SUM(KK9:KK39)</f>
        <v>0</v>
      </c>
      <c r="KL41" s="530">
        <f>IFERROR((KK41/$L$41),0)</f>
        <v>0</v>
      </c>
      <c r="KM41" s="530">
        <f>IFERROR(((KK41*KM$8)/$L$41),0)</f>
        <v>0</v>
      </c>
      <c r="KN41" s="530">
        <f>SUM(KN9:KN39)</f>
        <v>0</v>
      </c>
      <c r="KO41" s="530">
        <f>IFERROR((KN41/$L$41),0)</f>
        <v>0</v>
      </c>
      <c r="KP41" s="530">
        <f>IFERROR(((KN41*KP$8)/$L$41),0)</f>
        <v>0</v>
      </c>
      <c r="KQ41" s="530">
        <f>SUM(KQ9:KQ39)</f>
        <v>0</v>
      </c>
      <c r="KR41" s="530">
        <f>IFERROR((KQ41/$L$41),0)</f>
        <v>0</v>
      </c>
      <c r="KS41" s="530">
        <f>IFERROR(((KQ41*KS$8)/$L$41),0)</f>
        <v>0</v>
      </c>
      <c r="KT41" s="531">
        <f t="shared" si="201"/>
        <v>0</v>
      </c>
      <c r="KU41" s="531">
        <f t="shared" si="202"/>
        <v>0</v>
      </c>
      <c r="KV41" s="268">
        <f>+F41+I41+L41+O41+R41+U41+X41+AA41+AD41+AG41+AJ41+AM41+AP41+AS41+AV41+AY41+BB41+BE41+BH41+BK41+BN41+BQ41+BT41+BW41+BZ41+CC41+CF41+CI41+CL41+CO41+CR41+CU41+CX41+DA41+DD41+DJ41+DM41+DP41+DS41+DV41+DY41+EB41+GG41+GJ41+GM41+GP41+GS41+HN41+II41+IR41+GV41+IU41++HT41+HW41+HZ41+IC41+JA41+JJ41+JM41+HB41+EE41+GD41+EH41+EN41+EQ41+EK41</f>
        <v>62698.486499533807</v>
      </c>
      <c r="KW41" s="532"/>
      <c r="KX41" s="532"/>
      <c r="KY41" s="532"/>
      <c r="KZ41" s="532"/>
      <c r="LA41" s="532"/>
      <c r="LB41" s="532"/>
      <c r="LC41" s="532"/>
      <c r="LD41" s="532"/>
      <c r="LE41" s="532"/>
      <c r="LF41" s="532"/>
      <c r="LG41" s="532"/>
      <c r="LH41" s="532"/>
      <c r="LI41" s="532"/>
      <c r="LJ41" s="532"/>
      <c r="LK41" s="532"/>
      <c r="LL41" s="532"/>
      <c r="LM41" s="532"/>
      <c r="LN41" s="532"/>
      <c r="LO41" s="532"/>
      <c r="LP41" s="532"/>
      <c r="LQ41" s="532"/>
      <c r="LR41" s="532"/>
      <c r="LS41" s="532"/>
      <c r="LT41" s="532"/>
      <c r="LU41" s="532"/>
      <c r="LV41" s="532"/>
      <c r="LW41" s="532"/>
      <c r="LX41" s="532"/>
      <c r="LY41" s="532"/>
      <c r="LZ41" s="532"/>
      <c r="MA41" s="532"/>
      <c r="MB41" s="532"/>
      <c r="MC41" s="532"/>
      <c r="MD41" s="532"/>
      <c r="ME41" s="532"/>
      <c r="MF41" s="532"/>
      <c r="MG41" s="532"/>
      <c r="MH41" s="532"/>
      <c r="MI41" s="532"/>
      <c r="MJ41" s="532"/>
      <c r="MK41" s="532"/>
      <c r="ML41" s="532"/>
      <c r="MM41" s="532"/>
      <c r="MN41" s="532"/>
      <c r="MO41" s="532"/>
      <c r="MP41" s="532"/>
      <c r="MQ41" s="532"/>
      <c r="MR41" s="532"/>
      <c r="MS41" s="532"/>
      <c r="MT41" s="532"/>
      <c r="MU41" s="532"/>
      <c r="MV41" s="532"/>
      <c r="MW41" s="532"/>
      <c r="MX41" s="532"/>
      <c r="MY41" s="532"/>
      <c r="MZ41" s="532"/>
      <c r="NA41" s="532"/>
      <c r="NB41" s="532"/>
      <c r="NC41" s="532"/>
      <c r="ND41" s="532"/>
      <c r="NE41" s="532"/>
      <c r="NF41" s="532"/>
      <c r="NG41" s="532"/>
      <c r="NH41" s="532"/>
      <c r="NI41" s="532"/>
      <c r="NJ41" s="532"/>
      <c r="NK41" s="532"/>
      <c r="NL41" s="532"/>
      <c r="NM41" s="532"/>
      <c r="NN41" s="532"/>
      <c r="NO41" s="532"/>
      <c r="NP41" s="532"/>
      <c r="NQ41" s="532"/>
      <c r="NR41" s="532"/>
      <c r="NS41" s="532"/>
      <c r="NT41" s="532"/>
      <c r="NU41" s="532"/>
      <c r="NV41" s="532"/>
      <c r="NW41" s="532"/>
      <c r="NX41" s="532"/>
      <c r="NY41" s="532"/>
      <c r="NZ41" s="532"/>
      <c r="OA41" s="532"/>
      <c r="OB41" s="532"/>
      <c r="OC41" s="532"/>
      <c r="OD41" s="532"/>
      <c r="OE41" s="532"/>
      <c r="OF41" s="532"/>
      <c r="OG41" s="532"/>
      <c r="OH41" s="532"/>
      <c r="OI41" s="532"/>
      <c r="OJ41" s="532"/>
      <c r="OK41" s="532"/>
      <c r="OL41" s="532"/>
      <c r="OM41" s="532"/>
      <c r="ON41" s="532"/>
      <c r="OO41" s="532"/>
      <c r="OP41" s="532"/>
      <c r="OQ41" s="532"/>
      <c r="OR41" s="532"/>
      <c r="OS41" s="532"/>
      <c r="OT41" s="532"/>
      <c r="OU41" s="532"/>
      <c r="OV41" s="532"/>
      <c r="OW41" s="532"/>
      <c r="OX41" s="532"/>
      <c r="OY41" s="532"/>
      <c r="OZ41" s="532"/>
      <c r="PA41" s="532"/>
      <c r="PB41" s="532"/>
      <c r="PC41" s="532"/>
      <c r="PD41" s="532"/>
      <c r="PE41" s="532"/>
      <c r="PF41" s="532"/>
      <c r="PG41" s="532"/>
      <c r="PH41" s="532"/>
      <c r="PI41" s="532"/>
      <c r="PJ41" s="532"/>
      <c r="PK41" s="532"/>
      <c r="PL41" s="532"/>
      <c r="PM41" s="532"/>
      <c r="PN41" s="532"/>
      <c r="PO41" s="532"/>
      <c r="PP41" s="532"/>
      <c r="PQ41" s="532"/>
      <c r="PR41" s="532"/>
      <c r="PS41" s="532"/>
      <c r="PT41" s="532"/>
      <c r="PU41" s="532"/>
      <c r="PV41" s="532"/>
      <c r="PW41" s="532"/>
      <c r="PX41" s="532"/>
      <c r="PY41" s="532"/>
      <c r="PZ41" s="532"/>
      <c r="QA41" s="532"/>
      <c r="QB41" s="532"/>
      <c r="QC41" s="532"/>
      <c r="QD41" s="532"/>
      <c r="QE41" s="532"/>
      <c r="QF41" s="532"/>
      <c r="QG41" s="532"/>
      <c r="QH41" s="532"/>
      <c r="QI41" s="532"/>
      <c r="QJ41" s="532"/>
      <c r="QK41" s="532"/>
      <c r="QL41" s="532"/>
      <c r="QM41" s="532"/>
      <c r="QN41" s="532"/>
      <c r="QO41" s="532"/>
      <c r="QP41" s="532"/>
      <c r="QQ41" s="532"/>
      <c r="QR41" s="532"/>
      <c r="QS41" s="532"/>
      <c r="QT41" s="532"/>
      <c r="QU41" s="532"/>
      <c r="QV41" s="532"/>
      <c r="QW41" s="532"/>
      <c r="QX41" s="532"/>
      <c r="QY41" s="532"/>
      <c r="QZ41" s="532"/>
      <c r="RA41" s="532"/>
      <c r="RB41" s="532"/>
      <c r="RC41" s="532"/>
      <c r="RD41" s="532"/>
      <c r="RE41" s="532"/>
      <c r="RF41" s="532"/>
      <c r="RG41" s="532"/>
      <c r="RH41" s="532"/>
      <c r="RI41" s="532"/>
      <c r="RJ41" s="532"/>
      <c r="RK41" s="532"/>
      <c r="RL41" s="532"/>
      <c r="RM41" s="532"/>
      <c r="RN41" s="532"/>
      <c r="RO41" s="532"/>
      <c r="RP41" s="532"/>
      <c r="RQ41" s="532"/>
      <c r="RR41" s="532"/>
      <c r="RS41" s="532"/>
      <c r="RT41" s="532"/>
      <c r="RU41" s="532"/>
      <c r="RV41" s="532"/>
      <c r="RW41" s="532"/>
      <c r="RX41" s="532"/>
      <c r="RY41" s="532"/>
      <c r="RZ41" s="532"/>
      <c r="SA41" s="532"/>
      <c r="SB41" s="532"/>
      <c r="SC41" s="532"/>
      <c r="SD41" s="532"/>
      <c r="SE41" s="532"/>
      <c r="SF41" s="532"/>
      <c r="SG41" s="532"/>
      <c r="SH41" s="532"/>
      <c r="SI41" s="532"/>
      <c r="SJ41" s="532"/>
      <c r="SK41" s="532"/>
      <c r="SL41" s="532"/>
      <c r="SM41" s="532"/>
      <c r="SN41" s="532"/>
      <c r="SO41" s="532"/>
      <c r="SP41" s="532"/>
      <c r="SQ41" s="532"/>
      <c r="SR41" s="532"/>
      <c r="SS41" s="532"/>
      <c r="ST41" s="532"/>
      <c r="SU41" s="532"/>
      <c r="SV41" s="532"/>
      <c r="SW41" s="532"/>
      <c r="SX41" s="532"/>
      <c r="SY41" s="532"/>
      <c r="SZ41" s="532"/>
      <c r="TA41" s="532"/>
      <c r="TB41" s="532"/>
      <c r="TC41" s="532"/>
      <c r="TD41" s="532"/>
      <c r="TE41" s="532"/>
      <c r="TF41" s="532"/>
      <c r="TG41" s="532"/>
      <c r="TH41" s="532"/>
      <c r="TI41" s="532"/>
      <c r="TJ41" s="532"/>
      <c r="TK41" s="532"/>
      <c r="TL41" s="532"/>
      <c r="TM41" s="532"/>
      <c r="TN41" s="532"/>
      <c r="TO41" s="532"/>
      <c r="TP41" s="532"/>
      <c r="TQ41" s="532"/>
      <c r="TR41" s="532"/>
      <c r="TS41" s="532"/>
      <c r="TT41" s="532"/>
      <c r="TU41" s="532"/>
      <c r="TV41" s="532"/>
      <c r="TW41" s="532"/>
      <c r="TX41" s="532"/>
      <c r="TY41" s="532"/>
      <c r="TZ41" s="532"/>
      <c r="UA41" s="532"/>
      <c r="UB41" s="532"/>
      <c r="UC41" s="532"/>
      <c r="UD41" s="532"/>
      <c r="UE41" s="532"/>
      <c r="UF41" s="532"/>
      <c r="UG41" s="532"/>
      <c r="UH41" s="532"/>
      <c r="UI41" s="532"/>
      <c r="UJ41" s="532"/>
      <c r="UK41" s="532"/>
      <c r="UL41" s="532"/>
      <c r="UM41" s="532"/>
      <c r="UN41" s="532"/>
      <c r="UO41" s="532"/>
      <c r="UP41" s="532"/>
      <c r="UQ41" s="532"/>
      <c r="UR41" s="532"/>
      <c r="US41" s="532"/>
      <c r="UT41" s="532"/>
      <c r="UU41" s="532"/>
      <c r="UV41" s="532"/>
      <c r="UW41" s="532"/>
      <c r="UX41" s="532"/>
      <c r="UY41" s="532"/>
      <c r="UZ41" s="532"/>
      <c r="VA41" s="532"/>
      <c r="VB41" s="532"/>
      <c r="VC41" s="532"/>
      <c r="VD41" s="532"/>
      <c r="VE41" s="532"/>
      <c r="VF41" s="532"/>
      <c r="VG41" s="532"/>
      <c r="VH41" s="532"/>
      <c r="VI41" s="532"/>
      <c r="VJ41" s="532"/>
      <c r="VK41" s="532"/>
      <c r="VL41" s="532"/>
      <c r="VM41" s="532"/>
      <c r="VN41" s="532"/>
      <c r="VO41" s="532"/>
      <c r="VP41" s="532"/>
      <c r="VQ41" s="532"/>
      <c r="VR41" s="532"/>
      <c r="VS41" s="532"/>
      <c r="VT41" s="532"/>
      <c r="VU41" s="532"/>
      <c r="VV41" s="532"/>
      <c r="VW41" s="532"/>
      <c r="VX41" s="532"/>
      <c r="VY41" s="532"/>
      <c r="VZ41" s="532"/>
      <c r="WA41" s="532"/>
      <c r="WB41" s="532"/>
      <c r="WC41" s="532"/>
      <c r="WD41" s="532"/>
      <c r="WE41" s="532"/>
      <c r="WF41" s="532"/>
      <c r="WG41" s="532"/>
      <c r="WH41" s="532"/>
      <c r="WI41" s="532"/>
      <c r="WJ41" s="532"/>
      <c r="WK41" s="532"/>
      <c r="WL41" s="532"/>
      <c r="WM41" s="532"/>
      <c r="WN41" s="532"/>
      <c r="WO41" s="532"/>
      <c r="WP41" s="532"/>
      <c r="WQ41" s="532"/>
      <c r="WR41" s="532"/>
      <c r="WS41" s="532"/>
      <c r="WT41" s="532"/>
      <c r="WU41" s="532"/>
      <c r="WV41" s="532"/>
      <c r="WW41" s="532"/>
      <c r="WX41" s="532"/>
      <c r="WY41" s="532"/>
      <c r="WZ41" s="532"/>
      <c r="XA41" s="532"/>
      <c r="XB41" s="532"/>
      <c r="XC41" s="532"/>
      <c r="XD41" s="532"/>
      <c r="XE41" s="532"/>
      <c r="XF41" s="532"/>
      <c r="XG41" s="532"/>
      <c r="XH41" s="532"/>
      <c r="XI41" s="532"/>
      <c r="XJ41" s="532"/>
      <c r="XK41" s="532"/>
      <c r="XL41" s="532"/>
      <c r="XM41" s="532"/>
      <c r="XN41" s="532"/>
      <c r="XO41" s="532"/>
      <c r="XP41" s="532"/>
      <c r="XQ41" s="532"/>
      <c r="XR41" s="532"/>
      <c r="XS41" s="532"/>
      <c r="XT41" s="532"/>
      <c r="XU41" s="532"/>
      <c r="XV41" s="532"/>
      <c r="XW41" s="532"/>
      <c r="XX41" s="532"/>
      <c r="XY41" s="532"/>
      <c r="XZ41" s="532"/>
      <c r="YA41" s="532"/>
      <c r="YB41" s="532"/>
      <c r="YC41" s="532"/>
      <c r="YD41" s="532"/>
      <c r="YE41" s="532"/>
      <c r="YF41" s="532"/>
      <c r="YG41" s="532"/>
      <c r="YH41" s="532"/>
      <c r="YI41" s="532"/>
      <c r="YJ41" s="532"/>
      <c r="YK41" s="532"/>
      <c r="YL41" s="532"/>
      <c r="YM41" s="532"/>
      <c r="YN41" s="532"/>
      <c r="YO41" s="532"/>
      <c r="YP41" s="532"/>
      <c r="YQ41" s="532"/>
      <c r="YR41" s="532"/>
      <c r="YS41" s="532"/>
      <c r="YT41" s="532"/>
      <c r="YU41" s="532"/>
      <c r="YV41" s="532"/>
      <c r="YW41" s="532"/>
      <c r="YX41" s="532"/>
      <c r="YY41" s="532"/>
      <c r="YZ41" s="532"/>
      <c r="ZA41" s="532"/>
      <c r="ZB41" s="532"/>
      <c r="ZC41" s="532"/>
      <c r="ZD41" s="532"/>
      <c r="ZE41" s="532"/>
      <c r="ZF41" s="532"/>
      <c r="ZG41" s="532"/>
      <c r="ZH41" s="532"/>
      <c r="ZI41" s="532"/>
      <c r="ZJ41" s="532"/>
      <c r="ZK41" s="532"/>
      <c r="ZL41" s="532"/>
      <c r="ZM41" s="532"/>
      <c r="ZN41" s="532"/>
      <c r="ZO41" s="532"/>
      <c r="ZP41" s="532"/>
      <c r="ZQ41" s="532"/>
      <c r="ZR41" s="532"/>
      <c r="ZS41" s="532"/>
      <c r="ZT41" s="532"/>
      <c r="ZU41" s="532"/>
      <c r="ZV41" s="532"/>
      <c r="ZW41" s="532"/>
      <c r="ZX41" s="532"/>
      <c r="ZY41" s="532"/>
      <c r="ZZ41" s="532"/>
      <c r="AAA41" s="532"/>
      <c r="AAB41" s="532"/>
      <c r="AAC41" s="532"/>
      <c r="AAD41" s="532"/>
      <c r="AAE41" s="532"/>
      <c r="AAF41" s="532"/>
      <c r="AAG41" s="532"/>
      <c r="AAH41" s="532"/>
      <c r="AAI41" s="532"/>
      <c r="AAJ41" s="532"/>
      <c r="AAK41" s="532"/>
      <c r="AAL41" s="532"/>
      <c r="AAM41" s="532"/>
      <c r="AAN41" s="532"/>
      <c r="AAO41" s="532"/>
      <c r="AAP41" s="532"/>
      <c r="AAQ41" s="532"/>
      <c r="AAR41" s="532"/>
      <c r="AAS41" s="532"/>
      <c r="AAT41" s="532"/>
      <c r="AAU41" s="532"/>
      <c r="AAV41" s="532"/>
      <c r="AAW41" s="532"/>
      <c r="AAX41" s="532"/>
      <c r="AAY41" s="532"/>
      <c r="AAZ41" s="532"/>
      <c r="ABA41" s="532"/>
      <c r="ABB41" s="532"/>
      <c r="ABC41" s="532"/>
      <c r="ABD41" s="532"/>
      <c r="ABE41" s="532"/>
      <c r="ABF41" s="532"/>
      <c r="ABG41" s="532"/>
      <c r="ABH41" s="532"/>
      <c r="ABI41" s="532"/>
      <c r="ABJ41" s="532"/>
      <c r="ABK41" s="532"/>
      <c r="ABL41" s="532"/>
      <c r="ABM41" s="532"/>
      <c r="ABN41" s="532"/>
      <c r="ABO41" s="532"/>
      <c r="ABP41" s="532"/>
      <c r="ABQ41" s="532"/>
      <c r="ABR41" s="532"/>
      <c r="ABS41" s="532"/>
      <c r="ABT41" s="532"/>
      <c r="ABU41" s="532"/>
      <c r="ABV41" s="532"/>
      <c r="ABW41" s="532"/>
      <c r="ABX41" s="532"/>
      <c r="ABY41" s="532"/>
      <c r="ABZ41" s="532"/>
      <c r="ACA41" s="532"/>
      <c r="ACB41" s="532"/>
      <c r="ACC41" s="532"/>
      <c r="ACD41" s="532"/>
      <c r="ACE41" s="532"/>
      <c r="ACF41" s="532"/>
      <c r="ACG41" s="532"/>
      <c r="ACH41" s="532"/>
      <c r="ACI41" s="532"/>
      <c r="ACJ41" s="532"/>
      <c r="ACK41" s="532"/>
      <c r="ACL41" s="532"/>
      <c r="ACM41" s="532"/>
      <c r="ACN41" s="532"/>
      <c r="ACO41" s="532"/>
      <c r="ACP41" s="532"/>
      <c r="ACQ41" s="532"/>
      <c r="ACR41" s="532"/>
      <c r="ACS41" s="532"/>
      <c r="ACT41" s="532"/>
      <c r="ACU41" s="532"/>
      <c r="ACV41" s="532"/>
      <c r="ACW41" s="532"/>
      <c r="ACX41" s="532"/>
      <c r="ACY41" s="532"/>
      <c r="ACZ41" s="532"/>
      <c r="ADA41" s="532"/>
      <c r="ADB41" s="532"/>
      <c r="ADC41" s="532"/>
      <c r="ADD41" s="532"/>
      <c r="ADE41" s="532"/>
      <c r="ADF41" s="532"/>
      <c r="ADG41" s="532"/>
      <c r="ADH41" s="532"/>
      <c r="ADI41" s="532"/>
      <c r="ADJ41" s="532"/>
      <c r="ADK41" s="532"/>
      <c r="ADL41" s="532"/>
      <c r="ADM41" s="532"/>
      <c r="ADN41" s="532"/>
      <c r="ADO41" s="532"/>
      <c r="ADP41" s="532"/>
      <c r="ADQ41" s="532"/>
      <c r="ADR41" s="532"/>
      <c r="ADS41" s="532"/>
      <c r="ADT41" s="532"/>
      <c r="ADU41" s="532"/>
      <c r="ADV41" s="532"/>
      <c r="ADW41" s="532"/>
      <c r="ADX41" s="532"/>
      <c r="ADY41" s="532"/>
      <c r="ADZ41" s="532"/>
      <c r="AEA41" s="532"/>
      <c r="AEB41" s="532"/>
      <c r="AEC41" s="532"/>
      <c r="AED41" s="532"/>
      <c r="AEE41" s="532"/>
      <c r="AEF41" s="532"/>
      <c r="AEG41" s="532"/>
      <c r="AEH41" s="532"/>
      <c r="AEI41" s="532"/>
      <c r="AEJ41" s="532"/>
      <c r="AEK41" s="532"/>
      <c r="AEL41" s="532"/>
      <c r="AEM41" s="532"/>
      <c r="AEN41" s="532"/>
      <c r="AEO41" s="532"/>
      <c r="AEP41" s="532"/>
      <c r="AEQ41" s="532"/>
      <c r="AER41" s="532"/>
      <c r="AES41" s="532"/>
      <c r="AET41" s="532"/>
      <c r="AEU41" s="532"/>
      <c r="AEV41" s="532"/>
      <c r="AEW41" s="532"/>
      <c r="AEX41" s="532"/>
      <c r="AEY41" s="532"/>
      <c r="AEZ41" s="532"/>
      <c r="AFA41" s="532"/>
      <c r="AFB41" s="532"/>
      <c r="AFC41" s="532"/>
      <c r="AFD41" s="532"/>
      <c r="AFE41" s="532"/>
      <c r="AFF41" s="532"/>
      <c r="AFG41" s="532"/>
      <c r="AFH41" s="532"/>
      <c r="AFI41" s="532"/>
      <c r="AFJ41" s="532"/>
      <c r="AFK41" s="532"/>
      <c r="AFL41" s="532"/>
      <c r="AFM41" s="532"/>
      <c r="AFN41" s="532"/>
      <c r="AFO41" s="532"/>
      <c r="AFP41" s="532"/>
      <c r="AFQ41" s="532"/>
      <c r="AFR41" s="532"/>
      <c r="AFS41" s="532"/>
      <c r="AFT41" s="532"/>
      <c r="AFU41" s="532"/>
      <c r="AFV41" s="532"/>
      <c r="AFW41" s="532"/>
      <c r="AFX41" s="532"/>
      <c r="AFY41" s="532"/>
      <c r="AFZ41" s="532"/>
      <c r="AGA41" s="532"/>
      <c r="AGB41" s="532"/>
      <c r="AGC41" s="532"/>
      <c r="AGD41" s="532"/>
      <c r="AGE41" s="532"/>
      <c r="AGF41" s="532"/>
      <c r="AGG41" s="532"/>
      <c r="AGH41" s="532"/>
      <c r="AGI41" s="532"/>
      <c r="AGJ41" s="532"/>
      <c r="AGK41" s="532"/>
      <c r="AGL41" s="532"/>
      <c r="AGM41" s="532"/>
      <c r="AGN41" s="532"/>
      <c r="AGO41" s="532"/>
      <c r="AGP41" s="532"/>
      <c r="AGQ41" s="532"/>
      <c r="AGR41" s="532"/>
      <c r="AGS41" s="532"/>
      <c r="AGT41" s="532"/>
      <c r="AGU41" s="532"/>
      <c r="AGV41" s="532"/>
      <c r="AGW41" s="532"/>
      <c r="AGX41" s="532"/>
      <c r="AGY41" s="532"/>
      <c r="AGZ41" s="532"/>
      <c r="AHA41" s="532"/>
      <c r="AHB41" s="532"/>
      <c r="AHC41" s="532"/>
      <c r="AHD41" s="532"/>
      <c r="AHE41" s="532"/>
      <c r="AHF41" s="532"/>
      <c r="AHG41" s="532"/>
      <c r="AHH41" s="532"/>
      <c r="AHI41" s="532"/>
      <c r="AHJ41" s="532"/>
      <c r="AHK41" s="532"/>
      <c r="AHL41" s="532"/>
      <c r="AHM41" s="532"/>
      <c r="AHN41" s="532"/>
      <c r="AHO41" s="532"/>
      <c r="AHP41" s="532"/>
      <c r="AHQ41" s="532"/>
      <c r="AHR41" s="532"/>
      <c r="AHS41" s="532"/>
      <c r="AHT41" s="532"/>
      <c r="AHU41" s="532"/>
      <c r="AHV41" s="532"/>
      <c r="AHW41" s="532"/>
      <c r="AHX41" s="532"/>
      <c r="AHY41" s="532"/>
      <c r="AHZ41" s="532"/>
      <c r="AIA41" s="532"/>
      <c r="AIB41" s="532"/>
      <c r="AIC41" s="532"/>
      <c r="AID41" s="532"/>
      <c r="AIE41" s="532"/>
      <c r="AIF41" s="532"/>
      <c r="AIG41" s="532"/>
      <c r="AIH41" s="532"/>
      <c r="AII41" s="532"/>
      <c r="AIJ41" s="532"/>
      <c r="AIK41" s="532"/>
      <c r="AIL41" s="532"/>
      <c r="AIM41" s="532"/>
      <c r="AIN41" s="532"/>
      <c r="AIO41" s="532"/>
      <c r="AIP41" s="532"/>
      <c r="AIQ41" s="532"/>
      <c r="AIR41" s="532"/>
      <c r="AIS41" s="532"/>
      <c r="AIT41" s="532"/>
      <c r="AIU41" s="532"/>
      <c r="AIV41" s="532"/>
      <c r="AIW41" s="532"/>
      <c r="AIX41" s="532"/>
      <c r="AIY41" s="532"/>
      <c r="AIZ41" s="532"/>
      <c r="AJA41" s="532"/>
      <c r="AJB41" s="532"/>
      <c r="AJC41" s="532"/>
      <c r="AJD41" s="532"/>
      <c r="AJE41" s="532"/>
      <c r="AJF41" s="532"/>
      <c r="AJG41" s="532"/>
      <c r="AJH41" s="532"/>
      <c r="AJI41" s="532"/>
      <c r="AJJ41" s="532"/>
      <c r="AJK41" s="532"/>
      <c r="AJL41" s="532"/>
      <c r="AJM41" s="532"/>
      <c r="AJN41" s="532"/>
      <c r="AJO41" s="532"/>
      <c r="AJP41" s="532"/>
      <c r="AJQ41" s="532"/>
      <c r="AJR41" s="532"/>
      <c r="AJS41" s="532"/>
      <c r="AJT41" s="532"/>
      <c r="AJU41" s="532"/>
      <c r="AJV41" s="532"/>
      <c r="AJW41" s="532"/>
      <c r="AJX41" s="532"/>
      <c r="AJY41" s="532"/>
      <c r="AJZ41" s="532"/>
      <c r="AKA41" s="532"/>
      <c r="AKB41" s="532"/>
      <c r="AKC41" s="532"/>
      <c r="AKD41" s="532"/>
      <c r="AKE41" s="532"/>
      <c r="AKF41" s="532"/>
      <c r="AKG41" s="532"/>
      <c r="AKH41" s="532"/>
      <c r="AKI41" s="532"/>
      <c r="AKJ41" s="532"/>
      <c r="AKK41" s="532"/>
      <c r="AKL41" s="532"/>
      <c r="AKM41" s="532"/>
      <c r="AKN41" s="532"/>
      <c r="AKO41" s="532"/>
      <c r="AKP41" s="532"/>
      <c r="AKQ41" s="532"/>
      <c r="AKR41" s="532"/>
      <c r="AKS41" s="532"/>
      <c r="AKT41" s="532"/>
      <c r="AKU41" s="532"/>
      <c r="AKV41" s="532"/>
      <c r="AKW41" s="532"/>
      <c r="AKX41" s="532"/>
      <c r="AKY41" s="532"/>
      <c r="AKZ41" s="532"/>
      <c r="ALA41" s="532"/>
      <c r="ALB41" s="532"/>
      <c r="ALC41" s="532"/>
      <c r="ALD41" s="532"/>
      <c r="ALE41" s="532"/>
      <c r="ALF41" s="532"/>
      <c r="ALG41" s="532"/>
      <c r="ALH41" s="532"/>
      <c r="ALI41" s="532"/>
      <c r="ALJ41" s="532"/>
      <c r="ALK41" s="532"/>
      <c r="ALL41" s="532"/>
      <c r="ALM41" s="532"/>
      <c r="ALN41" s="532"/>
      <c r="ALO41" s="532"/>
      <c r="ALP41" s="532"/>
      <c r="ALQ41" s="532"/>
      <c r="ALR41" s="532"/>
      <c r="ALS41" s="532"/>
      <c r="ALT41" s="532"/>
      <c r="ALU41" s="532"/>
      <c r="ALV41" s="532"/>
      <c r="ALW41" s="532"/>
      <c r="ALX41" s="532"/>
      <c r="ALY41" s="532"/>
      <c r="ALZ41" s="532"/>
      <c r="AMA41" s="532"/>
      <c r="AMB41" s="532"/>
      <c r="AMC41" s="532"/>
      <c r="AMD41" s="532"/>
      <c r="AME41" s="532"/>
      <c r="AMF41" s="532"/>
      <c r="AMG41" s="532"/>
      <c r="AMH41" s="532"/>
      <c r="AMI41" s="532"/>
      <c r="AMJ41" s="532"/>
      <c r="AMK41" s="532"/>
      <c r="AML41" s="532"/>
      <c r="AMM41" s="532"/>
      <c r="AMN41" s="532"/>
      <c r="AMO41" s="532"/>
      <c r="AMP41" s="532"/>
      <c r="AMQ41" s="532"/>
      <c r="AMR41" s="532"/>
      <c r="AMS41" s="532"/>
      <c r="AMT41" s="532"/>
      <c r="AMU41" s="532"/>
      <c r="AMV41" s="532"/>
      <c r="AMW41" s="532"/>
      <c r="AMX41" s="532"/>
      <c r="AMY41" s="532"/>
      <c r="AMZ41" s="532"/>
      <c r="ANA41" s="532"/>
      <c r="ANB41" s="532"/>
      <c r="ANC41" s="532"/>
      <c r="AND41" s="532"/>
      <c r="ANE41" s="532"/>
      <c r="ANF41" s="532"/>
      <c r="ANG41" s="532"/>
      <c r="ANH41" s="532"/>
      <c r="ANI41" s="532"/>
      <c r="ANJ41" s="532"/>
      <c r="ANK41" s="532"/>
      <c r="ANL41" s="532"/>
      <c r="ANM41" s="532"/>
      <c r="ANN41" s="532"/>
      <c r="ANO41" s="532"/>
      <c r="ANP41" s="532"/>
      <c r="ANQ41" s="532"/>
      <c r="ANR41" s="532"/>
      <c r="ANS41" s="532"/>
      <c r="ANT41" s="532"/>
      <c r="ANU41" s="532"/>
      <c r="ANV41" s="532"/>
      <c r="ANW41" s="532"/>
      <c r="ANX41" s="532"/>
      <c r="ANY41" s="532"/>
      <c r="ANZ41" s="532"/>
      <c r="AOA41" s="532"/>
      <c r="AOB41" s="532"/>
      <c r="AOC41" s="532"/>
      <c r="AOD41" s="532"/>
      <c r="AOE41" s="532"/>
      <c r="AOF41" s="532"/>
      <c r="AOG41" s="532"/>
      <c r="AOH41" s="532"/>
      <c r="AOI41" s="532"/>
      <c r="AOJ41" s="532"/>
      <c r="AOK41" s="532"/>
      <c r="AOL41" s="532"/>
      <c r="AOM41" s="532"/>
      <c r="AON41" s="532"/>
      <c r="AOO41" s="532"/>
      <c r="AOP41" s="532"/>
      <c r="AOQ41" s="532"/>
      <c r="AOR41" s="532"/>
      <c r="AOS41" s="532"/>
      <c r="AOT41" s="532"/>
      <c r="AOU41" s="532"/>
      <c r="AOV41" s="532"/>
      <c r="AOW41" s="532"/>
      <c r="AOX41" s="532"/>
      <c r="AOY41" s="532"/>
      <c r="AOZ41" s="532"/>
      <c r="APA41" s="532"/>
      <c r="APB41" s="532"/>
      <c r="APC41" s="532"/>
      <c r="APD41" s="532"/>
      <c r="APE41" s="532"/>
      <c r="APF41" s="532"/>
      <c r="APG41" s="532"/>
      <c r="APH41" s="532"/>
      <c r="API41" s="532"/>
      <c r="APJ41" s="532"/>
      <c r="APK41" s="532"/>
      <c r="APL41" s="532"/>
      <c r="APM41" s="532"/>
      <c r="APN41" s="532"/>
      <c r="APO41" s="532"/>
      <c r="APP41" s="532"/>
      <c r="APQ41" s="532"/>
      <c r="APR41" s="532"/>
      <c r="APS41" s="532"/>
      <c r="APT41" s="532"/>
      <c r="APU41" s="532"/>
      <c r="APV41" s="532"/>
      <c r="APW41" s="532"/>
      <c r="APX41" s="532"/>
      <c r="APY41" s="532"/>
      <c r="APZ41" s="532"/>
      <c r="AQA41" s="532"/>
      <c r="AQB41" s="532"/>
      <c r="AQC41" s="532"/>
      <c r="AQD41" s="532"/>
      <c r="AQE41" s="532"/>
      <c r="AQF41" s="532"/>
      <c r="AQG41" s="532"/>
      <c r="AQH41" s="532"/>
      <c r="AQI41" s="532"/>
      <c r="AQJ41" s="532"/>
      <c r="AQK41" s="532"/>
      <c r="AQL41" s="532"/>
      <c r="AQM41" s="532"/>
      <c r="AQN41" s="532"/>
      <c r="AQO41" s="532"/>
      <c r="AQP41" s="532"/>
      <c r="AQQ41" s="532"/>
      <c r="AQR41" s="532"/>
      <c r="AQS41" s="532"/>
      <c r="AQT41" s="532"/>
      <c r="AQU41" s="532"/>
      <c r="AQV41" s="532"/>
      <c r="AQW41" s="532"/>
      <c r="AQX41" s="532"/>
      <c r="AQY41" s="532"/>
      <c r="AQZ41" s="532"/>
      <c r="ARA41" s="532"/>
      <c r="ARB41" s="532"/>
      <c r="ARC41" s="532"/>
      <c r="ARD41" s="532"/>
      <c r="ARE41" s="532"/>
      <c r="ARF41" s="532"/>
      <c r="ARG41" s="532"/>
      <c r="ARH41" s="532"/>
      <c r="ARI41" s="532"/>
      <c r="ARJ41" s="532"/>
      <c r="ARK41" s="532"/>
      <c r="ARL41" s="532"/>
      <c r="ARM41" s="532"/>
      <c r="ARN41" s="532"/>
      <c r="ARO41" s="532"/>
      <c r="ARP41" s="532"/>
      <c r="ARQ41" s="532"/>
      <c r="ARR41" s="532"/>
      <c r="ARS41" s="532"/>
      <c r="ART41" s="532"/>
      <c r="ARU41" s="532"/>
      <c r="ARV41" s="532"/>
      <c r="ARW41" s="532"/>
      <c r="ARX41" s="532"/>
      <c r="ARY41" s="532"/>
      <c r="ARZ41" s="532"/>
      <c r="ASA41" s="532"/>
      <c r="ASB41" s="532"/>
      <c r="ASC41" s="532"/>
      <c r="ASD41" s="532"/>
      <c r="ASE41" s="532"/>
      <c r="ASF41" s="532"/>
      <c r="ASG41" s="532"/>
      <c r="ASH41" s="532"/>
      <c r="ASI41" s="532"/>
      <c r="ASJ41" s="532"/>
      <c r="ASK41" s="532"/>
      <c r="ASL41" s="532"/>
      <c r="ASM41" s="532"/>
      <c r="ASN41" s="532"/>
      <c r="ASO41" s="532"/>
      <c r="ASP41" s="532"/>
      <c r="ASQ41" s="532"/>
      <c r="ASR41" s="532"/>
      <c r="ASS41" s="532"/>
      <c r="AST41" s="532"/>
      <c r="ASU41" s="532"/>
      <c r="ASV41" s="532"/>
      <c r="ASW41" s="532"/>
      <c r="ASX41" s="532"/>
      <c r="ASY41" s="532"/>
      <c r="ASZ41" s="532"/>
      <c r="ATA41" s="532"/>
      <c r="ATB41" s="532"/>
      <c r="ATC41" s="532"/>
      <c r="ATD41" s="532"/>
      <c r="ATE41" s="532"/>
      <c r="ATF41" s="532"/>
      <c r="ATG41" s="532"/>
      <c r="ATH41" s="532"/>
      <c r="ATI41" s="532"/>
      <c r="ATJ41" s="532"/>
      <c r="ATK41" s="532"/>
      <c r="ATL41" s="532"/>
      <c r="ATM41" s="532"/>
      <c r="ATN41" s="532"/>
      <c r="ATO41" s="532"/>
      <c r="ATP41" s="532"/>
      <c r="ATQ41" s="532"/>
      <c r="ATR41" s="532"/>
      <c r="ATS41" s="532"/>
      <c r="ATT41" s="532"/>
      <c r="ATU41" s="532"/>
      <c r="ATV41" s="532"/>
      <c r="ATW41" s="532"/>
      <c r="ATX41" s="532"/>
      <c r="ATY41" s="532"/>
      <c r="ATZ41" s="532"/>
      <c r="AUA41" s="532"/>
      <c r="AUB41" s="532"/>
      <c r="AUC41" s="532"/>
      <c r="AUD41" s="532"/>
      <c r="AUE41" s="532"/>
      <c r="AUF41" s="532"/>
      <c r="AUG41" s="532"/>
      <c r="AUH41" s="532"/>
      <c r="AUI41" s="532"/>
      <c r="AUJ41" s="532"/>
      <c r="AUK41" s="532"/>
      <c r="AUL41" s="532"/>
      <c r="AUM41" s="532"/>
      <c r="AUN41" s="532"/>
      <c r="AUO41" s="532"/>
      <c r="AUP41" s="532"/>
      <c r="AUQ41" s="532"/>
      <c r="AUR41" s="532"/>
      <c r="AUS41" s="532"/>
      <c r="AUT41" s="532"/>
      <c r="AUU41" s="532"/>
      <c r="AUV41" s="532"/>
      <c r="AUW41" s="532"/>
      <c r="AUX41" s="532"/>
      <c r="AUY41" s="532"/>
      <c r="AUZ41" s="532"/>
      <c r="AVA41" s="532"/>
      <c r="AVB41" s="532"/>
      <c r="AVC41" s="532"/>
      <c r="AVD41" s="532"/>
      <c r="AVE41" s="532"/>
      <c r="AVF41" s="532"/>
      <c r="AVG41" s="532"/>
      <c r="AVH41" s="532"/>
      <c r="AVI41" s="532"/>
      <c r="AVJ41" s="532"/>
      <c r="AVK41" s="532"/>
      <c r="AVL41" s="532"/>
      <c r="AVM41" s="532"/>
      <c r="AVN41" s="532"/>
      <c r="AVO41" s="532"/>
      <c r="AVP41" s="532"/>
      <c r="AVQ41" s="532"/>
      <c r="AVR41" s="532"/>
      <c r="AVS41" s="532"/>
      <c r="AVT41" s="532"/>
      <c r="AVU41" s="532"/>
      <c r="AVV41" s="532"/>
      <c r="AVW41" s="532"/>
      <c r="AVX41" s="532"/>
      <c r="AVY41" s="532"/>
      <c r="AVZ41" s="532"/>
      <c r="AWA41" s="532"/>
      <c r="AWB41" s="532"/>
      <c r="AWC41" s="532"/>
      <c r="AWD41" s="532"/>
      <c r="AWE41" s="532"/>
      <c r="AWF41" s="532"/>
      <c r="AWG41" s="532"/>
      <c r="AWH41" s="532"/>
      <c r="AWI41" s="532"/>
      <c r="AWJ41" s="532"/>
      <c r="AWK41" s="532"/>
      <c r="AWL41" s="532"/>
      <c r="AWM41" s="532"/>
      <c r="AWN41" s="532"/>
      <c r="AWO41" s="532"/>
      <c r="AWP41" s="532"/>
      <c r="AWQ41" s="532"/>
      <c r="AWR41" s="532"/>
      <c r="AWS41" s="532"/>
      <c r="AWT41" s="532"/>
      <c r="AWU41" s="532"/>
      <c r="AWV41" s="532"/>
      <c r="AWW41" s="532"/>
      <c r="AWX41" s="532"/>
      <c r="AWY41" s="532"/>
      <c r="AWZ41" s="532"/>
      <c r="AXA41" s="532"/>
      <c r="AXB41" s="532"/>
      <c r="AXC41" s="532"/>
      <c r="AXD41" s="532"/>
      <c r="AXE41" s="532"/>
      <c r="AXF41" s="532"/>
      <c r="AXG41" s="532"/>
      <c r="AXH41" s="532"/>
      <c r="AXI41" s="532"/>
      <c r="AXJ41" s="532"/>
      <c r="AXK41" s="532"/>
      <c r="AXL41" s="532"/>
      <c r="AXM41" s="532"/>
      <c r="AXN41" s="532"/>
      <c r="AXO41" s="532"/>
      <c r="AXP41" s="532"/>
      <c r="AXQ41" s="532"/>
      <c r="AXR41" s="532"/>
      <c r="AXS41" s="532"/>
      <c r="AXT41" s="532"/>
      <c r="AXU41" s="532"/>
      <c r="AXV41" s="532"/>
      <c r="AXW41" s="532"/>
      <c r="AXX41" s="532"/>
      <c r="AXY41" s="532"/>
      <c r="AXZ41" s="532"/>
      <c r="AYA41" s="532"/>
      <c r="AYB41" s="532"/>
      <c r="AYC41" s="532"/>
      <c r="AYD41" s="532"/>
      <c r="AYE41" s="532"/>
      <c r="AYF41" s="532"/>
      <c r="AYG41" s="532"/>
      <c r="AYH41" s="532"/>
      <c r="AYI41" s="532"/>
      <c r="AYJ41" s="532"/>
      <c r="AYK41" s="532"/>
      <c r="AYL41" s="532"/>
      <c r="AYM41" s="532"/>
      <c r="AYN41" s="532"/>
      <c r="AYO41" s="532"/>
      <c r="AYP41" s="532"/>
      <c r="AYQ41" s="532"/>
      <c r="AYR41" s="532"/>
      <c r="AYS41" s="532"/>
      <c r="AYT41" s="532"/>
      <c r="AYU41" s="532"/>
      <c r="AYV41" s="532"/>
      <c r="AYW41" s="532"/>
      <c r="AYX41" s="532"/>
      <c r="AYY41" s="532"/>
      <c r="AYZ41" s="532"/>
      <c r="AZA41" s="532"/>
      <c r="AZB41" s="532"/>
      <c r="AZC41" s="532"/>
      <c r="AZD41" s="532"/>
      <c r="AZE41" s="532"/>
      <c r="AZF41" s="532"/>
      <c r="AZG41" s="532"/>
      <c r="AZH41" s="532"/>
      <c r="AZI41" s="532"/>
      <c r="AZJ41" s="532"/>
      <c r="AZK41" s="532"/>
      <c r="AZL41" s="532"/>
      <c r="AZM41" s="532"/>
      <c r="AZN41" s="532"/>
      <c r="AZO41" s="532"/>
      <c r="AZP41" s="532"/>
      <c r="AZQ41" s="532"/>
      <c r="AZR41" s="532"/>
      <c r="AZS41" s="532"/>
      <c r="AZT41" s="532"/>
      <c r="AZU41" s="532"/>
      <c r="AZV41" s="532"/>
      <c r="AZW41" s="532"/>
      <c r="AZX41" s="532"/>
      <c r="AZY41" s="532"/>
      <c r="AZZ41" s="532"/>
      <c r="BAA41" s="532"/>
      <c r="BAB41" s="532"/>
      <c r="BAC41" s="532"/>
      <c r="BAD41" s="532"/>
      <c r="BAE41" s="532"/>
      <c r="BAF41" s="532"/>
      <c r="BAG41" s="532"/>
      <c r="BAH41" s="532"/>
      <c r="BAI41" s="532"/>
      <c r="BAJ41" s="532"/>
      <c r="BAK41" s="532"/>
      <c r="BAL41" s="532"/>
      <c r="BAM41" s="532"/>
      <c r="BAN41" s="532"/>
      <c r="BAO41" s="532"/>
      <c r="BAP41" s="532"/>
      <c r="BAQ41" s="532"/>
      <c r="BAR41" s="532"/>
      <c r="BAS41" s="532"/>
      <c r="BAT41" s="532"/>
      <c r="BAU41" s="532"/>
      <c r="BAV41" s="532"/>
      <c r="BAW41" s="532"/>
      <c r="BAX41" s="532"/>
      <c r="BAY41" s="532"/>
      <c r="BAZ41" s="532"/>
      <c r="BBA41" s="532"/>
      <c r="BBB41" s="532"/>
      <c r="BBC41" s="532"/>
      <c r="BBD41" s="532"/>
      <c r="BBE41" s="532"/>
      <c r="BBF41" s="532"/>
      <c r="BBG41" s="532"/>
      <c r="BBH41" s="532"/>
      <c r="BBI41" s="532"/>
      <c r="BBJ41" s="532"/>
      <c r="BBK41" s="532"/>
      <c r="BBL41" s="532"/>
      <c r="BBM41" s="532"/>
      <c r="BBN41" s="532"/>
      <c r="BBO41" s="532"/>
      <c r="BBP41" s="532"/>
      <c r="BBQ41" s="532"/>
      <c r="BBR41" s="532"/>
      <c r="BBS41" s="532"/>
      <c r="BBT41" s="532"/>
      <c r="BBU41" s="532"/>
      <c r="BBV41" s="532"/>
      <c r="BBW41" s="532"/>
      <c r="BBX41" s="532"/>
      <c r="BBY41" s="532"/>
      <c r="BBZ41" s="532"/>
      <c r="BCA41" s="532"/>
      <c r="BCB41" s="532"/>
      <c r="BCC41" s="532"/>
      <c r="BCD41" s="532"/>
      <c r="BCE41" s="532"/>
      <c r="BCF41" s="532"/>
      <c r="BCG41" s="532"/>
      <c r="BCH41" s="532"/>
      <c r="BCI41" s="532"/>
      <c r="BCJ41" s="532"/>
      <c r="BCK41" s="532"/>
      <c r="BCL41" s="532"/>
      <c r="BCM41" s="532"/>
      <c r="BCN41" s="532"/>
      <c r="BCO41" s="532"/>
      <c r="BCP41" s="532"/>
      <c r="BCQ41" s="532"/>
      <c r="BCR41" s="532"/>
      <c r="BCS41" s="532"/>
      <c r="BCT41" s="532"/>
      <c r="BCU41" s="532"/>
      <c r="BCV41" s="532"/>
      <c r="BCW41" s="532"/>
      <c r="BCX41" s="532"/>
      <c r="BCY41" s="532"/>
      <c r="BCZ41" s="532"/>
      <c r="BDA41" s="532"/>
      <c r="BDB41" s="532"/>
      <c r="BDC41" s="532"/>
      <c r="BDD41" s="532"/>
      <c r="BDE41" s="532"/>
      <c r="BDF41" s="532"/>
      <c r="BDG41" s="532"/>
      <c r="BDH41" s="532"/>
      <c r="BDI41" s="532"/>
      <c r="BDJ41" s="532"/>
      <c r="BDK41" s="532"/>
      <c r="BDL41" s="532"/>
      <c r="BDM41" s="532"/>
      <c r="BDN41" s="532"/>
      <c r="BDO41" s="532"/>
      <c r="BDP41" s="532"/>
      <c r="BDQ41" s="532"/>
      <c r="BDR41" s="532"/>
      <c r="BDS41" s="532"/>
      <c r="BDT41" s="532"/>
      <c r="BDU41" s="532"/>
      <c r="BDV41" s="532"/>
      <c r="BDW41" s="532"/>
      <c r="BDX41" s="532"/>
      <c r="BDY41" s="532"/>
      <c r="BDZ41" s="532"/>
      <c r="BEA41" s="532"/>
      <c r="BEB41" s="532"/>
      <c r="BEC41" s="532"/>
      <c r="BED41" s="532"/>
      <c r="BEE41" s="532"/>
      <c r="BEF41" s="532"/>
      <c r="BEG41" s="532"/>
      <c r="BEH41" s="532"/>
      <c r="BEI41" s="532"/>
      <c r="BEJ41" s="532"/>
      <c r="BEK41" s="532"/>
      <c r="BEL41" s="532"/>
      <c r="BEM41" s="532"/>
      <c r="BEN41" s="532"/>
      <c r="BEO41" s="532"/>
      <c r="BEP41" s="532"/>
      <c r="BEQ41" s="532"/>
      <c r="BER41" s="532"/>
      <c r="BES41" s="532"/>
      <c r="BET41" s="532"/>
      <c r="BEU41" s="532"/>
      <c r="BEV41" s="532"/>
      <c r="BEW41" s="532"/>
      <c r="BEX41" s="532"/>
      <c r="BEY41" s="532"/>
      <c r="BEZ41" s="532"/>
      <c r="BFA41" s="532"/>
      <c r="BFB41" s="532"/>
      <c r="BFC41" s="532"/>
      <c r="BFD41" s="532"/>
      <c r="BFE41" s="532"/>
      <c r="BFF41" s="532"/>
      <c r="BFG41" s="532"/>
      <c r="BFH41" s="532"/>
      <c r="BFI41" s="532"/>
      <c r="BFJ41" s="532"/>
      <c r="BFK41" s="532"/>
      <c r="BFL41" s="532"/>
      <c r="BFM41" s="532"/>
      <c r="BFN41" s="532"/>
      <c r="BFO41" s="532"/>
      <c r="BFP41" s="532"/>
      <c r="BFQ41" s="532"/>
      <c r="BFR41" s="532"/>
      <c r="BFS41" s="532"/>
      <c r="BFT41" s="532"/>
      <c r="BFU41" s="532"/>
      <c r="BFV41" s="532"/>
      <c r="BFW41" s="532"/>
      <c r="BFX41" s="532"/>
      <c r="BFY41" s="532"/>
      <c r="BFZ41" s="532"/>
      <c r="BGA41" s="532"/>
      <c r="BGB41" s="532"/>
      <c r="BGC41" s="532"/>
      <c r="BGD41" s="532"/>
      <c r="BGE41" s="532"/>
      <c r="BGF41" s="532"/>
      <c r="BGG41" s="532"/>
      <c r="BGH41" s="532"/>
      <c r="BGI41" s="532"/>
      <c r="BGJ41" s="532"/>
      <c r="BGK41" s="532"/>
      <c r="BGL41" s="532"/>
      <c r="BGM41" s="532"/>
      <c r="BGN41" s="532"/>
      <c r="BGO41" s="532"/>
      <c r="BGP41" s="532"/>
      <c r="BGQ41" s="532"/>
      <c r="BGR41" s="532"/>
      <c r="BGS41" s="532"/>
      <c r="BGT41" s="532"/>
      <c r="BGU41" s="532"/>
      <c r="BGV41" s="532"/>
      <c r="BGW41" s="532"/>
      <c r="BGX41" s="532"/>
      <c r="BGY41" s="532"/>
      <c r="BGZ41" s="532"/>
      <c r="BHA41" s="532"/>
      <c r="BHB41" s="532"/>
      <c r="BHC41" s="532"/>
      <c r="BHD41" s="532"/>
      <c r="BHE41" s="532"/>
      <c r="BHF41" s="532"/>
      <c r="BHG41" s="532"/>
      <c r="BHH41" s="532"/>
      <c r="BHI41" s="532"/>
      <c r="BHJ41" s="532"/>
      <c r="BHK41" s="532"/>
      <c r="BHL41" s="532"/>
      <c r="BHM41" s="532"/>
      <c r="BHN41" s="532"/>
      <c r="BHO41" s="532"/>
      <c r="BHP41" s="532"/>
      <c r="BHQ41" s="532"/>
      <c r="BHR41" s="532"/>
      <c r="BHS41" s="532"/>
      <c r="BHT41" s="532"/>
      <c r="BHU41" s="532"/>
      <c r="BHV41" s="532"/>
      <c r="BHW41" s="532"/>
      <c r="BHX41" s="532"/>
      <c r="BHY41" s="532"/>
      <c r="BHZ41" s="532"/>
      <c r="BIA41" s="532"/>
      <c r="BIB41" s="532"/>
      <c r="BIC41" s="532"/>
      <c r="BID41" s="532"/>
      <c r="BIE41" s="532"/>
      <c r="BIF41" s="532"/>
      <c r="BIG41" s="532"/>
      <c r="BIH41" s="532"/>
      <c r="BII41" s="532"/>
      <c r="BIJ41" s="532"/>
      <c r="BIK41" s="532"/>
      <c r="BIL41" s="532"/>
      <c r="BIM41" s="532"/>
      <c r="BIN41" s="532"/>
      <c r="BIO41" s="532"/>
      <c r="BIP41" s="532"/>
      <c r="BIQ41" s="532"/>
      <c r="BIR41" s="532"/>
      <c r="BIS41" s="532"/>
      <c r="BIT41" s="532"/>
      <c r="BIU41" s="532"/>
      <c r="BIV41" s="532"/>
      <c r="BIW41" s="532"/>
      <c r="BIX41" s="532"/>
      <c r="BIY41" s="532"/>
      <c r="BIZ41" s="532"/>
      <c r="BJA41" s="532"/>
      <c r="BJB41" s="532"/>
      <c r="BJC41" s="532"/>
      <c r="BJD41" s="532"/>
      <c r="BJE41" s="532"/>
      <c r="BJF41" s="532"/>
      <c r="BJG41" s="532"/>
      <c r="BJH41" s="532"/>
      <c r="BJI41" s="532"/>
      <c r="BJJ41" s="532"/>
      <c r="BJK41" s="532"/>
      <c r="BJL41" s="532"/>
      <c r="BJM41" s="532"/>
      <c r="BJN41" s="532"/>
      <c r="BJO41" s="532"/>
      <c r="BJP41" s="532"/>
      <c r="BJQ41" s="532"/>
      <c r="BJR41" s="532"/>
      <c r="BJS41" s="532"/>
      <c r="BJT41" s="532"/>
      <c r="BJU41" s="532"/>
      <c r="BJV41" s="532"/>
      <c r="BJW41" s="532"/>
      <c r="BJX41" s="532"/>
      <c r="BJY41" s="532"/>
      <c r="BJZ41" s="532"/>
      <c r="BKA41" s="532"/>
      <c r="BKB41" s="532"/>
      <c r="BKC41" s="532"/>
      <c r="BKD41" s="532"/>
      <c r="BKE41" s="532"/>
      <c r="BKF41" s="532"/>
      <c r="BKG41" s="532"/>
      <c r="BKH41" s="532"/>
      <c r="BKI41" s="532"/>
      <c r="BKJ41" s="532"/>
      <c r="BKK41" s="532"/>
      <c r="BKL41" s="532"/>
      <c r="BKM41" s="532"/>
      <c r="BKN41" s="532"/>
      <c r="BKO41" s="532"/>
      <c r="BKP41" s="532"/>
      <c r="BKQ41" s="532"/>
      <c r="BKR41" s="532"/>
      <c r="BKS41" s="532"/>
      <c r="BKT41" s="532"/>
      <c r="BKU41" s="532"/>
      <c r="BKV41" s="532"/>
      <c r="BKW41" s="532"/>
      <c r="BKX41" s="532"/>
      <c r="BKY41" s="532"/>
      <c r="BKZ41" s="532"/>
      <c r="BLA41" s="532"/>
      <c r="BLB41" s="532"/>
      <c r="BLC41" s="532"/>
      <c r="BLD41" s="532"/>
      <c r="BLE41" s="532"/>
      <c r="BLF41" s="532"/>
      <c r="BLG41" s="532"/>
      <c r="BLH41" s="532"/>
      <c r="BLI41" s="532"/>
      <c r="BLJ41" s="532"/>
      <c r="BLK41" s="532"/>
      <c r="BLL41" s="532"/>
      <c r="BLM41" s="532"/>
      <c r="BLN41" s="532"/>
      <c r="BLO41" s="532"/>
      <c r="BLP41" s="532"/>
      <c r="BLQ41" s="532"/>
      <c r="BLR41" s="532"/>
      <c r="BLS41" s="532"/>
      <c r="BLT41" s="532"/>
      <c r="BLU41" s="532"/>
      <c r="BLV41" s="532"/>
      <c r="BLW41" s="532"/>
      <c r="BLX41" s="532"/>
      <c r="BLY41" s="532"/>
      <c r="BLZ41" s="532"/>
      <c r="BMA41" s="532"/>
      <c r="BMB41" s="532"/>
      <c r="BMC41" s="532"/>
      <c r="BMD41" s="532"/>
      <c r="BME41" s="532"/>
      <c r="BMF41" s="532"/>
      <c r="BMG41" s="532"/>
      <c r="BMH41" s="532"/>
      <c r="BMI41" s="532"/>
      <c r="BMJ41" s="532"/>
      <c r="BMK41" s="532"/>
      <c r="BML41" s="532"/>
      <c r="BMM41" s="532"/>
      <c r="BMN41" s="532"/>
      <c r="BMO41" s="532"/>
      <c r="BMP41" s="532"/>
      <c r="BMQ41" s="532"/>
      <c r="BMR41" s="532"/>
      <c r="BMS41" s="532"/>
      <c r="BMT41" s="532"/>
      <c r="BMU41" s="532"/>
      <c r="BMV41" s="532"/>
      <c r="BMW41" s="532"/>
      <c r="BMX41" s="532"/>
      <c r="BMY41" s="532"/>
      <c r="BMZ41" s="532"/>
      <c r="BNA41" s="532"/>
      <c r="BNB41" s="532"/>
      <c r="BNC41" s="532"/>
      <c r="BND41" s="532"/>
      <c r="BNE41" s="532"/>
      <c r="BNF41" s="532"/>
      <c r="BNG41" s="532"/>
      <c r="BNH41" s="532"/>
      <c r="BNI41" s="532"/>
      <c r="BNJ41" s="532"/>
      <c r="BNK41" s="532"/>
      <c r="BNL41" s="532"/>
      <c r="BNM41" s="532"/>
      <c r="BNN41" s="532"/>
      <c r="BNO41" s="532"/>
      <c r="BNP41" s="532"/>
      <c r="BNQ41" s="532"/>
      <c r="BNR41" s="532"/>
      <c r="BNS41" s="532"/>
      <c r="BNT41" s="532"/>
      <c r="BNU41" s="532"/>
      <c r="BNV41" s="532"/>
      <c r="BNW41" s="532"/>
      <c r="BNX41" s="532"/>
      <c r="BNY41" s="532"/>
      <c r="BNZ41" s="532"/>
      <c r="BOA41" s="532"/>
      <c r="BOB41" s="532"/>
      <c r="BOC41" s="532"/>
      <c r="BOD41" s="532"/>
      <c r="BOE41" s="532"/>
      <c r="BOF41" s="532"/>
      <c r="BOG41" s="532"/>
      <c r="BOH41" s="532"/>
      <c r="BOI41" s="532"/>
      <c r="BOJ41" s="532"/>
      <c r="BOK41" s="532"/>
      <c r="BOL41" s="532"/>
      <c r="BOM41" s="532"/>
      <c r="BON41" s="532"/>
      <c r="BOO41" s="532"/>
      <c r="BOP41" s="532"/>
      <c r="BOQ41" s="532"/>
      <c r="BOR41" s="532"/>
      <c r="BOS41" s="532"/>
      <c r="BOT41" s="532"/>
      <c r="BOU41" s="532"/>
      <c r="BOV41" s="532"/>
      <c r="BOW41" s="532"/>
      <c r="BOX41" s="532"/>
      <c r="BOY41" s="532"/>
      <c r="BOZ41" s="532"/>
      <c r="BPA41" s="532"/>
      <c r="BPB41" s="532"/>
      <c r="BPC41" s="532"/>
      <c r="BPD41" s="532"/>
      <c r="BPE41" s="532"/>
      <c r="BPF41" s="532"/>
      <c r="BPG41" s="532"/>
      <c r="BPH41" s="532"/>
      <c r="BPI41" s="532"/>
      <c r="BPJ41" s="532"/>
      <c r="BPK41" s="532"/>
      <c r="BPL41" s="532"/>
      <c r="BPM41" s="532"/>
      <c r="BPN41" s="532"/>
      <c r="BPO41" s="532"/>
      <c r="BPP41" s="532"/>
      <c r="BPQ41" s="532"/>
      <c r="BPR41" s="532"/>
      <c r="BPS41" s="532"/>
      <c r="BPT41" s="532"/>
      <c r="BPU41" s="532"/>
      <c r="BPV41" s="532"/>
      <c r="BPW41" s="532"/>
      <c r="BPX41" s="532"/>
      <c r="BPY41" s="532"/>
      <c r="BPZ41" s="532"/>
      <c r="BQA41" s="532"/>
      <c r="BQB41" s="532"/>
      <c r="BQC41" s="532"/>
      <c r="BQD41" s="532"/>
      <c r="BQE41" s="532"/>
      <c r="BQF41" s="532"/>
      <c r="BQG41" s="532"/>
      <c r="BQH41" s="532"/>
      <c r="BQI41" s="532"/>
      <c r="BQJ41" s="532"/>
      <c r="BQK41" s="532"/>
      <c r="BQL41" s="532"/>
      <c r="BQM41" s="532"/>
      <c r="BQN41" s="532"/>
      <c r="BQO41" s="532"/>
      <c r="BQP41" s="532"/>
      <c r="BQQ41" s="532"/>
      <c r="BQR41" s="532"/>
      <c r="BQS41" s="532"/>
      <c r="BQT41" s="532"/>
      <c r="BQU41" s="532"/>
      <c r="BQV41" s="532"/>
      <c r="BQW41" s="532"/>
      <c r="BQX41" s="532"/>
      <c r="BQY41" s="532"/>
      <c r="BQZ41" s="532"/>
      <c r="BRA41" s="532"/>
      <c r="BRB41" s="532"/>
      <c r="BRC41" s="532"/>
      <c r="BRD41" s="532"/>
      <c r="BRE41" s="532"/>
      <c r="BRF41" s="532"/>
      <c r="BRG41" s="532"/>
      <c r="BRH41" s="532"/>
      <c r="BRI41" s="532"/>
      <c r="BRJ41" s="532"/>
      <c r="BRK41" s="532"/>
      <c r="BRL41" s="532"/>
      <c r="BRM41" s="532"/>
      <c r="BRN41" s="532"/>
      <c r="BRO41" s="532"/>
      <c r="BRP41" s="532"/>
      <c r="BRQ41" s="532"/>
      <c r="BRR41" s="532"/>
      <c r="BRS41" s="532"/>
      <c r="BRT41" s="532"/>
      <c r="BRU41" s="532"/>
      <c r="BRV41" s="532"/>
      <c r="BRW41" s="532"/>
      <c r="BRX41" s="532"/>
      <c r="BRY41" s="532"/>
      <c r="BRZ41" s="532"/>
      <c r="BSA41" s="532"/>
      <c r="BSB41" s="532"/>
      <c r="BSC41" s="532"/>
      <c r="BSD41" s="532"/>
      <c r="BSE41" s="532"/>
      <c r="BSF41" s="532"/>
      <c r="BSG41" s="532"/>
      <c r="BSH41" s="532"/>
      <c r="BSI41" s="532"/>
      <c r="BSJ41" s="532"/>
      <c r="BSK41" s="532"/>
      <c r="BSL41" s="532"/>
      <c r="BSM41" s="532"/>
      <c r="BSN41" s="532"/>
      <c r="BSO41" s="532"/>
      <c r="BSP41" s="532"/>
      <c r="BSQ41" s="532"/>
      <c r="BSR41" s="532"/>
      <c r="BSS41" s="532"/>
      <c r="BST41" s="532"/>
      <c r="BSU41" s="532"/>
      <c r="BSV41" s="532"/>
      <c r="BSW41" s="532"/>
      <c r="BSX41" s="532"/>
      <c r="BSY41" s="532"/>
      <c r="BSZ41" s="532"/>
      <c r="BTA41" s="532"/>
      <c r="BTB41" s="532"/>
      <c r="BTC41" s="532"/>
      <c r="BTD41" s="532"/>
      <c r="BTE41" s="532"/>
      <c r="BTF41" s="532"/>
      <c r="BTG41" s="532"/>
      <c r="BTH41" s="532"/>
      <c r="BTI41" s="532"/>
      <c r="BTJ41" s="532"/>
      <c r="BTK41" s="532"/>
      <c r="BTL41" s="532"/>
      <c r="BTM41" s="532"/>
      <c r="BTN41" s="532"/>
      <c r="BTO41" s="532"/>
      <c r="BTP41" s="532"/>
      <c r="BTQ41" s="532"/>
      <c r="BTR41" s="532"/>
      <c r="BTS41" s="532"/>
      <c r="BTT41" s="532"/>
      <c r="BTU41" s="532"/>
      <c r="BTV41" s="532"/>
      <c r="BTW41" s="532"/>
      <c r="BTX41" s="532"/>
      <c r="BTY41" s="532"/>
      <c r="BTZ41" s="532"/>
      <c r="BUA41" s="532"/>
      <c r="BUB41" s="532"/>
      <c r="BUC41" s="532"/>
      <c r="BUD41" s="532"/>
      <c r="BUE41" s="532"/>
      <c r="BUF41" s="532"/>
      <c r="BUG41" s="532"/>
      <c r="BUH41" s="532"/>
      <c r="BUI41" s="532"/>
      <c r="BUJ41" s="532"/>
      <c r="BUK41" s="532"/>
      <c r="BUL41" s="532"/>
      <c r="BUM41" s="532"/>
      <c r="BUN41" s="532"/>
      <c r="BUO41" s="532"/>
      <c r="BUP41" s="532"/>
      <c r="BUQ41" s="532"/>
      <c r="BUR41" s="532"/>
      <c r="BUS41" s="532"/>
      <c r="BUT41" s="532"/>
      <c r="BUU41" s="532"/>
      <c r="BUV41" s="532"/>
      <c r="BUW41" s="532"/>
      <c r="BUX41" s="532"/>
      <c r="BUY41" s="532"/>
      <c r="BUZ41" s="532"/>
      <c r="BVA41" s="532"/>
      <c r="BVB41" s="532"/>
      <c r="BVC41" s="532"/>
      <c r="BVD41" s="532"/>
      <c r="BVE41" s="532"/>
      <c r="BVF41" s="532"/>
      <c r="BVG41" s="532"/>
      <c r="BVH41" s="532"/>
      <c r="BVI41" s="532"/>
      <c r="BVJ41" s="532"/>
      <c r="BVK41" s="532"/>
      <c r="BVL41" s="532"/>
      <c r="BVM41" s="532"/>
      <c r="BVN41" s="532"/>
      <c r="BVO41" s="532"/>
      <c r="BVP41" s="532"/>
      <c r="BVQ41" s="532"/>
      <c r="BVR41" s="532"/>
      <c r="BVS41" s="532"/>
      <c r="BVT41" s="532"/>
      <c r="BVU41" s="532"/>
      <c r="BVV41" s="532"/>
      <c r="BVW41" s="532"/>
      <c r="BVX41" s="532"/>
      <c r="BVY41" s="532"/>
      <c r="BVZ41" s="532"/>
      <c r="BWA41" s="532"/>
      <c r="BWB41" s="532"/>
      <c r="BWC41" s="532"/>
      <c r="BWD41" s="532"/>
      <c r="BWE41" s="532"/>
      <c r="BWF41" s="532"/>
      <c r="BWG41" s="532"/>
      <c r="BWH41" s="532"/>
      <c r="BWI41" s="532"/>
      <c r="BWJ41" s="532"/>
      <c r="BWK41" s="532"/>
      <c r="BWL41" s="532"/>
      <c r="BWM41" s="532"/>
      <c r="BWN41" s="532"/>
      <c r="BWO41" s="532"/>
      <c r="BWP41" s="532"/>
      <c r="BWQ41" s="532"/>
      <c r="BWR41" s="532"/>
      <c r="BWS41" s="532"/>
      <c r="BWT41" s="532"/>
      <c r="BWU41" s="532"/>
      <c r="BWV41" s="532"/>
      <c r="BWW41" s="532"/>
      <c r="BWX41" s="532"/>
      <c r="BWY41" s="532"/>
      <c r="BWZ41" s="532"/>
      <c r="BXA41" s="532"/>
      <c r="BXB41" s="532"/>
      <c r="BXC41" s="532"/>
      <c r="BXD41" s="532"/>
      <c r="BXE41" s="532"/>
      <c r="BXF41" s="532"/>
      <c r="BXG41" s="532"/>
      <c r="BXH41" s="532"/>
      <c r="BXI41" s="532"/>
      <c r="BXJ41" s="532"/>
      <c r="BXK41" s="532"/>
      <c r="BXL41" s="532"/>
      <c r="BXM41" s="532"/>
      <c r="BXN41" s="532"/>
      <c r="BXO41" s="532"/>
      <c r="BXP41" s="532"/>
      <c r="BXQ41" s="532"/>
      <c r="BXR41" s="532"/>
      <c r="BXS41" s="532"/>
      <c r="BXT41" s="532"/>
      <c r="BXU41" s="532"/>
      <c r="BXV41" s="532"/>
      <c r="BXW41" s="532"/>
      <c r="BXX41" s="532"/>
      <c r="BXY41" s="532"/>
      <c r="BXZ41" s="532"/>
      <c r="BYA41" s="532"/>
      <c r="BYB41" s="532"/>
      <c r="BYC41" s="532"/>
      <c r="BYD41" s="532"/>
      <c r="BYE41" s="532"/>
      <c r="BYF41" s="532"/>
      <c r="BYG41" s="532"/>
      <c r="BYH41" s="532"/>
      <c r="BYI41" s="532"/>
      <c r="BYJ41" s="532"/>
      <c r="BYK41" s="532"/>
      <c r="BYL41" s="532"/>
      <c r="BYM41" s="532"/>
      <c r="BYN41" s="532"/>
      <c r="BYO41" s="532"/>
      <c r="BYP41" s="532"/>
      <c r="BYQ41" s="532"/>
      <c r="BYR41" s="532"/>
      <c r="BYS41" s="532"/>
      <c r="BYT41" s="532"/>
      <c r="BYU41" s="532"/>
      <c r="BYV41" s="532"/>
      <c r="BYW41" s="532"/>
      <c r="BYX41" s="532"/>
      <c r="BYY41" s="532"/>
      <c r="BYZ41" s="532"/>
      <c r="BZA41" s="532"/>
      <c r="BZB41" s="532"/>
      <c r="BZC41" s="532"/>
      <c r="BZD41" s="532"/>
      <c r="BZE41" s="532"/>
      <c r="BZF41" s="532"/>
      <c r="BZG41" s="532"/>
      <c r="BZH41" s="532"/>
      <c r="BZI41" s="532"/>
      <c r="BZJ41" s="532"/>
      <c r="BZK41" s="532"/>
      <c r="BZL41" s="532"/>
      <c r="BZM41" s="532"/>
      <c r="BZN41" s="532"/>
      <c r="BZO41" s="532"/>
      <c r="BZP41" s="532"/>
      <c r="BZQ41" s="532"/>
      <c r="BZR41" s="532"/>
      <c r="BZS41" s="532"/>
      <c r="BZT41" s="532"/>
      <c r="BZU41" s="532"/>
      <c r="BZV41" s="532"/>
      <c r="BZW41" s="532"/>
      <c r="BZX41" s="532"/>
      <c r="BZY41" s="532"/>
      <c r="BZZ41" s="532"/>
      <c r="CAA41" s="532"/>
      <c r="CAB41" s="532"/>
      <c r="CAC41" s="532"/>
      <c r="CAD41" s="532"/>
      <c r="CAE41" s="532"/>
      <c r="CAF41" s="532"/>
      <c r="CAG41" s="532"/>
      <c r="CAH41" s="532"/>
      <c r="CAI41" s="532"/>
      <c r="CAJ41" s="532"/>
      <c r="CAK41" s="532"/>
      <c r="CAL41" s="532"/>
      <c r="CAM41" s="532"/>
      <c r="CAN41" s="532"/>
      <c r="CAO41" s="532"/>
      <c r="CAP41" s="532"/>
      <c r="CAQ41" s="532"/>
      <c r="CAR41" s="532"/>
      <c r="CAS41" s="532"/>
      <c r="CAT41" s="532"/>
      <c r="CAU41" s="532"/>
      <c r="CAV41" s="532"/>
      <c r="CAW41" s="532"/>
      <c r="CAX41" s="532"/>
      <c r="CAY41" s="532"/>
      <c r="CAZ41" s="532"/>
      <c r="CBA41" s="532"/>
      <c r="CBB41" s="532"/>
      <c r="CBC41" s="532"/>
      <c r="CBD41" s="532"/>
      <c r="CBE41" s="532"/>
      <c r="CBF41" s="532"/>
      <c r="CBG41" s="532"/>
      <c r="CBH41" s="532"/>
      <c r="CBI41" s="532"/>
      <c r="CBJ41" s="532"/>
      <c r="CBK41" s="532"/>
      <c r="CBL41" s="532"/>
      <c r="CBM41" s="532"/>
      <c r="CBN41" s="532"/>
      <c r="CBO41" s="532"/>
      <c r="CBP41" s="532"/>
      <c r="CBQ41" s="532"/>
      <c r="CBR41" s="532"/>
      <c r="CBS41" s="532"/>
      <c r="CBT41" s="532"/>
      <c r="CBU41" s="532"/>
      <c r="CBV41" s="532"/>
      <c r="CBW41" s="532"/>
      <c r="CBX41" s="532"/>
      <c r="CBY41" s="532"/>
      <c r="CBZ41" s="532"/>
      <c r="CCA41" s="532"/>
      <c r="CCB41" s="532"/>
      <c r="CCC41" s="532"/>
      <c r="CCD41" s="532"/>
      <c r="CCE41" s="532"/>
      <c r="CCF41" s="532"/>
      <c r="CCG41" s="532"/>
      <c r="CCH41" s="532"/>
      <c r="CCI41" s="532"/>
      <c r="CCJ41" s="532"/>
      <c r="CCK41" s="532"/>
      <c r="CCL41" s="532"/>
      <c r="CCM41" s="532"/>
      <c r="CCN41" s="532"/>
      <c r="CCO41" s="532"/>
      <c r="CCP41" s="532"/>
      <c r="CCQ41" s="532"/>
      <c r="CCR41" s="532"/>
      <c r="CCS41" s="532"/>
      <c r="CCT41" s="532"/>
      <c r="CCU41" s="532"/>
      <c r="CCV41" s="532"/>
      <c r="CCW41" s="532"/>
      <c r="CCX41" s="532"/>
      <c r="CCY41" s="532"/>
      <c r="CCZ41" s="532"/>
      <c r="CDA41" s="532"/>
      <c r="CDB41" s="532"/>
      <c r="CDC41" s="532"/>
      <c r="CDD41" s="532"/>
      <c r="CDE41" s="532"/>
      <c r="CDF41" s="532"/>
      <c r="CDG41" s="532"/>
      <c r="CDH41" s="532"/>
      <c r="CDI41" s="532"/>
      <c r="CDJ41" s="532"/>
      <c r="CDK41" s="532"/>
      <c r="CDL41" s="532"/>
      <c r="CDM41" s="532"/>
      <c r="CDN41" s="532"/>
      <c r="CDO41" s="532"/>
      <c r="CDP41" s="532"/>
      <c r="CDQ41" s="532"/>
      <c r="CDR41" s="532"/>
      <c r="CDS41" s="532"/>
      <c r="CDT41" s="532"/>
      <c r="CDU41" s="532"/>
      <c r="CDV41" s="532"/>
      <c r="CDW41" s="532"/>
      <c r="CDX41" s="532"/>
      <c r="CDY41" s="532"/>
      <c r="CDZ41" s="532"/>
      <c r="CEA41" s="532"/>
      <c r="CEB41" s="532"/>
      <c r="CEC41" s="532"/>
      <c r="CED41" s="532"/>
      <c r="CEE41" s="532"/>
      <c r="CEF41" s="532"/>
      <c r="CEG41" s="532"/>
      <c r="CEH41" s="532"/>
      <c r="CEI41" s="532"/>
      <c r="CEJ41" s="532"/>
      <c r="CEK41" s="532"/>
      <c r="CEL41" s="532"/>
      <c r="CEM41" s="532"/>
      <c r="CEN41" s="532"/>
      <c r="CEO41" s="532"/>
      <c r="CEP41" s="532"/>
      <c r="CEQ41" s="532"/>
      <c r="CER41" s="532"/>
      <c r="CES41" s="532"/>
      <c r="CET41" s="532"/>
      <c r="CEU41" s="532"/>
      <c r="CEV41" s="532"/>
      <c r="CEW41" s="532"/>
      <c r="CEX41" s="532"/>
      <c r="CEY41" s="532"/>
      <c r="CEZ41" s="532"/>
      <c r="CFA41" s="532"/>
      <c r="CFB41" s="532"/>
      <c r="CFC41" s="532"/>
      <c r="CFD41" s="532"/>
      <c r="CFE41" s="532"/>
      <c r="CFF41" s="532"/>
      <c r="CFG41" s="532"/>
      <c r="CFH41" s="532"/>
      <c r="CFI41" s="532"/>
      <c r="CFJ41" s="532"/>
      <c r="CFK41" s="532"/>
      <c r="CFL41" s="532"/>
      <c r="CFM41" s="532"/>
      <c r="CFN41" s="532"/>
      <c r="CFO41" s="532"/>
      <c r="CFP41" s="532"/>
      <c r="CFQ41" s="532"/>
      <c r="CFR41" s="532"/>
      <c r="CFS41" s="532"/>
      <c r="CFT41" s="532"/>
      <c r="CFU41" s="532"/>
      <c r="CFV41" s="532"/>
      <c r="CFW41" s="532"/>
      <c r="CFX41" s="532"/>
      <c r="CFY41" s="532"/>
      <c r="CFZ41" s="532"/>
      <c r="CGA41" s="532"/>
      <c r="CGB41" s="532"/>
      <c r="CGC41" s="532"/>
      <c r="CGD41" s="532"/>
      <c r="CGE41" s="532"/>
      <c r="CGF41" s="532"/>
      <c r="CGG41" s="532"/>
      <c r="CGH41" s="532"/>
      <c r="CGI41" s="532"/>
      <c r="CGJ41" s="532"/>
      <c r="CGK41" s="532"/>
      <c r="CGL41" s="532"/>
      <c r="CGM41" s="532"/>
      <c r="CGN41" s="532"/>
      <c r="CGO41" s="532"/>
      <c r="CGP41" s="532"/>
      <c r="CGQ41" s="532"/>
      <c r="CGR41" s="532"/>
      <c r="CGS41" s="532"/>
      <c r="CGT41" s="532"/>
      <c r="CGU41" s="532"/>
      <c r="CGV41" s="532"/>
      <c r="CGW41" s="532"/>
      <c r="CGX41" s="532"/>
      <c r="CGY41" s="532"/>
      <c r="CGZ41" s="532"/>
      <c r="CHA41" s="532"/>
      <c r="CHB41" s="532"/>
      <c r="CHC41" s="532"/>
      <c r="CHD41" s="532"/>
      <c r="CHE41" s="532"/>
      <c r="CHF41" s="532"/>
      <c r="CHG41" s="532"/>
      <c r="CHH41" s="532"/>
      <c r="CHI41" s="532"/>
      <c r="CHJ41" s="532"/>
      <c r="CHK41" s="532"/>
      <c r="CHL41" s="532"/>
      <c r="CHM41" s="532"/>
      <c r="CHN41" s="532"/>
      <c r="CHO41" s="532"/>
      <c r="CHP41" s="532"/>
      <c r="CHQ41" s="532"/>
      <c r="CHR41" s="532"/>
      <c r="CHS41" s="532"/>
      <c r="CHT41" s="532"/>
      <c r="CHU41" s="532"/>
      <c r="CHV41" s="532"/>
      <c r="CHW41" s="532"/>
      <c r="CHX41" s="532"/>
      <c r="CHY41" s="532"/>
      <c r="CHZ41" s="532"/>
      <c r="CIA41" s="532"/>
      <c r="CIB41" s="532"/>
      <c r="CIC41" s="532"/>
      <c r="CID41" s="532"/>
      <c r="CIE41" s="532"/>
      <c r="CIF41" s="532"/>
      <c r="CIG41" s="532"/>
      <c r="CIH41" s="532"/>
      <c r="CII41" s="532"/>
      <c r="CIJ41" s="532"/>
      <c r="CIK41" s="532"/>
      <c r="CIL41" s="532"/>
      <c r="CIM41" s="532"/>
      <c r="CIN41" s="532"/>
      <c r="CIO41" s="532"/>
      <c r="CIP41" s="532"/>
      <c r="CIQ41" s="532"/>
      <c r="CIR41" s="532"/>
      <c r="CIS41" s="532"/>
      <c r="CIT41" s="532"/>
      <c r="CIU41" s="532"/>
      <c r="CIV41" s="532"/>
      <c r="CIW41" s="532"/>
      <c r="CIX41" s="532"/>
      <c r="CIY41" s="532"/>
      <c r="CIZ41" s="532"/>
      <c r="CJA41" s="532"/>
      <c r="CJB41" s="532"/>
      <c r="CJC41" s="532"/>
      <c r="CJD41" s="532"/>
      <c r="CJE41" s="532"/>
      <c r="CJF41" s="532"/>
      <c r="CJG41" s="532"/>
      <c r="CJH41" s="532"/>
      <c r="CJI41" s="532"/>
      <c r="CJJ41" s="532"/>
      <c r="CJK41" s="532"/>
      <c r="CJL41" s="532"/>
      <c r="CJM41" s="532"/>
      <c r="CJN41" s="532"/>
      <c r="CJO41" s="532"/>
      <c r="CJP41" s="532"/>
      <c r="CJQ41" s="532"/>
      <c r="CJR41" s="532"/>
      <c r="CJS41" s="532"/>
      <c r="CJT41" s="532"/>
      <c r="CJU41" s="532"/>
      <c r="CJV41" s="532"/>
      <c r="CJW41" s="532"/>
      <c r="CJX41" s="532"/>
      <c r="CJY41" s="532"/>
      <c r="CJZ41" s="532"/>
      <c r="CKA41" s="532"/>
      <c r="CKB41" s="532"/>
      <c r="CKC41" s="532"/>
      <c r="CKD41" s="532"/>
      <c r="CKE41" s="532"/>
      <c r="CKF41" s="532"/>
      <c r="CKG41" s="532"/>
      <c r="CKH41" s="532"/>
      <c r="CKI41" s="532"/>
      <c r="CKJ41" s="532"/>
      <c r="CKK41" s="532"/>
      <c r="CKL41" s="532"/>
      <c r="CKM41" s="532"/>
      <c r="CKN41" s="532"/>
      <c r="CKO41" s="532"/>
      <c r="CKP41" s="532"/>
      <c r="CKQ41" s="532"/>
      <c r="CKR41" s="532"/>
      <c r="CKS41" s="532"/>
      <c r="CKT41" s="532"/>
      <c r="CKU41" s="532"/>
      <c r="CKV41" s="532"/>
      <c r="CKW41" s="532"/>
      <c r="CKX41" s="532"/>
      <c r="CKY41" s="532"/>
      <c r="CKZ41" s="532"/>
      <c r="CLA41" s="532"/>
      <c r="CLB41" s="532"/>
      <c r="CLC41" s="532"/>
      <c r="CLD41" s="532"/>
      <c r="CLE41" s="532"/>
      <c r="CLF41" s="532"/>
      <c r="CLG41" s="532"/>
      <c r="CLH41" s="532"/>
      <c r="CLI41" s="532"/>
      <c r="CLJ41" s="532"/>
      <c r="CLK41" s="532"/>
      <c r="CLL41" s="532"/>
      <c r="CLM41" s="532"/>
      <c r="CLN41" s="532"/>
      <c r="CLO41" s="532"/>
      <c r="CLP41" s="532"/>
      <c r="CLQ41" s="532"/>
      <c r="CLR41" s="532"/>
      <c r="CLS41" s="532"/>
      <c r="CLT41" s="532"/>
      <c r="CLU41" s="532"/>
      <c r="CLV41" s="532"/>
      <c r="CLW41" s="532"/>
      <c r="CLX41" s="532"/>
      <c r="CLY41" s="532"/>
      <c r="CLZ41" s="532"/>
      <c r="CMA41" s="532"/>
      <c r="CMB41" s="532"/>
      <c r="CMC41" s="532"/>
      <c r="CMD41" s="532"/>
      <c r="CME41" s="532"/>
      <c r="CMF41" s="532"/>
      <c r="CMG41" s="532"/>
      <c r="CMH41" s="532"/>
      <c r="CMI41" s="532"/>
      <c r="CMJ41" s="532"/>
      <c r="CMK41" s="532"/>
      <c r="CML41" s="532"/>
      <c r="CMM41" s="532"/>
      <c r="CMN41" s="532"/>
      <c r="CMO41" s="532"/>
      <c r="CMP41" s="532"/>
      <c r="CMQ41" s="532"/>
      <c r="CMR41" s="532"/>
      <c r="CMS41" s="532"/>
      <c r="CMT41" s="532"/>
      <c r="CMU41" s="532"/>
      <c r="CMV41" s="532"/>
      <c r="CMW41" s="532"/>
      <c r="CMX41" s="532"/>
      <c r="CMY41" s="532"/>
      <c r="CMZ41" s="532"/>
      <c r="CNA41" s="532"/>
      <c r="CNB41" s="532"/>
      <c r="CNC41" s="532"/>
      <c r="CND41" s="532"/>
      <c r="CNE41" s="532"/>
      <c r="CNF41" s="532"/>
      <c r="CNG41" s="532"/>
      <c r="CNH41" s="532"/>
      <c r="CNI41" s="532"/>
      <c r="CNJ41" s="532"/>
      <c r="CNK41" s="532"/>
      <c r="CNL41" s="532"/>
      <c r="CNM41" s="532"/>
      <c r="CNN41" s="532"/>
      <c r="CNO41" s="532"/>
      <c r="CNP41" s="532"/>
      <c r="CNQ41" s="532"/>
      <c r="CNR41" s="532"/>
      <c r="CNS41" s="532"/>
      <c r="CNT41" s="532"/>
      <c r="CNU41" s="532"/>
      <c r="CNV41" s="532"/>
      <c r="CNW41" s="532"/>
      <c r="CNX41" s="532"/>
      <c r="CNY41" s="532"/>
      <c r="CNZ41" s="532"/>
      <c r="COA41" s="532"/>
      <c r="COB41" s="532"/>
      <c r="COC41" s="532"/>
      <c r="COD41" s="532"/>
      <c r="COE41" s="532"/>
      <c r="COF41" s="532"/>
      <c r="COG41" s="532"/>
      <c r="COH41" s="532"/>
      <c r="COI41" s="532"/>
      <c r="COJ41" s="532"/>
      <c r="COK41" s="532"/>
      <c r="COL41" s="532"/>
      <c r="COM41" s="532"/>
      <c r="CON41" s="532"/>
      <c r="COO41" s="532"/>
      <c r="COP41" s="532"/>
      <c r="COQ41" s="532"/>
      <c r="COR41" s="532"/>
      <c r="COS41" s="532"/>
      <c r="COT41" s="532"/>
      <c r="COU41" s="532"/>
      <c r="COV41" s="532"/>
      <c r="COW41" s="532"/>
      <c r="COX41" s="532"/>
      <c r="COY41" s="532"/>
      <c r="COZ41" s="532"/>
      <c r="CPA41" s="532"/>
      <c r="CPB41" s="532"/>
      <c r="CPC41" s="532"/>
      <c r="CPD41" s="532"/>
      <c r="CPE41" s="532"/>
      <c r="CPF41" s="532"/>
      <c r="CPG41" s="532"/>
      <c r="CPH41" s="532"/>
      <c r="CPI41" s="532"/>
      <c r="CPJ41" s="532"/>
      <c r="CPK41" s="532"/>
      <c r="CPL41" s="532"/>
      <c r="CPM41" s="532"/>
      <c r="CPN41" s="532"/>
      <c r="CPO41" s="532"/>
      <c r="CPP41" s="532"/>
      <c r="CPQ41" s="532"/>
      <c r="CPR41" s="532"/>
      <c r="CPS41" s="532"/>
      <c r="CPT41" s="532"/>
      <c r="CPU41" s="532"/>
      <c r="CPV41" s="532"/>
      <c r="CPW41" s="532"/>
      <c r="CPX41" s="532"/>
      <c r="CPY41" s="532"/>
      <c r="CPZ41" s="532"/>
      <c r="CQA41" s="532"/>
      <c r="CQB41" s="532"/>
      <c r="CQC41" s="532"/>
      <c r="CQD41" s="532"/>
      <c r="CQE41" s="532"/>
      <c r="CQF41" s="532"/>
      <c r="CQG41" s="532"/>
      <c r="CQH41" s="532"/>
      <c r="CQI41" s="532"/>
      <c r="CQJ41" s="532"/>
      <c r="CQK41" s="532"/>
      <c r="CQL41" s="532"/>
      <c r="CQM41" s="532"/>
      <c r="CQN41" s="532"/>
      <c r="CQO41" s="532"/>
      <c r="CQP41" s="532"/>
      <c r="CQQ41" s="532"/>
      <c r="CQR41" s="532"/>
      <c r="CQS41" s="532"/>
      <c r="CQT41" s="532"/>
      <c r="CQU41" s="532"/>
      <c r="CQV41" s="532"/>
      <c r="CQW41" s="532"/>
      <c r="CQX41" s="532"/>
      <c r="CQY41" s="532"/>
      <c r="CQZ41" s="532"/>
      <c r="CRA41" s="532"/>
      <c r="CRB41" s="532"/>
      <c r="CRC41" s="532"/>
      <c r="CRD41" s="532"/>
      <c r="CRE41" s="532"/>
      <c r="CRF41" s="532"/>
      <c r="CRG41" s="532"/>
      <c r="CRH41" s="532"/>
      <c r="CRI41" s="532"/>
      <c r="CRJ41" s="532"/>
      <c r="CRK41" s="532"/>
      <c r="CRL41" s="532"/>
      <c r="CRM41" s="532"/>
      <c r="CRN41" s="532"/>
      <c r="CRO41" s="532"/>
      <c r="CRP41" s="532"/>
      <c r="CRQ41" s="532"/>
      <c r="CRR41" s="532"/>
      <c r="CRS41" s="532"/>
      <c r="CRT41" s="532"/>
      <c r="CRU41" s="532"/>
      <c r="CRV41" s="532"/>
      <c r="CRW41" s="532"/>
      <c r="CRX41" s="532"/>
      <c r="CRY41" s="532"/>
      <c r="CRZ41" s="532"/>
      <c r="CSA41" s="532"/>
      <c r="CSB41" s="532"/>
      <c r="CSC41" s="532"/>
      <c r="CSD41" s="532"/>
      <c r="CSE41" s="532"/>
      <c r="CSF41" s="532"/>
      <c r="CSG41" s="532"/>
      <c r="CSH41" s="532"/>
      <c r="CSI41" s="532"/>
      <c r="CSJ41" s="532"/>
      <c r="CSK41" s="532"/>
      <c r="CSL41" s="532"/>
      <c r="CSM41" s="532"/>
      <c r="CSN41" s="532"/>
      <c r="CSO41" s="532"/>
      <c r="CSP41" s="532"/>
      <c r="CSQ41" s="532"/>
      <c r="CSR41" s="532"/>
      <c r="CSS41" s="532"/>
      <c r="CST41" s="532"/>
      <c r="CSU41" s="532"/>
      <c r="CSV41" s="532"/>
      <c r="CSW41" s="532"/>
      <c r="CSX41" s="532"/>
      <c r="CSY41" s="532"/>
      <c r="CSZ41" s="532"/>
      <c r="CTA41" s="532"/>
      <c r="CTB41" s="532"/>
      <c r="CTC41" s="532"/>
      <c r="CTD41" s="532"/>
      <c r="CTE41" s="532"/>
      <c r="CTF41" s="532"/>
      <c r="CTG41" s="532"/>
      <c r="CTH41" s="532"/>
      <c r="CTI41" s="532"/>
      <c r="CTJ41" s="532"/>
      <c r="CTK41" s="532"/>
      <c r="CTL41" s="532"/>
      <c r="CTM41" s="532"/>
      <c r="CTN41" s="532"/>
      <c r="CTO41" s="532"/>
      <c r="CTP41" s="532"/>
      <c r="CTQ41" s="532"/>
      <c r="CTR41" s="532"/>
      <c r="CTS41" s="532"/>
      <c r="CTT41" s="532"/>
      <c r="CTU41" s="532"/>
      <c r="CTV41" s="532"/>
      <c r="CTW41" s="532"/>
      <c r="CTX41" s="532"/>
      <c r="CTY41" s="532"/>
      <c r="CTZ41" s="532"/>
      <c r="CUA41" s="532"/>
      <c r="CUB41" s="532"/>
      <c r="CUC41" s="532"/>
      <c r="CUD41" s="532"/>
      <c r="CUE41" s="532"/>
      <c r="CUF41" s="532"/>
      <c r="CUG41" s="532"/>
      <c r="CUH41" s="532"/>
      <c r="CUI41" s="532"/>
      <c r="CUJ41" s="532"/>
      <c r="CUK41" s="532"/>
      <c r="CUL41" s="532"/>
      <c r="CUM41" s="532"/>
      <c r="CUN41" s="532"/>
      <c r="CUO41" s="532"/>
      <c r="CUP41" s="532"/>
      <c r="CUQ41" s="532"/>
      <c r="CUR41" s="532"/>
      <c r="CUS41" s="532"/>
      <c r="CUT41" s="532"/>
      <c r="CUU41" s="532"/>
      <c r="CUV41" s="532"/>
      <c r="CUW41" s="532"/>
      <c r="CUX41" s="532"/>
      <c r="CUY41" s="532"/>
      <c r="CUZ41" s="532"/>
      <c r="CVA41" s="532"/>
      <c r="CVB41" s="532"/>
      <c r="CVC41" s="532"/>
      <c r="CVD41" s="532"/>
      <c r="CVE41" s="532"/>
      <c r="CVF41" s="532"/>
      <c r="CVG41" s="532"/>
      <c r="CVH41" s="532"/>
      <c r="CVI41" s="532"/>
      <c r="CVJ41" s="532"/>
      <c r="CVK41" s="532"/>
      <c r="CVL41" s="532"/>
      <c r="CVM41" s="532"/>
      <c r="CVN41" s="532"/>
      <c r="CVO41" s="532"/>
      <c r="CVP41" s="532"/>
      <c r="CVQ41" s="532"/>
      <c r="CVR41" s="532"/>
      <c r="CVS41" s="532"/>
      <c r="CVT41" s="532"/>
      <c r="CVU41" s="532"/>
      <c r="CVV41" s="532"/>
      <c r="CVW41" s="532"/>
      <c r="CVX41" s="532"/>
      <c r="CVY41" s="532"/>
      <c r="CVZ41" s="532"/>
      <c r="CWA41" s="532"/>
      <c r="CWB41" s="532"/>
      <c r="CWC41" s="532"/>
      <c r="CWD41" s="532"/>
      <c r="CWE41" s="532"/>
      <c r="CWF41" s="532"/>
      <c r="CWG41" s="532"/>
      <c r="CWH41" s="532"/>
      <c r="CWI41" s="532"/>
      <c r="CWJ41" s="532"/>
      <c r="CWK41" s="532"/>
      <c r="CWL41" s="532"/>
      <c r="CWM41" s="532"/>
      <c r="CWN41" s="532"/>
      <c r="CWO41" s="532"/>
      <c r="CWP41" s="532"/>
      <c r="CWQ41" s="532"/>
      <c r="CWR41" s="532"/>
      <c r="CWS41" s="532"/>
      <c r="CWT41" s="532"/>
      <c r="CWU41" s="532"/>
      <c r="CWV41" s="532"/>
      <c r="CWW41" s="532"/>
      <c r="CWX41" s="532"/>
      <c r="CWY41" s="532"/>
      <c r="CWZ41" s="532"/>
      <c r="CXA41" s="532"/>
      <c r="CXB41" s="532"/>
      <c r="CXC41" s="532"/>
      <c r="CXD41" s="532"/>
      <c r="CXE41" s="532"/>
      <c r="CXF41" s="532"/>
      <c r="CXG41" s="532"/>
      <c r="CXH41" s="532"/>
      <c r="CXI41" s="532"/>
      <c r="CXJ41" s="532"/>
      <c r="CXK41" s="532"/>
      <c r="CXL41" s="532"/>
      <c r="CXM41" s="532"/>
      <c r="CXN41" s="532"/>
      <c r="CXO41" s="532"/>
      <c r="CXP41" s="532"/>
      <c r="CXQ41" s="532"/>
      <c r="CXR41" s="532"/>
      <c r="CXS41" s="532"/>
      <c r="CXT41" s="532"/>
      <c r="CXU41" s="532"/>
      <c r="CXV41" s="532"/>
      <c r="CXW41" s="532"/>
      <c r="CXX41" s="532"/>
      <c r="CXY41" s="532"/>
      <c r="CXZ41" s="532"/>
      <c r="CYA41" s="532"/>
      <c r="CYB41" s="532"/>
      <c r="CYC41" s="532"/>
      <c r="CYD41" s="532"/>
      <c r="CYE41" s="532"/>
      <c r="CYF41" s="532"/>
      <c r="CYG41" s="532"/>
      <c r="CYH41" s="532"/>
      <c r="CYI41" s="532"/>
      <c r="CYJ41" s="532"/>
      <c r="CYK41" s="532"/>
      <c r="CYL41" s="532"/>
      <c r="CYM41" s="532"/>
      <c r="CYN41" s="532"/>
      <c r="CYO41" s="532"/>
      <c r="CYP41" s="532"/>
      <c r="CYQ41" s="532"/>
      <c r="CYR41" s="532"/>
      <c r="CYS41" s="532"/>
      <c r="CYT41" s="532"/>
      <c r="CYU41" s="532"/>
      <c r="CYV41" s="532"/>
      <c r="CYW41" s="532"/>
      <c r="CYX41" s="532"/>
      <c r="CYY41" s="532"/>
      <c r="CYZ41" s="532"/>
      <c r="CZA41" s="532"/>
      <c r="CZB41" s="532"/>
      <c r="CZC41" s="532"/>
      <c r="CZD41" s="532"/>
      <c r="CZE41" s="532"/>
      <c r="CZF41" s="532"/>
      <c r="CZG41" s="532"/>
      <c r="CZH41" s="532"/>
      <c r="CZI41" s="532"/>
      <c r="CZJ41" s="532"/>
      <c r="CZK41" s="532"/>
      <c r="CZL41" s="532"/>
      <c r="CZM41" s="532"/>
      <c r="CZN41" s="532"/>
      <c r="CZO41" s="532"/>
      <c r="CZP41" s="532"/>
      <c r="CZQ41" s="532"/>
      <c r="CZR41" s="532"/>
      <c r="CZS41" s="532"/>
      <c r="CZT41" s="532"/>
      <c r="CZU41" s="532"/>
      <c r="CZV41" s="532"/>
      <c r="CZW41" s="532"/>
      <c r="CZX41" s="532"/>
      <c r="CZY41" s="532"/>
      <c r="CZZ41" s="532"/>
      <c r="DAA41" s="532"/>
      <c r="DAB41" s="532"/>
      <c r="DAC41" s="532"/>
      <c r="DAD41" s="532"/>
      <c r="DAE41" s="532"/>
      <c r="DAF41" s="532"/>
      <c r="DAG41" s="532"/>
      <c r="DAH41" s="532"/>
      <c r="DAI41" s="532"/>
      <c r="DAJ41" s="532"/>
      <c r="DAK41" s="532"/>
      <c r="DAL41" s="532"/>
      <c r="DAM41" s="532"/>
      <c r="DAN41" s="532"/>
      <c r="DAO41" s="532"/>
      <c r="DAP41" s="532"/>
      <c r="DAQ41" s="532"/>
      <c r="DAR41" s="532"/>
      <c r="DAS41" s="532"/>
      <c r="DAT41" s="532"/>
      <c r="DAU41" s="532"/>
      <c r="DAV41" s="532"/>
      <c r="DAW41" s="532"/>
      <c r="DAX41" s="532"/>
      <c r="DAY41" s="532"/>
      <c r="DAZ41" s="532"/>
      <c r="DBA41" s="532"/>
      <c r="DBB41" s="532"/>
      <c r="DBC41" s="532"/>
      <c r="DBD41" s="532"/>
      <c r="DBE41" s="532"/>
      <c r="DBF41" s="532"/>
      <c r="DBG41" s="532"/>
      <c r="DBH41" s="532"/>
      <c r="DBI41" s="532"/>
      <c r="DBJ41" s="532"/>
      <c r="DBK41" s="532"/>
      <c r="DBL41" s="532"/>
      <c r="DBM41" s="532"/>
      <c r="DBN41" s="532"/>
      <c r="DBO41" s="532"/>
      <c r="DBP41" s="532"/>
      <c r="DBQ41" s="532"/>
      <c r="DBR41" s="532"/>
      <c r="DBS41" s="532"/>
      <c r="DBT41" s="532"/>
      <c r="DBU41" s="532"/>
      <c r="DBV41" s="532"/>
      <c r="DBW41" s="532"/>
      <c r="DBX41" s="532"/>
      <c r="DBY41" s="532"/>
      <c r="DBZ41" s="532"/>
      <c r="DCA41" s="532"/>
      <c r="DCB41" s="532"/>
      <c r="DCC41" s="532"/>
      <c r="DCD41" s="532"/>
      <c r="DCE41" s="532"/>
      <c r="DCF41" s="532"/>
      <c r="DCG41" s="532"/>
      <c r="DCH41" s="532"/>
      <c r="DCI41" s="532"/>
      <c r="DCJ41" s="532"/>
      <c r="DCK41" s="532"/>
      <c r="DCL41" s="532"/>
      <c r="DCM41" s="532"/>
      <c r="DCN41" s="532"/>
      <c r="DCO41" s="532"/>
      <c r="DCP41" s="532"/>
      <c r="DCQ41" s="532"/>
      <c r="DCR41" s="532"/>
      <c r="DCS41" s="532"/>
      <c r="DCT41" s="532"/>
      <c r="DCU41" s="532"/>
      <c r="DCV41" s="532"/>
      <c r="DCW41" s="532"/>
      <c r="DCX41" s="532"/>
      <c r="DCY41" s="532"/>
      <c r="DCZ41" s="532"/>
      <c r="DDA41" s="532"/>
      <c r="DDB41" s="532"/>
      <c r="DDC41" s="532"/>
      <c r="DDD41" s="532"/>
      <c r="DDE41" s="532"/>
      <c r="DDF41" s="532"/>
      <c r="DDG41" s="532"/>
      <c r="DDH41" s="532"/>
      <c r="DDI41" s="532"/>
      <c r="DDJ41" s="532"/>
      <c r="DDK41" s="532"/>
      <c r="DDL41" s="532"/>
      <c r="DDM41" s="532"/>
      <c r="DDN41" s="532"/>
      <c r="DDO41" s="532"/>
      <c r="DDP41" s="532"/>
      <c r="DDQ41" s="532"/>
      <c r="DDR41" s="532"/>
      <c r="DDS41" s="532"/>
      <c r="DDT41" s="532"/>
      <c r="DDU41" s="532"/>
      <c r="DDV41" s="532"/>
      <c r="DDW41" s="532"/>
      <c r="DDX41" s="532"/>
      <c r="DDY41" s="532"/>
      <c r="DDZ41" s="532"/>
      <c r="DEA41" s="532"/>
      <c r="DEB41" s="532"/>
      <c r="DEC41" s="532"/>
      <c r="DED41" s="532"/>
      <c r="DEE41" s="532"/>
      <c r="DEF41" s="532"/>
      <c r="DEG41" s="532"/>
      <c r="DEH41" s="532"/>
      <c r="DEI41" s="532"/>
      <c r="DEJ41" s="532"/>
      <c r="DEK41" s="532"/>
      <c r="DEL41" s="532"/>
      <c r="DEM41" s="532"/>
      <c r="DEN41" s="532"/>
      <c r="DEO41" s="532"/>
      <c r="DEP41" s="532"/>
      <c r="DEQ41" s="532"/>
      <c r="DER41" s="532"/>
      <c r="DES41" s="532"/>
      <c r="DET41" s="532"/>
      <c r="DEU41" s="532"/>
      <c r="DEV41" s="532"/>
      <c r="DEW41" s="532"/>
      <c r="DEX41" s="532"/>
      <c r="DEY41" s="532"/>
      <c r="DEZ41" s="532"/>
      <c r="DFA41" s="532"/>
      <c r="DFB41" s="532"/>
      <c r="DFC41" s="532"/>
      <c r="DFD41" s="532"/>
      <c r="DFE41" s="532"/>
      <c r="DFF41" s="532"/>
      <c r="DFG41" s="532"/>
      <c r="DFH41" s="532"/>
      <c r="DFI41" s="532"/>
      <c r="DFJ41" s="532"/>
      <c r="DFK41" s="532"/>
      <c r="DFL41" s="532"/>
      <c r="DFM41" s="532"/>
      <c r="DFN41" s="532"/>
      <c r="DFO41" s="532"/>
      <c r="DFP41" s="532"/>
      <c r="DFQ41" s="532"/>
      <c r="DFR41" s="532"/>
      <c r="DFS41" s="532"/>
      <c r="DFT41" s="532"/>
      <c r="DFU41" s="532"/>
      <c r="DFV41" s="532"/>
      <c r="DFW41" s="532"/>
      <c r="DFX41" s="532"/>
      <c r="DFY41" s="532"/>
      <c r="DFZ41" s="532"/>
      <c r="DGA41" s="532"/>
      <c r="DGB41" s="532"/>
      <c r="DGC41" s="532"/>
      <c r="DGD41" s="532"/>
      <c r="DGE41" s="532"/>
      <c r="DGF41" s="532"/>
      <c r="DGG41" s="532"/>
      <c r="DGH41" s="532"/>
      <c r="DGI41" s="532"/>
      <c r="DGJ41" s="532"/>
      <c r="DGK41" s="532"/>
      <c r="DGL41" s="532"/>
      <c r="DGM41" s="532"/>
      <c r="DGN41" s="532"/>
      <c r="DGO41" s="532"/>
      <c r="DGP41" s="532"/>
      <c r="DGQ41" s="532"/>
      <c r="DGR41" s="532"/>
      <c r="DGS41" s="532"/>
      <c r="DGT41" s="532"/>
      <c r="DGU41" s="532"/>
      <c r="DGV41" s="532"/>
      <c r="DGW41" s="532"/>
      <c r="DGX41" s="532"/>
      <c r="DGY41" s="532"/>
      <c r="DGZ41" s="532"/>
      <c r="DHA41" s="532"/>
      <c r="DHB41" s="532"/>
      <c r="DHC41" s="532"/>
      <c r="DHD41" s="532"/>
      <c r="DHE41" s="532"/>
      <c r="DHF41" s="532"/>
      <c r="DHG41" s="532"/>
      <c r="DHH41" s="532"/>
      <c r="DHI41" s="532"/>
      <c r="DHJ41" s="532"/>
      <c r="DHK41" s="532"/>
      <c r="DHL41" s="532"/>
      <c r="DHM41" s="532"/>
      <c r="DHN41" s="532"/>
      <c r="DHO41" s="532"/>
      <c r="DHP41" s="532"/>
      <c r="DHQ41" s="532"/>
      <c r="DHR41" s="532"/>
      <c r="DHS41" s="532"/>
      <c r="DHT41" s="532"/>
      <c r="DHU41" s="532"/>
      <c r="DHV41" s="532"/>
      <c r="DHW41" s="532"/>
      <c r="DHX41" s="532"/>
      <c r="DHY41" s="532"/>
      <c r="DHZ41" s="532"/>
      <c r="DIA41" s="532"/>
      <c r="DIB41" s="532"/>
      <c r="DIC41" s="532"/>
      <c r="DID41" s="532"/>
      <c r="DIE41" s="532"/>
      <c r="DIF41" s="532"/>
      <c r="DIG41" s="532"/>
      <c r="DIH41" s="532"/>
      <c r="DII41" s="532"/>
      <c r="DIJ41" s="532"/>
      <c r="DIK41" s="532"/>
      <c r="DIL41" s="532"/>
      <c r="DIM41" s="532"/>
      <c r="DIN41" s="532"/>
      <c r="DIO41" s="532"/>
      <c r="DIP41" s="532"/>
      <c r="DIQ41" s="532"/>
      <c r="DIR41" s="532"/>
      <c r="DIS41" s="532"/>
      <c r="DIT41" s="532"/>
      <c r="DIU41" s="532"/>
      <c r="DIV41" s="532"/>
      <c r="DIW41" s="532"/>
      <c r="DIX41" s="532"/>
      <c r="DIY41" s="532"/>
      <c r="DIZ41" s="532"/>
      <c r="DJA41" s="532"/>
      <c r="DJB41" s="532"/>
      <c r="DJC41" s="532"/>
      <c r="DJD41" s="532"/>
      <c r="DJE41" s="532"/>
      <c r="DJF41" s="532"/>
      <c r="DJG41" s="532"/>
      <c r="DJH41" s="532"/>
      <c r="DJI41" s="532"/>
      <c r="DJJ41" s="532"/>
      <c r="DJK41" s="532"/>
      <c r="DJL41" s="532"/>
      <c r="DJM41" s="532"/>
      <c r="DJN41" s="532"/>
      <c r="DJO41" s="532"/>
      <c r="DJP41" s="532"/>
      <c r="DJQ41" s="532"/>
      <c r="DJR41" s="532"/>
      <c r="DJS41" s="532"/>
      <c r="DJT41" s="532"/>
      <c r="DJU41" s="532"/>
      <c r="DJV41" s="532"/>
      <c r="DJW41" s="532"/>
      <c r="DJX41" s="532"/>
      <c r="DJY41" s="532"/>
      <c r="DJZ41" s="532"/>
      <c r="DKA41" s="532"/>
      <c r="DKB41" s="532"/>
      <c r="DKC41" s="532"/>
      <c r="DKD41" s="532"/>
      <c r="DKE41" s="532"/>
      <c r="DKF41" s="532"/>
      <c r="DKG41" s="532"/>
      <c r="DKH41" s="532"/>
      <c r="DKI41" s="532"/>
      <c r="DKJ41" s="532"/>
      <c r="DKK41" s="532"/>
      <c r="DKL41" s="532"/>
      <c r="DKM41" s="532"/>
      <c r="DKN41" s="532"/>
      <c r="DKO41" s="532"/>
      <c r="DKP41" s="532"/>
      <c r="DKQ41" s="532"/>
      <c r="DKR41" s="532"/>
      <c r="DKS41" s="532"/>
      <c r="DKT41" s="532"/>
      <c r="DKU41" s="532"/>
      <c r="DKV41" s="532"/>
      <c r="DKW41" s="532"/>
      <c r="DKX41" s="532"/>
      <c r="DKY41" s="532"/>
      <c r="DKZ41" s="532"/>
      <c r="DLA41" s="532"/>
      <c r="DLB41" s="532"/>
      <c r="DLC41" s="532"/>
      <c r="DLD41" s="532"/>
      <c r="DLE41" s="532"/>
      <c r="DLF41" s="532"/>
      <c r="DLG41" s="532"/>
      <c r="DLH41" s="532"/>
      <c r="DLI41" s="532"/>
      <c r="DLJ41" s="532"/>
      <c r="DLK41" s="532"/>
      <c r="DLL41" s="532"/>
      <c r="DLM41" s="532"/>
      <c r="DLN41" s="532"/>
      <c r="DLO41" s="532"/>
      <c r="DLP41" s="532"/>
      <c r="DLQ41" s="532"/>
      <c r="DLR41" s="532"/>
      <c r="DLS41" s="532"/>
      <c r="DLT41" s="532"/>
      <c r="DLU41" s="532"/>
      <c r="DLV41" s="532"/>
      <c r="DLW41" s="532"/>
      <c r="DLX41" s="532"/>
      <c r="DLY41" s="532"/>
      <c r="DLZ41" s="532"/>
      <c r="DMA41" s="532"/>
      <c r="DMB41" s="532"/>
      <c r="DMC41" s="532"/>
      <c r="DMD41" s="532"/>
      <c r="DME41" s="532"/>
      <c r="DMF41" s="532"/>
      <c r="DMG41" s="532"/>
      <c r="DMH41" s="532"/>
      <c r="DMI41" s="532"/>
      <c r="DMJ41" s="532"/>
      <c r="DMK41" s="532"/>
      <c r="DML41" s="532"/>
      <c r="DMM41" s="532"/>
      <c r="DMN41" s="532"/>
      <c r="DMO41" s="532"/>
      <c r="DMP41" s="532"/>
      <c r="DMQ41" s="532"/>
      <c r="DMR41" s="532"/>
      <c r="DMS41" s="532"/>
      <c r="DMT41" s="532"/>
      <c r="DMU41" s="532"/>
      <c r="DMV41" s="532"/>
      <c r="DMW41" s="532"/>
      <c r="DMX41" s="532"/>
      <c r="DMY41" s="532"/>
      <c r="DMZ41" s="532"/>
      <c r="DNA41" s="532"/>
      <c r="DNB41" s="532"/>
      <c r="DNC41" s="532"/>
      <c r="DND41" s="532"/>
      <c r="DNE41" s="532"/>
      <c r="DNF41" s="532"/>
      <c r="DNG41" s="532"/>
      <c r="DNH41" s="532"/>
      <c r="DNI41" s="532"/>
      <c r="DNJ41" s="532"/>
      <c r="DNK41" s="532"/>
      <c r="DNL41" s="532"/>
      <c r="DNM41" s="532"/>
      <c r="DNN41" s="532"/>
      <c r="DNO41" s="532"/>
      <c r="DNP41" s="532"/>
      <c r="DNQ41" s="532"/>
      <c r="DNR41" s="532"/>
      <c r="DNS41" s="532"/>
      <c r="DNT41" s="532"/>
      <c r="DNU41" s="532"/>
      <c r="DNV41" s="532"/>
      <c r="DNW41" s="532"/>
      <c r="DNX41" s="532"/>
      <c r="DNY41" s="532"/>
      <c r="DNZ41" s="532"/>
      <c r="DOA41" s="532"/>
      <c r="DOB41" s="532"/>
      <c r="DOC41" s="532"/>
      <c r="DOD41" s="532"/>
      <c r="DOE41" s="532"/>
      <c r="DOF41" s="532"/>
      <c r="DOG41" s="532"/>
      <c r="DOH41" s="532"/>
      <c r="DOI41" s="532"/>
      <c r="DOJ41" s="532"/>
      <c r="DOK41" s="532"/>
      <c r="DOL41" s="532"/>
      <c r="DOM41" s="532"/>
      <c r="DON41" s="532"/>
      <c r="DOO41" s="532"/>
      <c r="DOP41" s="532"/>
      <c r="DOQ41" s="532"/>
      <c r="DOR41" s="532"/>
      <c r="DOS41" s="532"/>
      <c r="DOT41" s="532"/>
      <c r="DOU41" s="532"/>
      <c r="DOV41" s="532"/>
      <c r="DOW41" s="532"/>
      <c r="DOX41" s="532"/>
      <c r="DOY41" s="532"/>
      <c r="DOZ41" s="532"/>
      <c r="DPA41" s="532"/>
      <c r="DPB41" s="532"/>
      <c r="DPC41" s="532"/>
      <c r="DPD41" s="532"/>
      <c r="DPE41" s="532"/>
      <c r="DPF41" s="532"/>
      <c r="DPG41" s="532"/>
      <c r="DPH41" s="532"/>
      <c r="DPI41" s="532"/>
      <c r="DPJ41" s="532"/>
      <c r="DPK41" s="532"/>
      <c r="DPL41" s="532"/>
      <c r="DPM41" s="532"/>
      <c r="DPN41" s="532"/>
      <c r="DPO41" s="532"/>
      <c r="DPP41" s="532"/>
      <c r="DPQ41" s="532"/>
      <c r="DPR41" s="532"/>
      <c r="DPS41" s="532"/>
      <c r="DPT41" s="532"/>
      <c r="DPU41" s="532"/>
      <c r="DPV41" s="532"/>
      <c r="DPW41" s="532"/>
      <c r="DPX41" s="532"/>
      <c r="DPY41" s="532"/>
      <c r="DPZ41" s="532"/>
      <c r="DQA41" s="532"/>
      <c r="DQB41" s="532"/>
      <c r="DQC41" s="532"/>
      <c r="DQD41" s="532"/>
      <c r="DQE41" s="532"/>
      <c r="DQF41" s="532"/>
      <c r="DQG41" s="532"/>
      <c r="DQH41" s="532"/>
      <c r="DQI41" s="532"/>
      <c r="DQJ41" s="532"/>
      <c r="DQK41" s="532"/>
      <c r="DQL41" s="532"/>
      <c r="DQM41" s="532"/>
      <c r="DQN41" s="532"/>
      <c r="DQO41" s="532"/>
      <c r="DQP41" s="532"/>
      <c r="DQQ41" s="532"/>
      <c r="DQR41" s="532"/>
      <c r="DQS41" s="532"/>
      <c r="DQT41" s="532"/>
      <c r="DQU41" s="532"/>
      <c r="DQV41" s="532"/>
      <c r="DQW41" s="532"/>
      <c r="DQX41" s="532"/>
      <c r="DQY41" s="532"/>
      <c r="DQZ41" s="532"/>
      <c r="DRA41" s="532"/>
      <c r="DRB41" s="532"/>
      <c r="DRC41" s="532"/>
      <c r="DRD41" s="532"/>
      <c r="DRE41" s="532"/>
      <c r="DRF41" s="532"/>
      <c r="DRG41" s="532"/>
      <c r="DRH41" s="532"/>
      <c r="DRI41" s="532"/>
      <c r="DRJ41" s="532"/>
      <c r="DRK41" s="532"/>
      <c r="DRL41" s="532"/>
      <c r="DRM41" s="532"/>
      <c r="DRN41" s="532"/>
      <c r="DRO41" s="532"/>
      <c r="DRP41" s="532"/>
      <c r="DRQ41" s="532"/>
      <c r="DRR41" s="532"/>
      <c r="DRS41" s="532"/>
      <c r="DRT41" s="532"/>
      <c r="DRU41" s="532"/>
      <c r="DRV41" s="532"/>
      <c r="DRW41" s="532"/>
      <c r="DRX41" s="532"/>
      <c r="DRY41" s="532"/>
      <c r="DRZ41" s="532"/>
      <c r="DSA41" s="532"/>
      <c r="DSB41" s="532"/>
      <c r="DSC41" s="532"/>
      <c r="DSD41" s="532"/>
      <c r="DSE41" s="532"/>
      <c r="DSF41" s="532"/>
      <c r="DSG41" s="532"/>
      <c r="DSH41" s="532"/>
      <c r="DSI41" s="532"/>
      <c r="DSJ41" s="532"/>
      <c r="DSK41" s="532"/>
      <c r="DSL41" s="532"/>
      <c r="DSM41" s="532"/>
      <c r="DSN41" s="532"/>
      <c r="DSO41" s="532"/>
      <c r="DSP41" s="532"/>
      <c r="DSQ41" s="532"/>
      <c r="DSR41" s="532"/>
      <c r="DSS41" s="532"/>
      <c r="DST41" s="532"/>
      <c r="DSU41" s="532"/>
      <c r="DSV41" s="532"/>
      <c r="DSW41" s="532"/>
      <c r="DSX41" s="532"/>
      <c r="DSY41" s="532"/>
      <c r="DSZ41" s="532"/>
      <c r="DTA41" s="532"/>
      <c r="DTB41" s="532"/>
      <c r="DTC41" s="532"/>
      <c r="DTD41" s="532"/>
      <c r="DTE41" s="532"/>
      <c r="DTF41" s="532"/>
      <c r="DTG41" s="532"/>
      <c r="DTH41" s="532"/>
      <c r="DTI41" s="532"/>
      <c r="DTJ41" s="532"/>
      <c r="DTK41" s="532"/>
      <c r="DTL41" s="532"/>
      <c r="DTM41" s="532"/>
      <c r="DTN41" s="532"/>
      <c r="DTO41" s="532"/>
      <c r="DTP41" s="532"/>
      <c r="DTQ41" s="532"/>
      <c r="DTR41" s="532"/>
      <c r="DTS41" s="532"/>
      <c r="DTT41" s="532"/>
      <c r="DTU41" s="532"/>
      <c r="DTV41" s="532"/>
      <c r="DTW41" s="532"/>
      <c r="DTX41" s="532"/>
      <c r="DTY41" s="532"/>
      <c r="DTZ41" s="532"/>
      <c r="DUA41" s="532"/>
      <c r="DUB41" s="532"/>
      <c r="DUC41" s="532"/>
      <c r="DUD41" s="532"/>
      <c r="DUE41" s="532"/>
      <c r="DUF41" s="532"/>
      <c r="DUG41" s="532"/>
      <c r="DUH41" s="532"/>
      <c r="DUI41" s="532"/>
      <c r="DUJ41" s="532"/>
      <c r="DUK41" s="532"/>
      <c r="DUL41" s="532"/>
      <c r="DUM41" s="532"/>
      <c r="DUN41" s="532"/>
      <c r="DUO41" s="532"/>
      <c r="DUP41" s="532"/>
      <c r="DUQ41" s="532"/>
      <c r="DUR41" s="532"/>
      <c r="DUS41" s="532"/>
      <c r="DUT41" s="532"/>
      <c r="DUU41" s="532"/>
      <c r="DUV41" s="532"/>
      <c r="DUW41" s="532"/>
      <c r="DUX41" s="532"/>
      <c r="DUY41" s="532"/>
      <c r="DUZ41" s="532"/>
      <c r="DVA41" s="532"/>
      <c r="DVB41" s="532"/>
      <c r="DVC41" s="532"/>
      <c r="DVD41" s="532"/>
      <c r="DVE41" s="532"/>
      <c r="DVF41" s="532"/>
      <c r="DVG41" s="532"/>
      <c r="DVH41" s="532"/>
      <c r="DVI41" s="532"/>
      <c r="DVJ41" s="532"/>
      <c r="DVK41" s="532"/>
      <c r="DVL41" s="532"/>
      <c r="DVM41" s="532"/>
      <c r="DVN41" s="532"/>
      <c r="DVO41" s="532"/>
      <c r="DVP41" s="532"/>
      <c r="DVQ41" s="532"/>
      <c r="DVR41" s="532"/>
      <c r="DVS41" s="532"/>
      <c r="DVT41" s="532"/>
      <c r="DVU41" s="532"/>
      <c r="DVV41" s="532"/>
      <c r="DVW41" s="532"/>
      <c r="DVX41" s="532"/>
      <c r="DVY41" s="532"/>
      <c r="DVZ41" s="532"/>
      <c r="DWA41" s="532"/>
      <c r="DWB41" s="532"/>
      <c r="DWC41" s="532"/>
      <c r="DWD41" s="532"/>
      <c r="DWE41" s="532"/>
      <c r="DWF41" s="532"/>
      <c r="DWG41" s="532"/>
      <c r="DWH41" s="532"/>
      <c r="DWI41" s="532"/>
      <c r="DWJ41" s="532"/>
      <c r="DWK41" s="532"/>
      <c r="DWL41" s="532"/>
      <c r="DWM41" s="532"/>
      <c r="DWN41" s="532"/>
      <c r="DWO41" s="532"/>
      <c r="DWP41" s="532"/>
      <c r="DWQ41" s="532"/>
      <c r="DWR41" s="532"/>
      <c r="DWS41" s="532"/>
      <c r="DWT41" s="532"/>
      <c r="DWU41" s="532"/>
      <c r="DWV41" s="532"/>
      <c r="DWW41" s="532"/>
      <c r="DWX41" s="532"/>
      <c r="DWY41" s="532"/>
      <c r="DWZ41" s="532"/>
      <c r="DXA41" s="532"/>
      <c r="DXB41" s="532"/>
      <c r="DXC41" s="532"/>
      <c r="DXD41" s="532"/>
      <c r="DXE41" s="532"/>
      <c r="DXF41" s="532"/>
      <c r="DXG41" s="532"/>
      <c r="DXH41" s="532"/>
      <c r="DXI41" s="532"/>
      <c r="DXJ41" s="532"/>
      <c r="DXK41" s="532"/>
      <c r="DXL41" s="532"/>
      <c r="DXM41" s="532"/>
      <c r="DXN41" s="532"/>
      <c r="DXO41" s="532"/>
      <c r="DXP41" s="532"/>
      <c r="DXQ41" s="532"/>
      <c r="DXR41" s="532"/>
      <c r="DXS41" s="532"/>
      <c r="DXT41" s="532"/>
      <c r="DXU41" s="532"/>
      <c r="DXV41" s="532"/>
      <c r="DXW41" s="532"/>
      <c r="DXX41" s="532"/>
      <c r="DXY41" s="532"/>
      <c r="DXZ41" s="532"/>
      <c r="DYA41" s="532"/>
      <c r="DYB41" s="532"/>
      <c r="DYC41" s="532"/>
      <c r="DYD41" s="532"/>
      <c r="DYE41" s="532"/>
      <c r="DYF41" s="532"/>
      <c r="DYG41" s="532"/>
      <c r="DYH41" s="532"/>
      <c r="DYI41" s="532"/>
      <c r="DYJ41" s="532"/>
      <c r="DYK41" s="532"/>
      <c r="DYL41" s="532"/>
      <c r="DYM41" s="532"/>
      <c r="DYN41" s="532"/>
      <c r="DYO41" s="532"/>
      <c r="DYP41" s="532"/>
      <c r="DYQ41" s="532"/>
      <c r="DYR41" s="532"/>
      <c r="DYS41" s="532"/>
      <c r="DYT41" s="532"/>
      <c r="DYU41" s="532"/>
      <c r="DYV41" s="532"/>
      <c r="DYW41" s="532"/>
      <c r="DYX41" s="532"/>
      <c r="DYY41" s="532"/>
      <c r="DYZ41" s="532"/>
      <c r="DZA41" s="532"/>
      <c r="DZB41" s="532"/>
      <c r="DZC41" s="532"/>
      <c r="DZD41" s="532"/>
      <c r="DZE41" s="532"/>
      <c r="DZF41" s="532"/>
      <c r="DZG41" s="532"/>
      <c r="DZH41" s="532"/>
      <c r="DZI41" s="532"/>
      <c r="DZJ41" s="532"/>
      <c r="DZK41" s="532"/>
      <c r="DZL41" s="532"/>
      <c r="DZM41" s="532"/>
      <c r="DZN41" s="532"/>
      <c r="DZO41" s="532"/>
      <c r="DZP41" s="532"/>
      <c r="DZQ41" s="532"/>
      <c r="DZR41" s="532"/>
      <c r="DZS41" s="532"/>
      <c r="DZT41" s="532"/>
      <c r="DZU41" s="532"/>
      <c r="DZV41" s="532"/>
      <c r="DZW41" s="532"/>
      <c r="DZX41" s="532"/>
      <c r="DZY41" s="532"/>
      <c r="DZZ41" s="532"/>
      <c r="EAA41" s="532"/>
      <c r="EAB41" s="532"/>
      <c r="EAC41" s="532"/>
      <c r="EAD41" s="532"/>
      <c r="EAE41" s="532"/>
      <c r="EAF41" s="532"/>
      <c r="EAG41" s="532"/>
      <c r="EAH41" s="532"/>
      <c r="EAI41" s="532"/>
      <c r="EAJ41" s="532"/>
      <c r="EAK41" s="532"/>
      <c r="EAL41" s="532"/>
      <c r="EAM41" s="532"/>
      <c r="EAN41" s="532"/>
      <c r="EAO41" s="532"/>
      <c r="EAP41" s="532"/>
      <c r="EAQ41" s="532"/>
      <c r="EAR41" s="532"/>
      <c r="EAS41" s="532"/>
      <c r="EAT41" s="532"/>
      <c r="EAU41" s="532"/>
      <c r="EAV41" s="532"/>
      <c r="EAW41" s="532"/>
      <c r="EAX41" s="532"/>
      <c r="EAY41" s="532"/>
      <c r="EAZ41" s="532"/>
      <c r="EBA41" s="532"/>
      <c r="EBB41" s="532"/>
      <c r="EBC41" s="532"/>
      <c r="EBD41" s="532"/>
      <c r="EBE41" s="532"/>
      <c r="EBF41" s="532"/>
      <c r="EBG41" s="532"/>
      <c r="EBH41" s="532"/>
      <c r="EBI41" s="532"/>
      <c r="EBJ41" s="532"/>
      <c r="EBK41" s="532"/>
      <c r="EBL41" s="532"/>
      <c r="EBM41" s="532"/>
      <c r="EBN41" s="532"/>
      <c r="EBO41" s="532"/>
      <c r="EBP41" s="532"/>
      <c r="EBQ41" s="532"/>
      <c r="EBR41" s="532"/>
      <c r="EBS41" s="532"/>
      <c r="EBT41" s="532"/>
      <c r="EBU41" s="532"/>
      <c r="EBV41" s="532"/>
      <c r="EBW41" s="532"/>
      <c r="EBX41" s="532"/>
      <c r="EBY41" s="532"/>
      <c r="EBZ41" s="532"/>
      <c r="ECA41" s="532"/>
      <c r="ECB41" s="532"/>
      <c r="ECC41" s="532"/>
      <c r="ECD41" s="532"/>
      <c r="ECE41" s="532"/>
      <c r="ECF41" s="532"/>
      <c r="ECG41" s="532"/>
      <c r="ECH41" s="532"/>
      <c r="ECI41" s="532"/>
      <c r="ECJ41" s="532"/>
      <c r="ECK41" s="532"/>
      <c r="ECL41" s="532"/>
      <c r="ECM41" s="532"/>
      <c r="ECN41" s="532"/>
      <c r="ECO41" s="532"/>
      <c r="ECP41" s="532"/>
      <c r="ECQ41" s="532"/>
      <c r="ECR41" s="532"/>
      <c r="ECS41" s="532"/>
      <c r="ECT41" s="532"/>
      <c r="ECU41" s="532"/>
      <c r="ECV41" s="532"/>
      <c r="ECW41" s="532"/>
      <c r="ECX41" s="532"/>
      <c r="ECY41" s="532"/>
      <c r="ECZ41" s="532"/>
      <c r="EDA41" s="532"/>
      <c r="EDB41" s="532"/>
      <c r="EDC41" s="532"/>
      <c r="EDD41" s="532"/>
      <c r="EDE41" s="532"/>
      <c r="EDF41" s="532"/>
      <c r="EDG41" s="532"/>
      <c r="EDH41" s="532"/>
      <c r="EDI41" s="532"/>
      <c r="EDJ41" s="532"/>
      <c r="EDK41" s="532"/>
      <c r="EDL41" s="532"/>
      <c r="EDM41" s="532"/>
      <c r="EDN41" s="532"/>
      <c r="EDO41" s="532"/>
      <c r="EDP41" s="532"/>
      <c r="EDQ41" s="532"/>
      <c r="EDR41" s="532"/>
      <c r="EDS41" s="532"/>
      <c r="EDT41" s="532"/>
      <c r="EDU41" s="532"/>
      <c r="EDV41" s="532"/>
      <c r="EDW41" s="532"/>
      <c r="EDX41" s="532"/>
      <c r="EDY41" s="532"/>
      <c r="EDZ41" s="532"/>
      <c r="EEA41" s="532"/>
      <c r="EEB41" s="532"/>
      <c r="EEC41" s="532"/>
      <c r="EED41" s="532"/>
      <c r="EEE41" s="532"/>
      <c r="EEF41" s="532"/>
      <c r="EEG41" s="532"/>
      <c r="EEH41" s="532"/>
      <c r="EEI41" s="532"/>
      <c r="EEJ41" s="532"/>
      <c r="EEK41" s="532"/>
      <c r="EEL41" s="532"/>
      <c r="EEM41" s="532"/>
      <c r="EEN41" s="532"/>
      <c r="EEO41" s="532"/>
      <c r="EEP41" s="532"/>
      <c r="EEQ41" s="532"/>
      <c r="EER41" s="532"/>
      <c r="EES41" s="532"/>
      <c r="EET41" s="532"/>
      <c r="EEU41" s="532"/>
      <c r="EEV41" s="532"/>
      <c r="EEW41" s="532"/>
      <c r="EEX41" s="532"/>
      <c r="EEY41" s="532"/>
      <c r="EEZ41" s="532"/>
      <c r="EFA41" s="532"/>
      <c r="EFB41" s="532"/>
      <c r="EFC41" s="532"/>
      <c r="EFD41" s="532"/>
      <c r="EFE41" s="532"/>
      <c r="EFF41" s="532"/>
      <c r="EFG41" s="532"/>
      <c r="EFH41" s="532"/>
      <c r="EFI41" s="532"/>
      <c r="EFJ41" s="532"/>
      <c r="EFK41" s="532"/>
      <c r="EFL41" s="532"/>
      <c r="EFM41" s="532"/>
      <c r="EFN41" s="532"/>
      <c r="EFO41" s="532"/>
      <c r="EFP41" s="532"/>
      <c r="EFQ41" s="532"/>
      <c r="EFR41" s="532"/>
      <c r="EFS41" s="532"/>
      <c r="EFT41" s="532"/>
      <c r="EFU41" s="532"/>
      <c r="EFV41" s="532"/>
      <c r="EFW41" s="532"/>
      <c r="EFX41" s="532"/>
      <c r="EFY41" s="532"/>
      <c r="EFZ41" s="532"/>
      <c r="EGA41" s="532"/>
      <c r="EGB41" s="532"/>
      <c r="EGC41" s="532"/>
      <c r="EGD41" s="532"/>
      <c r="EGE41" s="532"/>
      <c r="EGF41" s="532"/>
      <c r="EGG41" s="532"/>
      <c r="EGH41" s="532"/>
      <c r="EGI41" s="532"/>
      <c r="EGJ41" s="532"/>
      <c r="EGK41" s="532"/>
      <c r="EGL41" s="532"/>
      <c r="EGM41" s="532"/>
      <c r="EGN41" s="532"/>
      <c r="EGO41" s="532"/>
      <c r="EGP41" s="532"/>
      <c r="EGQ41" s="532"/>
      <c r="EGR41" s="532"/>
      <c r="EGS41" s="532"/>
      <c r="EGT41" s="532"/>
      <c r="EGU41" s="532"/>
      <c r="EGV41" s="532"/>
      <c r="EGW41" s="532"/>
      <c r="EGX41" s="532"/>
      <c r="EGY41" s="532"/>
      <c r="EGZ41" s="532"/>
      <c r="EHA41" s="532"/>
      <c r="EHB41" s="532"/>
      <c r="EHC41" s="532"/>
      <c r="EHD41" s="532"/>
      <c r="EHE41" s="532"/>
      <c r="EHF41" s="532"/>
      <c r="EHG41" s="532"/>
      <c r="EHH41" s="532"/>
      <c r="EHI41" s="532"/>
      <c r="EHJ41" s="532"/>
      <c r="EHK41" s="532"/>
      <c r="EHL41" s="532"/>
      <c r="EHM41" s="532"/>
      <c r="EHN41" s="532"/>
      <c r="EHO41" s="532"/>
      <c r="EHP41" s="532"/>
      <c r="EHQ41" s="532"/>
      <c r="EHR41" s="532"/>
      <c r="EHS41" s="532"/>
      <c r="EHT41" s="532"/>
      <c r="EHU41" s="532"/>
      <c r="EHV41" s="532"/>
      <c r="EHW41" s="532"/>
      <c r="EHX41" s="532"/>
      <c r="EHY41" s="532"/>
      <c r="EHZ41" s="532"/>
      <c r="EIA41" s="532"/>
      <c r="EIB41" s="532"/>
      <c r="EIC41" s="532"/>
      <c r="EID41" s="532"/>
      <c r="EIE41" s="532"/>
      <c r="EIF41" s="532"/>
      <c r="EIG41" s="532"/>
      <c r="EIH41" s="532"/>
      <c r="EII41" s="532"/>
      <c r="EIJ41" s="532"/>
      <c r="EIK41" s="532"/>
      <c r="EIL41" s="532"/>
      <c r="EIM41" s="532"/>
      <c r="EIN41" s="532"/>
      <c r="EIO41" s="532"/>
      <c r="EIP41" s="532"/>
      <c r="EIQ41" s="532"/>
      <c r="EIR41" s="532"/>
      <c r="EIS41" s="532"/>
      <c r="EIT41" s="532"/>
      <c r="EIU41" s="532"/>
      <c r="EIV41" s="532"/>
      <c r="EIW41" s="532"/>
      <c r="EIX41" s="532"/>
      <c r="EIY41" s="532"/>
      <c r="EIZ41" s="532"/>
      <c r="EJA41" s="532"/>
      <c r="EJB41" s="532"/>
      <c r="EJC41" s="532"/>
      <c r="EJD41" s="532"/>
      <c r="EJE41" s="532"/>
      <c r="EJF41" s="532"/>
      <c r="EJG41" s="532"/>
      <c r="EJH41" s="532"/>
      <c r="EJI41" s="532"/>
      <c r="EJJ41" s="532"/>
      <c r="EJK41" s="532"/>
      <c r="EJL41" s="532"/>
      <c r="EJM41" s="532"/>
      <c r="EJN41" s="532"/>
      <c r="EJO41" s="532"/>
      <c r="EJP41" s="532"/>
      <c r="EJQ41" s="532"/>
      <c r="EJR41" s="532"/>
      <c r="EJS41" s="532"/>
      <c r="EJT41" s="532"/>
      <c r="EJU41" s="532"/>
      <c r="EJV41" s="532"/>
      <c r="EJW41" s="532"/>
      <c r="EJX41" s="532"/>
      <c r="EJY41" s="532"/>
      <c r="EJZ41" s="532"/>
      <c r="EKA41" s="532"/>
      <c r="EKB41" s="532"/>
      <c r="EKC41" s="532"/>
      <c r="EKD41" s="532"/>
      <c r="EKE41" s="532"/>
      <c r="EKF41" s="532"/>
      <c r="EKG41" s="532"/>
      <c r="EKH41" s="532"/>
      <c r="EKI41" s="532"/>
      <c r="EKJ41" s="532"/>
      <c r="EKK41" s="532"/>
      <c r="EKL41" s="532"/>
      <c r="EKM41" s="532"/>
      <c r="EKN41" s="532"/>
      <c r="EKO41" s="532"/>
      <c r="EKP41" s="532"/>
      <c r="EKQ41" s="532"/>
      <c r="EKR41" s="532"/>
      <c r="EKS41" s="532"/>
      <c r="EKT41" s="532"/>
      <c r="EKU41" s="532"/>
      <c r="EKV41" s="532"/>
      <c r="EKW41" s="532"/>
      <c r="EKX41" s="532"/>
      <c r="EKY41" s="532"/>
      <c r="EKZ41" s="532"/>
      <c r="ELA41" s="532"/>
      <c r="ELB41" s="532"/>
      <c r="ELC41" s="532"/>
      <c r="ELD41" s="532"/>
      <c r="ELE41" s="532"/>
      <c r="ELF41" s="532"/>
      <c r="ELG41" s="532"/>
      <c r="ELH41" s="532"/>
      <c r="ELI41" s="532"/>
      <c r="ELJ41" s="532"/>
      <c r="ELK41" s="532"/>
      <c r="ELL41" s="532"/>
      <c r="ELM41" s="532"/>
      <c r="ELN41" s="532"/>
      <c r="ELO41" s="532"/>
      <c r="ELP41" s="532"/>
      <c r="ELQ41" s="532"/>
      <c r="ELR41" s="532"/>
      <c r="ELS41" s="532"/>
      <c r="ELT41" s="532"/>
      <c r="ELU41" s="532"/>
      <c r="ELV41" s="532"/>
      <c r="ELW41" s="532"/>
      <c r="ELX41" s="532"/>
      <c r="ELY41" s="532"/>
      <c r="ELZ41" s="532"/>
      <c r="EMA41" s="532"/>
      <c r="EMB41" s="532"/>
      <c r="EMC41" s="532"/>
      <c r="EMD41" s="532"/>
      <c r="EME41" s="532"/>
      <c r="EMF41" s="532"/>
      <c r="EMG41" s="532"/>
      <c r="EMH41" s="532"/>
      <c r="EMI41" s="532"/>
      <c r="EMJ41" s="532"/>
      <c r="EMK41" s="532"/>
      <c r="EML41" s="532"/>
      <c r="EMM41" s="532"/>
      <c r="EMN41" s="532"/>
      <c r="EMO41" s="532"/>
      <c r="EMP41" s="532"/>
      <c r="EMQ41" s="532"/>
      <c r="EMR41" s="532"/>
      <c r="EMS41" s="532"/>
      <c r="EMT41" s="532"/>
      <c r="EMU41" s="532"/>
      <c r="EMV41" s="532"/>
      <c r="EMW41" s="532"/>
      <c r="EMX41" s="532"/>
      <c r="EMY41" s="532"/>
      <c r="EMZ41" s="532"/>
      <c r="ENA41" s="532"/>
      <c r="ENB41" s="532"/>
      <c r="ENC41" s="532"/>
      <c r="END41" s="532"/>
      <c r="ENE41" s="532"/>
      <c r="ENF41" s="532"/>
      <c r="ENG41" s="532"/>
      <c r="ENH41" s="532"/>
      <c r="ENI41" s="532"/>
      <c r="ENJ41" s="532"/>
      <c r="ENK41" s="532"/>
      <c r="ENL41" s="532"/>
      <c r="ENM41" s="532"/>
      <c r="ENN41" s="532"/>
      <c r="ENO41" s="532"/>
      <c r="ENP41" s="532"/>
      <c r="ENQ41" s="532"/>
      <c r="ENR41" s="532"/>
      <c r="ENS41" s="532"/>
      <c r="ENT41" s="532"/>
      <c r="ENU41" s="532"/>
      <c r="ENV41" s="532"/>
      <c r="ENW41" s="532"/>
      <c r="ENX41" s="532"/>
      <c r="ENY41" s="532"/>
      <c r="ENZ41" s="532"/>
      <c r="EOA41" s="532"/>
      <c r="EOB41" s="532"/>
      <c r="EOC41" s="532"/>
      <c r="EOD41" s="532"/>
      <c r="EOE41" s="532"/>
      <c r="EOF41" s="532"/>
      <c r="EOG41" s="532"/>
      <c r="EOH41" s="532"/>
      <c r="EOI41" s="532"/>
      <c r="EOJ41" s="532"/>
      <c r="EOK41" s="532"/>
      <c r="EOL41" s="532"/>
      <c r="EOM41" s="532"/>
      <c r="EON41" s="532"/>
      <c r="EOO41" s="532"/>
      <c r="EOP41" s="532"/>
      <c r="EOQ41" s="532"/>
      <c r="EOR41" s="532"/>
      <c r="EOS41" s="532"/>
      <c r="EOT41" s="532"/>
      <c r="EOU41" s="532"/>
      <c r="EOV41" s="532"/>
      <c r="EOW41" s="532"/>
      <c r="EOX41" s="532"/>
      <c r="EOY41" s="532"/>
      <c r="EOZ41" s="532"/>
      <c r="EPA41" s="532"/>
      <c r="EPB41" s="532"/>
      <c r="EPC41" s="532"/>
      <c r="EPD41" s="532"/>
      <c r="EPE41" s="532"/>
      <c r="EPF41" s="532"/>
      <c r="EPG41" s="532"/>
      <c r="EPH41" s="532"/>
      <c r="EPI41" s="532"/>
      <c r="EPJ41" s="532"/>
      <c r="EPK41" s="532"/>
      <c r="EPL41" s="532"/>
      <c r="EPM41" s="532"/>
      <c r="EPN41" s="532"/>
      <c r="EPO41" s="532"/>
      <c r="EPP41" s="532"/>
      <c r="EPQ41" s="532"/>
      <c r="EPR41" s="532"/>
      <c r="EPS41" s="532"/>
      <c r="EPT41" s="532"/>
      <c r="EPU41" s="532"/>
      <c r="EPV41" s="532"/>
      <c r="EPW41" s="532"/>
      <c r="EPX41" s="532"/>
      <c r="EPY41" s="532"/>
      <c r="EPZ41" s="532"/>
      <c r="EQA41" s="532"/>
      <c r="EQB41" s="532"/>
      <c r="EQC41" s="532"/>
      <c r="EQD41" s="532"/>
      <c r="EQE41" s="532"/>
      <c r="EQF41" s="532"/>
      <c r="EQG41" s="532"/>
      <c r="EQH41" s="532"/>
      <c r="EQI41" s="532"/>
      <c r="EQJ41" s="532"/>
      <c r="EQK41" s="532"/>
      <c r="EQL41" s="532"/>
      <c r="EQM41" s="532"/>
      <c r="EQN41" s="532"/>
      <c r="EQO41" s="532"/>
      <c r="EQP41" s="532"/>
      <c r="EQQ41" s="532"/>
      <c r="EQR41" s="532"/>
      <c r="EQS41" s="532"/>
      <c r="EQT41" s="532"/>
      <c r="EQU41" s="532"/>
      <c r="EQV41" s="532"/>
      <c r="EQW41" s="532"/>
      <c r="EQX41" s="532"/>
      <c r="EQY41" s="532"/>
      <c r="EQZ41" s="532"/>
      <c r="ERA41" s="532"/>
      <c r="ERB41" s="532"/>
      <c r="ERC41" s="532"/>
      <c r="ERD41" s="532"/>
      <c r="ERE41" s="532"/>
      <c r="ERF41" s="532"/>
      <c r="ERG41" s="532"/>
      <c r="ERH41" s="532"/>
      <c r="ERI41" s="532"/>
      <c r="ERJ41" s="532"/>
      <c r="ERK41" s="532"/>
      <c r="ERL41" s="532"/>
      <c r="ERM41" s="532"/>
      <c r="ERN41" s="532"/>
      <c r="ERO41" s="532"/>
      <c r="ERP41" s="532"/>
      <c r="ERQ41" s="532"/>
      <c r="ERR41" s="532"/>
      <c r="ERS41" s="532"/>
      <c r="ERT41" s="532"/>
      <c r="ERU41" s="532"/>
      <c r="ERV41" s="532"/>
      <c r="ERW41" s="532"/>
      <c r="ERX41" s="532"/>
      <c r="ERY41" s="532"/>
      <c r="ERZ41" s="532"/>
      <c r="ESA41" s="532"/>
      <c r="ESB41" s="532"/>
      <c r="ESC41" s="532"/>
      <c r="ESD41" s="532"/>
      <c r="ESE41" s="532"/>
      <c r="ESF41" s="532"/>
      <c r="ESG41" s="532"/>
      <c r="ESH41" s="532"/>
      <c r="ESI41" s="532"/>
      <c r="ESJ41" s="532"/>
      <c r="ESK41" s="532"/>
      <c r="ESL41" s="532"/>
      <c r="ESM41" s="532"/>
      <c r="ESN41" s="532"/>
      <c r="ESO41" s="532"/>
      <c r="ESP41" s="532"/>
      <c r="ESQ41" s="532"/>
      <c r="ESR41" s="532"/>
      <c r="ESS41" s="532"/>
      <c r="EST41" s="532"/>
      <c r="ESU41" s="532"/>
      <c r="ESV41" s="532"/>
      <c r="ESW41" s="532"/>
      <c r="ESX41" s="532"/>
      <c r="ESY41" s="532"/>
      <c r="ESZ41" s="532"/>
      <c r="ETA41" s="532"/>
      <c r="ETB41" s="532"/>
      <c r="ETC41" s="532"/>
      <c r="ETD41" s="532"/>
      <c r="ETE41" s="532"/>
      <c r="ETF41" s="532"/>
      <c r="ETG41" s="532"/>
      <c r="ETH41" s="532"/>
      <c r="ETI41" s="532"/>
      <c r="ETJ41" s="532"/>
      <c r="ETK41" s="532"/>
      <c r="ETL41" s="532"/>
      <c r="ETM41" s="532"/>
      <c r="ETN41" s="532"/>
      <c r="ETO41" s="532"/>
      <c r="ETP41" s="532"/>
      <c r="ETQ41" s="532"/>
      <c r="ETR41" s="532"/>
      <c r="ETS41" s="532"/>
      <c r="ETT41" s="532"/>
      <c r="ETU41" s="532"/>
      <c r="ETV41" s="532"/>
      <c r="ETW41" s="532"/>
      <c r="ETX41" s="532"/>
      <c r="ETY41" s="532"/>
      <c r="ETZ41" s="532"/>
      <c r="EUA41" s="532"/>
      <c r="EUB41" s="532"/>
      <c r="EUC41" s="532"/>
      <c r="EUD41" s="532"/>
      <c r="EUE41" s="532"/>
      <c r="EUF41" s="532"/>
      <c r="EUG41" s="532"/>
      <c r="EUH41" s="532"/>
      <c r="EUI41" s="532"/>
      <c r="EUJ41" s="532"/>
      <c r="EUK41" s="532"/>
      <c r="EUL41" s="532"/>
      <c r="EUM41" s="532"/>
      <c r="EUN41" s="532"/>
      <c r="EUO41" s="532"/>
      <c r="EUP41" s="532"/>
      <c r="EUQ41" s="532"/>
      <c r="EUR41" s="532"/>
      <c r="EUS41" s="532"/>
      <c r="EUT41" s="532"/>
      <c r="EUU41" s="532"/>
      <c r="EUV41" s="532"/>
      <c r="EUW41" s="532"/>
      <c r="EUX41" s="532"/>
      <c r="EUY41" s="532"/>
      <c r="EUZ41" s="532"/>
      <c r="EVA41" s="532"/>
      <c r="EVB41" s="532"/>
      <c r="EVC41" s="532"/>
      <c r="EVD41" s="532"/>
      <c r="EVE41" s="532"/>
      <c r="EVF41" s="532"/>
      <c r="EVG41" s="532"/>
      <c r="EVH41" s="532"/>
      <c r="EVI41" s="532"/>
      <c r="EVJ41" s="532"/>
      <c r="EVK41" s="532"/>
      <c r="EVL41" s="532"/>
      <c r="EVM41" s="532"/>
      <c r="EVN41" s="532"/>
      <c r="EVO41" s="532"/>
      <c r="EVP41" s="532"/>
      <c r="EVQ41" s="532"/>
      <c r="EVR41" s="532"/>
      <c r="EVS41" s="532"/>
      <c r="EVT41" s="532"/>
      <c r="EVU41" s="532"/>
      <c r="EVV41" s="532"/>
      <c r="EVW41" s="532"/>
      <c r="EVX41" s="532"/>
      <c r="EVY41" s="532"/>
      <c r="EVZ41" s="532"/>
      <c r="EWA41" s="532"/>
      <c r="EWB41" s="532"/>
      <c r="EWC41" s="532"/>
      <c r="EWD41" s="532"/>
      <c r="EWE41" s="532"/>
      <c r="EWF41" s="532"/>
      <c r="EWG41" s="532"/>
      <c r="EWH41" s="532"/>
      <c r="EWI41" s="532"/>
      <c r="EWJ41" s="532"/>
      <c r="EWK41" s="532"/>
      <c r="EWL41" s="532"/>
      <c r="EWM41" s="532"/>
      <c r="EWN41" s="532"/>
      <c r="EWO41" s="532"/>
      <c r="EWP41" s="532"/>
      <c r="EWQ41" s="532"/>
      <c r="EWR41" s="532"/>
      <c r="EWS41" s="532"/>
      <c r="EWT41" s="532"/>
      <c r="EWU41" s="532"/>
      <c r="EWV41" s="532"/>
      <c r="EWW41" s="532"/>
      <c r="EWX41" s="532"/>
      <c r="EWY41" s="532"/>
      <c r="EWZ41" s="532"/>
      <c r="EXA41" s="532"/>
      <c r="EXB41" s="532"/>
      <c r="EXC41" s="532"/>
      <c r="EXD41" s="532"/>
      <c r="EXE41" s="532"/>
      <c r="EXF41" s="532"/>
      <c r="EXG41" s="532"/>
      <c r="EXH41" s="532"/>
      <c r="EXI41" s="532"/>
      <c r="EXJ41" s="532"/>
      <c r="EXK41" s="532"/>
      <c r="EXL41" s="532"/>
      <c r="EXM41" s="532"/>
      <c r="EXN41" s="532"/>
      <c r="EXO41" s="532"/>
      <c r="EXP41" s="532"/>
      <c r="EXQ41" s="532"/>
      <c r="EXR41" s="532"/>
      <c r="EXS41" s="532"/>
      <c r="EXT41" s="532"/>
      <c r="EXU41" s="532"/>
      <c r="EXV41" s="532"/>
      <c r="EXW41" s="532"/>
      <c r="EXX41" s="532"/>
      <c r="EXY41" s="532"/>
      <c r="EXZ41" s="532"/>
      <c r="EYA41" s="532"/>
      <c r="EYB41" s="532"/>
      <c r="EYC41" s="532"/>
      <c r="EYD41" s="532"/>
      <c r="EYE41" s="532"/>
      <c r="EYF41" s="532"/>
      <c r="EYG41" s="532"/>
      <c r="EYH41" s="532"/>
      <c r="EYI41" s="532"/>
      <c r="EYJ41" s="532"/>
      <c r="EYK41" s="532"/>
      <c r="EYL41" s="532"/>
      <c r="EYM41" s="532"/>
      <c r="EYN41" s="532"/>
      <c r="EYO41" s="532"/>
      <c r="EYP41" s="532"/>
      <c r="EYQ41" s="532"/>
      <c r="EYR41" s="532"/>
      <c r="EYS41" s="532"/>
      <c r="EYT41" s="532"/>
      <c r="EYU41" s="532"/>
      <c r="EYV41" s="532"/>
      <c r="EYW41" s="532"/>
      <c r="EYX41" s="532"/>
      <c r="EYY41" s="532"/>
      <c r="EYZ41" s="532"/>
      <c r="EZA41" s="532"/>
      <c r="EZB41" s="532"/>
      <c r="EZC41" s="532"/>
      <c r="EZD41" s="532"/>
      <c r="EZE41" s="532"/>
      <c r="EZF41" s="532"/>
      <c r="EZG41" s="532"/>
      <c r="EZH41" s="532"/>
      <c r="EZI41" s="532"/>
      <c r="EZJ41" s="532"/>
      <c r="EZK41" s="532"/>
      <c r="EZL41" s="532"/>
      <c r="EZM41" s="532"/>
      <c r="EZN41" s="532"/>
      <c r="EZO41" s="532"/>
      <c r="EZP41" s="532"/>
      <c r="EZQ41" s="532"/>
      <c r="EZR41" s="532"/>
      <c r="EZS41" s="532"/>
      <c r="EZT41" s="532"/>
      <c r="EZU41" s="532"/>
      <c r="EZV41" s="532"/>
      <c r="EZW41" s="532"/>
      <c r="EZX41" s="532"/>
      <c r="EZY41" s="532"/>
      <c r="EZZ41" s="532"/>
      <c r="FAA41" s="532"/>
      <c r="FAB41" s="532"/>
      <c r="FAC41" s="532"/>
      <c r="FAD41" s="532"/>
      <c r="FAE41" s="532"/>
      <c r="FAF41" s="532"/>
      <c r="FAG41" s="532"/>
      <c r="FAH41" s="532"/>
      <c r="FAI41" s="532"/>
      <c r="FAJ41" s="532"/>
      <c r="FAK41" s="532"/>
      <c r="FAL41" s="532"/>
      <c r="FAM41" s="532"/>
      <c r="FAN41" s="532"/>
      <c r="FAO41" s="532"/>
      <c r="FAP41" s="532"/>
      <c r="FAQ41" s="532"/>
      <c r="FAR41" s="532"/>
      <c r="FAS41" s="532"/>
      <c r="FAT41" s="532"/>
      <c r="FAU41" s="532"/>
      <c r="FAV41" s="532"/>
      <c r="FAW41" s="532"/>
      <c r="FAX41" s="532"/>
      <c r="FAY41" s="532"/>
      <c r="FAZ41" s="532"/>
      <c r="FBA41" s="532"/>
      <c r="FBB41" s="532"/>
      <c r="FBC41" s="532"/>
      <c r="FBD41" s="532"/>
      <c r="FBE41" s="532"/>
      <c r="FBF41" s="532"/>
      <c r="FBG41" s="532"/>
      <c r="FBH41" s="532"/>
      <c r="FBI41" s="532"/>
      <c r="FBJ41" s="532"/>
      <c r="FBK41" s="532"/>
      <c r="FBL41" s="532"/>
      <c r="FBM41" s="532"/>
      <c r="FBN41" s="532"/>
      <c r="FBO41" s="532"/>
      <c r="FBP41" s="532"/>
      <c r="FBQ41" s="532"/>
      <c r="FBR41" s="532"/>
      <c r="FBS41" s="532"/>
      <c r="FBT41" s="532"/>
      <c r="FBU41" s="532"/>
      <c r="FBV41" s="532"/>
      <c r="FBW41" s="532"/>
      <c r="FBX41" s="532"/>
      <c r="FBY41" s="532"/>
      <c r="FBZ41" s="532"/>
      <c r="FCA41" s="532"/>
      <c r="FCB41" s="532"/>
      <c r="FCC41" s="532"/>
      <c r="FCD41" s="532"/>
      <c r="FCE41" s="532"/>
      <c r="FCF41" s="532"/>
      <c r="FCG41" s="532"/>
      <c r="FCH41" s="532"/>
      <c r="FCI41" s="532"/>
      <c r="FCJ41" s="532"/>
      <c r="FCK41" s="532"/>
      <c r="FCL41" s="532"/>
      <c r="FCM41" s="532"/>
      <c r="FCN41" s="532"/>
      <c r="FCO41" s="532"/>
      <c r="FCP41" s="532"/>
      <c r="FCQ41" s="532"/>
      <c r="FCR41" s="532"/>
      <c r="FCS41" s="532"/>
      <c r="FCT41" s="532"/>
      <c r="FCU41" s="532"/>
      <c r="FCV41" s="532"/>
      <c r="FCW41" s="532"/>
      <c r="FCX41" s="532"/>
      <c r="FCY41" s="532"/>
      <c r="FCZ41" s="532"/>
      <c r="FDA41" s="532"/>
      <c r="FDB41" s="532"/>
      <c r="FDC41" s="532"/>
      <c r="FDD41" s="532"/>
      <c r="FDE41" s="532"/>
      <c r="FDF41" s="532"/>
      <c r="FDG41" s="532"/>
      <c r="FDH41" s="532"/>
      <c r="FDI41" s="532"/>
      <c r="FDJ41" s="532"/>
      <c r="FDK41" s="532"/>
      <c r="FDL41" s="532"/>
      <c r="FDM41" s="532"/>
      <c r="FDN41" s="532"/>
      <c r="FDO41" s="532"/>
      <c r="FDP41" s="532"/>
      <c r="FDQ41" s="532"/>
      <c r="FDR41" s="532"/>
      <c r="FDS41" s="532"/>
      <c r="FDT41" s="532"/>
      <c r="FDU41" s="532"/>
      <c r="FDV41" s="532"/>
      <c r="FDW41" s="532"/>
      <c r="FDX41" s="532"/>
      <c r="FDY41" s="532"/>
      <c r="FDZ41" s="532"/>
      <c r="FEA41" s="532"/>
      <c r="FEB41" s="532"/>
      <c r="FEC41" s="532"/>
      <c r="FED41" s="532"/>
      <c r="FEE41" s="532"/>
      <c r="FEF41" s="532"/>
      <c r="FEG41" s="532"/>
      <c r="FEH41" s="532"/>
      <c r="FEI41" s="532"/>
      <c r="FEJ41" s="532"/>
      <c r="FEK41" s="532"/>
      <c r="FEL41" s="532"/>
      <c r="FEM41" s="532"/>
      <c r="FEN41" s="532"/>
      <c r="FEO41" s="532"/>
      <c r="FEP41" s="532"/>
      <c r="FEQ41" s="532"/>
      <c r="FER41" s="532"/>
      <c r="FES41" s="532"/>
      <c r="FET41" s="532"/>
      <c r="FEU41" s="532"/>
      <c r="FEV41" s="532"/>
      <c r="FEW41" s="532"/>
      <c r="FEX41" s="532"/>
      <c r="FEY41" s="532"/>
      <c r="FEZ41" s="532"/>
      <c r="FFA41" s="532"/>
      <c r="FFB41" s="532"/>
      <c r="FFC41" s="532"/>
      <c r="FFD41" s="532"/>
      <c r="FFE41" s="532"/>
      <c r="FFF41" s="532"/>
      <c r="FFG41" s="532"/>
      <c r="FFH41" s="532"/>
      <c r="FFI41" s="532"/>
      <c r="FFJ41" s="532"/>
      <c r="FFK41" s="532"/>
      <c r="FFL41" s="532"/>
      <c r="FFM41" s="532"/>
      <c r="FFN41" s="532"/>
      <c r="FFO41" s="532"/>
      <c r="FFP41" s="532"/>
      <c r="FFQ41" s="532"/>
      <c r="FFR41" s="532"/>
      <c r="FFS41" s="532"/>
      <c r="FFT41" s="532"/>
      <c r="FFU41" s="532"/>
      <c r="FFV41" s="532"/>
      <c r="FFW41" s="532"/>
      <c r="FFX41" s="532"/>
      <c r="FFY41" s="532"/>
      <c r="FFZ41" s="532"/>
      <c r="FGA41" s="532"/>
      <c r="FGB41" s="532"/>
      <c r="FGC41" s="532"/>
      <c r="FGD41" s="532"/>
      <c r="FGE41" s="532"/>
      <c r="FGF41" s="532"/>
      <c r="FGG41" s="532"/>
      <c r="FGH41" s="532"/>
      <c r="FGI41" s="532"/>
      <c r="FGJ41" s="532"/>
      <c r="FGK41" s="532"/>
      <c r="FGL41" s="532"/>
      <c r="FGM41" s="532"/>
      <c r="FGN41" s="532"/>
      <c r="FGO41" s="532"/>
      <c r="FGP41" s="532"/>
      <c r="FGQ41" s="532"/>
      <c r="FGR41" s="532"/>
      <c r="FGS41" s="532"/>
      <c r="FGT41" s="532"/>
      <c r="FGU41" s="532"/>
      <c r="FGV41" s="532"/>
      <c r="FGW41" s="532"/>
      <c r="FGX41" s="532"/>
      <c r="FGY41" s="532"/>
      <c r="FGZ41" s="532"/>
      <c r="FHA41" s="532"/>
      <c r="FHB41" s="532"/>
      <c r="FHC41" s="532"/>
      <c r="FHD41" s="532"/>
      <c r="FHE41" s="532"/>
      <c r="FHF41" s="532"/>
      <c r="FHG41" s="532"/>
      <c r="FHH41" s="532"/>
      <c r="FHI41" s="532"/>
      <c r="FHJ41" s="532"/>
      <c r="FHK41" s="532"/>
      <c r="FHL41" s="532"/>
      <c r="FHM41" s="532"/>
      <c r="FHN41" s="532"/>
      <c r="FHO41" s="532"/>
      <c r="FHP41" s="532"/>
      <c r="FHQ41" s="532"/>
      <c r="FHR41" s="532"/>
      <c r="FHS41" s="532"/>
      <c r="FHT41" s="532"/>
      <c r="FHU41" s="532"/>
      <c r="FHV41" s="532"/>
      <c r="FHW41" s="532"/>
      <c r="FHX41" s="532"/>
      <c r="FHY41" s="532"/>
      <c r="FHZ41" s="532"/>
      <c r="FIA41" s="532"/>
      <c r="FIB41" s="532"/>
      <c r="FIC41" s="532"/>
      <c r="FID41" s="532"/>
      <c r="FIE41" s="532"/>
      <c r="FIF41" s="532"/>
      <c r="FIG41" s="532"/>
      <c r="FIH41" s="532"/>
      <c r="FII41" s="532"/>
      <c r="FIJ41" s="532"/>
      <c r="FIK41" s="532"/>
      <c r="FIL41" s="532"/>
      <c r="FIM41" s="532"/>
      <c r="FIN41" s="532"/>
      <c r="FIO41" s="532"/>
      <c r="FIP41" s="532"/>
      <c r="FIQ41" s="532"/>
      <c r="FIR41" s="532"/>
      <c r="FIS41" s="532"/>
      <c r="FIT41" s="532"/>
      <c r="FIU41" s="532"/>
      <c r="FIV41" s="532"/>
      <c r="FIW41" s="532"/>
      <c r="FIX41" s="532"/>
      <c r="FIY41" s="532"/>
      <c r="FIZ41" s="532"/>
      <c r="FJA41" s="532"/>
      <c r="FJB41" s="532"/>
      <c r="FJC41" s="532"/>
      <c r="FJD41" s="532"/>
      <c r="FJE41" s="532"/>
      <c r="FJF41" s="532"/>
      <c r="FJG41" s="532"/>
      <c r="FJH41" s="532"/>
      <c r="FJI41" s="532"/>
      <c r="FJJ41" s="532"/>
      <c r="FJK41" s="532"/>
      <c r="FJL41" s="532"/>
      <c r="FJM41" s="532"/>
      <c r="FJN41" s="532"/>
      <c r="FJO41" s="532"/>
      <c r="FJP41" s="532"/>
      <c r="FJQ41" s="532"/>
      <c r="FJR41" s="532"/>
      <c r="FJS41" s="532"/>
      <c r="FJT41" s="532"/>
      <c r="FJU41" s="532"/>
      <c r="FJV41" s="532"/>
      <c r="FJW41" s="532"/>
      <c r="FJX41" s="532"/>
      <c r="FJY41" s="532"/>
      <c r="FJZ41" s="532"/>
      <c r="FKA41" s="532"/>
      <c r="FKB41" s="532"/>
      <c r="FKC41" s="532"/>
      <c r="FKD41" s="532"/>
      <c r="FKE41" s="532"/>
      <c r="FKF41" s="532"/>
      <c r="FKG41" s="532"/>
      <c r="FKH41" s="532"/>
      <c r="FKI41" s="532"/>
      <c r="FKJ41" s="532"/>
      <c r="FKK41" s="532"/>
      <c r="FKL41" s="532"/>
      <c r="FKM41" s="532"/>
      <c r="FKN41" s="532"/>
      <c r="FKO41" s="532"/>
      <c r="FKP41" s="532"/>
      <c r="FKQ41" s="532"/>
      <c r="FKR41" s="532"/>
      <c r="FKS41" s="532"/>
      <c r="FKT41" s="532"/>
      <c r="FKU41" s="532"/>
      <c r="FKV41" s="532"/>
      <c r="FKW41" s="532"/>
      <c r="FKX41" s="532"/>
      <c r="FKY41" s="532"/>
      <c r="FKZ41" s="532"/>
      <c r="FLA41" s="532"/>
      <c r="FLB41" s="532"/>
      <c r="FLC41" s="532"/>
      <c r="FLD41" s="532"/>
      <c r="FLE41" s="532"/>
      <c r="FLF41" s="532"/>
      <c r="FLG41" s="532"/>
      <c r="FLH41" s="532"/>
      <c r="FLI41" s="532"/>
      <c r="FLJ41" s="532"/>
      <c r="FLK41" s="532"/>
      <c r="FLL41" s="532"/>
      <c r="FLM41" s="532"/>
      <c r="FLN41" s="532"/>
      <c r="FLO41" s="532"/>
      <c r="FLP41" s="532"/>
      <c r="FLQ41" s="532"/>
      <c r="FLR41" s="532"/>
      <c r="FLS41" s="532"/>
      <c r="FLT41" s="532"/>
      <c r="FLU41" s="532"/>
      <c r="FLV41" s="532"/>
      <c r="FLW41" s="532"/>
      <c r="FLX41" s="532"/>
      <c r="FLY41" s="532"/>
      <c r="FLZ41" s="532"/>
      <c r="FMA41" s="532"/>
      <c r="FMB41" s="532"/>
      <c r="FMC41" s="532"/>
      <c r="FMD41" s="532"/>
      <c r="FME41" s="532"/>
      <c r="FMF41" s="532"/>
      <c r="FMG41" s="532"/>
      <c r="FMH41" s="532"/>
      <c r="FMI41" s="532"/>
      <c r="FMJ41" s="532"/>
      <c r="FMK41" s="532"/>
      <c r="FML41" s="532"/>
      <c r="FMM41" s="532"/>
      <c r="FMN41" s="532"/>
      <c r="FMO41" s="532"/>
      <c r="FMP41" s="532"/>
      <c r="FMQ41" s="532"/>
      <c r="FMR41" s="532"/>
      <c r="FMS41" s="532"/>
      <c r="FMT41" s="532"/>
      <c r="FMU41" s="532"/>
      <c r="FMV41" s="532"/>
      <c r="FMW41" s="532"/>
      <c r="FMX41" s="532"/>
      <c r="FMY41" s="532"/>
      <c r="FMZ41" s="532"/>
      <c r="FNA41" s="532"/>
      <c r="FNB41" s="532"/>
      <c r="FNC41" s="532"/>
      <c r="FND41" s="532"/>
      <c r="FNE41" s="532"/>
      <c r="FNF41" s="532"/>
      <c r="FNG41" s="532"/>
      <c r="FNH41" s="532"/>
      <c r="FNI41" s="532"/>
      <c r="FNJ41" s="532"/>
      <c r="FNK41" s="532"/>
      <c r="FNL41" s="532"/>
      <c r="FNM41" s="532"/>
      <c r="FNN41" s="532"/>
      <c r="FNO41" s="532"/>
      <c r="FNP41" s="532"/>
      <c r="FNQ41" s="532"/>
      <c r="FNR41" s="532"/>
      <c r="FNS41" s="532"/>
      <c r="FNT41" s="532"/>
      <c r="FNU41" s="532"/>
      <c r="FNV41" s="532"/>
      <c r="FNW41" s="532"/>
      <c r="FNX41" s="532"/>
      <c r="FNY41" s="532"/>
      <c r="FNZ41" s="532"/>
      <c r="FOA41" s="532"/>
      <c r="FOB41" s="532"/>
      <c r="FOC41" s="532"/>
      <c r="FOD41" s="532"/>
      <c r="FOE41" s="532"/>
      <c r="FOF41" s="532"/>
      <c r="FOG41" s="532"/>
      <c r="FOH41" s="532"/>
      <c r="FOI41" s="532"/>
      <c r="FOJ41" s="532"/>
      <c r="FOK41" s="532"/>
      <c r="FOL41" s="532"/>
      <c r="FOM41" s="532"/>
      <c r="FON41" s="532"/>
      <c r="FOO41" s="532"/>
      <c r="FOP41" s="532"/>
      <c r="FOQ41" s="532"/>
      <c r="FOR41" s="532"/>
      <c r="FOS41" s="532"/>
      <c r="FOT41" s="532"/>
      <c r="FOU41" s="532"/>
      <c r="FOV41" s="532"/>
      <c r="FOW41" s="532"/>
      <c r="FOX41" s="532"/>
      <c r="FOY41" s="532"/>
      <c r="FOZ41" s="532"/>
      <c r="FPA41" s="532"/>
      <c r="FPB41" s="532"/>
      <c r="FPC41" s="532"/>
      <c r="FPD41" s="532"/>
      <c r="FPE41" s="532"/>
      <c r="FPF41" s="532"/>
      <c r="FPG41" s="532"/>
      <c r="FPH41" s="532"/>
      <c r="FPI41" s="532"/>
      <c r="FPJ41" s="532"/>
      <c r="FPK41" s="532"/>
      <c r="FPL41" s="532"/>
      <c r="FPM41" s="532"/>
      <c r="FPN41" s="532"/>
      <c r="FPO41" s="532"/>
      <c r="FPP41" s="532"/>
      <c r="FPQ41" s="532"/>
      <c r="FPR41" s="532"/>
      <c r="FPS41" s="532"/>
      <c r="FPT41" s="532"/>
      <c r="FPU41" s="532"/>
      <c r="FPV41" s="532"/>
      <c r="FPW41" s="532"/>
      <c r="FPX41" s="532"/>
      <c r="FPY41" s="532"/>
      <c r="FPZ41" s="532"/>
      <c r="FQA41" s="532"/>
      <c r="FQB41" s="532"/>
      <c r="FQC41" s="532"/>
      <c r="FQD41" s="532"/>
      <c r="FQE41" s="532"/>
      <c r="FQF41" s="532"/>
      <c r="FQG41" s="532"/>
      <c r="FQH41" s="532"/>
      <c r="FQI41" s="532"/>
      <c r="FQJ41" s="532"/>
      <c r="FQK41" s="532"/>
      <c r="FQL41" s="532"/>
      <c r="FQM41" s="532"/>
      <c r="FQN41" s="532"/>
      <c r="FQO41" s="532"/>
      <c r="FQP41" s="532"/>
      <c r="FQQ41" s="532"/>
      <c r="FQR41" s="532"/>
      <c r="FQS41" s="532"/>
      <c r="FQT41" s="532"/>
      <c r="FQU41" s="532"/>
      <c r="FQV41" s="532"/>
      <c r="FQW41" s="532"/>
      <c r="FQX41" s="532"/>
      <c r="FQY41" s="532"/>
      <c r="FQZ41" s="532"/>
      <c r="FRA41" s="532"/>
      <c r="FRB41" s="532"/>
      <c r="FRC41" s="532"/>
      <c r="FRD41" s="532"/>
      <c r="FRE41" s="532"/>
      <c r="FRF41" s="532"/>
      <c r="FRG41" s="532"/>
      <c r="FRH41" s="532"/>
      <c r="FRI41" s="532"/>
      <c r="FRJ41" s="532"/>
      <c r="FRK41" s="532"/>
      <c r="FRL41" s="532"/>
      <c r="FRM41" s="532"/>
      <c r="FRN41" s="532"/>
      <c r="FRO41" s="532"/>
      <c r="FRP41" s="532"/>
      <c r="FRQ41" s="532"/>
      <c r="FRR41" s="532"/>
      <c r="FRS41" s="532"/>
      <c r="FRT41" s="532"/>
      <c r="FRU41" s="532"/>
      <c r="FRV41" s="532"/>
      <c r="FRW41" s="532"/>
      <c r="FRX41" s="532"/>
      <c r="FRY41" s="532"/>
      <c r="FRZ41" s="532"/>
      <c r="FSA41" s="532"/>
      <c r="FSB41" s="532"/>
      <c r="FSC41" s="532"/>
      <c r="FSD41" s="532"/>
      <c r="FSE41" s="532"/>
      <c r="FSF41" s="532"/>
      <c r="FSG41" s="532"/>
      <c r="FSH41" s="532"/>
      <c r="FSI41" s="532"/>
      <c r="FSJ41" s="532"/>
      <c r="FSK41" s="532"/>
      <c r="FSL41" s="532"/>
      <c r="FSM41" s="532"/>
      <c r="FSN41" s="532"/>
      <c r="FSO41" s="532"/>
      <c r="FSP41" s="532"/>
      <c r="FSQ41" s="532"/>
      <c r="FSR41" s="532"/>
      <c r="FSS41" s="532"/>
      <c r="FST41" s="532"/>
      <c r="FSU41" s="532"/>
      <c r="FSV41" s="532"/>
      <c r="FSW41" s="532"/>
      <c r="FSX41" s="532"/>
      <c r="FSY41" s="532"/>
      <c r="FSZ41" s="532"/>
      <c r="FTA41" s="532"/>
      <c r="FTB41" s="532"/>
      <c r="FTC41" s="532"/>
      <c r="FTD41" s="532"/>
      <c r="FTE41" s="532"/>
      <c r="FTF41" s="532"/>
      <c r="FTG41" s="532"/>
      <c r="FTH41" s="532"/>
      <c r="FTI41" s="532"/>
      <c r="FTJ41" s="532"/>
      <c r="FTK41" s="532"/>
      <c r="FTL41" s="532"/>
      <c r="FTM41" s="532"/>
      <c r="FTN41" s="532"/>
      <c r="FTO41" s="532"/>
      <c r="FTP41" s="532"/>
      <c r="FTQ41" s="532"/>
      <c r="FTR41" s="532"/>
      <c r="FTS41" s="532"/>
      <c r="FTT41" s="532"/>
      <c r="FTU41" s="532"/>
      <c r="FTV41" s="532"/>
      <c r="FTW41" s="532"/>
      <c r="FTX41" s="532"/>
      <c r="FTY41" s="532"/>
      <c r="FTZ41" s="532"/>
      <c r="FUA41" s="532"/>
      <c r="FUB41" s="532"/>
      <c r="FUC41" s="532"/>
      <c r="FUD41" s="532"/>
      <c r="FUE41" s="532"/>
      <c r="FUF41" s="532"/>
      <c r="FUG41" s="532"/>
      <c r="FUH41" s="532"/>
      <c r="FUI41" s="532"/>
      <c r="FUJ41" s="532"/>
      <c r="FUK41" s="532"/>
      <c r="FUL41" s="532"/>
      <c r="FUM41" s="532"/>
      <c r="FUN41" s="532"/>
      <c r="FUO41" s="532"/>
      <c r="FUP41" s="532"/>
      <c r="FUQ41" s="532"/>
      <c r="FUR41" s="532"/>
      <c r="FUS41" s="532"/>
      <c r="FUT41" s="532"/>
      <c r="FUU41" s="532"/>
      <c r="FUV41" s="532"/>
      <c r="FUW41" s="532"/>
      <c r="FUX41" s="532"/>
      <c r="FUY41" s="532"/>
      <c r="FUZ41" s="532"/>
      <c r="FVA41" s="532"/>
      <c r="FVB41" s="532"/>
      <c r="FVC41" s="532"/>
      <c r="FVD41" s="532"/>
      <c r="FVE41" s="532"/>
      <c r="FVF41" s="532"/>
      <c r="FVG41" s="532"/>
      <c r="FVH41" s="532"/>
      <c r="FVI41" s="532"/>
      <c r="FVJ41" s="532"/>
      <c r="FVK41" s="532"/>
      <c r="FVL41" s="532"/>
      <c r="FVM41" s="532"/>
      <c r="FVN41" s="532"/>
      <c r="FVO41" s="532"/>
      <c r="FVP41" s="532"/>
      <c r="FVQ41" s="532"/>
      <c r="FVR41" s="532"/>
      <c r="FVS41" s="532"/>
      <c r="FVT41" s="532"/>
      <c r="FVU41" s="532"/>
      <c r="FVV41" s="532"/>
      <c r="FVW41" s="532"/>
      <c r="FVX41" s="532"/>
      <c r="FVY41" s="532"/>
      <c r="FVZ41" s="532"/>
      <c r="FWA41" s="532"/>
      <c r="FWB41" s="532"/>
      <c r="FWC41" s="532"/>
      <c r="FWD41" s="532"/>
      <c r="FWE41" s="532"/>
      <c r="FWF41" s="532"/>
      <c r="FWG41" s="532"/>
      <c r="FWH41" s="532"/>
      <c r="FWI41" s="532"/>
      <c r="FWJ41" s="532"/>
      <c r="FWK41" s="532"/>
      <c r="FWL41" s="532"/>
      <c r="FWM41" s="532"/>
      <c r="FWN41" s="532"/>
      <c r="FWO41" s="532"/>
      <c r="FWP41" s="532"/>
      <c r="FWQ41" s="532"/>
      <c r="FWR41" s="532"/>
      <c r="FWS41" s="532"/>
      <c r="FWT41" s="532"/>
      <c r="FWU41" s="532"/>
      <c r="FWV41" s="532"/>
      <c r="FWW41" s="532"/>
      <c r="FWX41" s="532"/>
      <c r="FWY41" s="532"/>
      <c r="FWZ41" s="532"/>
      <c r="FXA41" s="532"/>
      <c r="FXB41" s="532"/>
      <c r="FXC41" s="532"/>
      <c r="FXD41" s="532"/>
      <c r="FXE41" s="532"/>
      <c r="FXF41" s="532"/>
      <c r="FXG41" s="532"/>
      <c r="FXH41" s="532"/>
      <c r="FXI41" s="532"/>
      <c r="FXJ41" s="532"/>
      <c r="FXK41" s="532"/>
      <c r="FXL41" s="532"/>
      <c r="FXM41" s="532"/>
      <c r="FXN41" s="532"/>
      <c r="FXO41" s="532"/>
      <c r="FXP41" s="532"/>
      <c r="FXQ41" s="532"/>
      <c r="FXR41" s="532"/>
      <c r="FXS41" s="532"/>
      <c r="FXT41" s="532"/>
      <c r="FXU41" s="532"/>
      <c r="FXV41" s="532"/>
      <c r="FXW41" s="532"/>
      <c r="FXX41" s="532"/>
      <c r="FXY41" s="532"/>
      <c r="FXZ41" s="532"/>
      <c r="FYA41" s="532"/>
      <c r="FYB41" s="532"/>
      <c r="FYC41" s="532"/>
      <c r="FYD41" s="532"/>
      <c r="FYE41" s="532"/>
      <c r="FYF41" s="532"/>
      <c r="FYG41" s="532"/>
      <c r="FYH41" s="532"/>
      <c r="FYI41" s="532"/>
      <c r="FYJ41" s="532"/>
      <c r="FYK41" s="532"/>
      <c r="FYL41" s="532"/>
      <c r="FYM41" s="532"/>
      <c r="FYN41" s="532"/>
      <c r="FYO41" s="532"/>
      <c r="FYP41" s="532"/>
      <c r="FYQ41" s="532"/>
      <c r="FYR41" s="532"/>
      <c r="FYS41" s="532"/>
      <c r="FYT41" s="532"/>
      <c r="FYU41" s="532"/>
      <c r="FYV41" s="532"/>
      <c r="FYW41" s="532"/>
      <c r="FYX41" s="532"/>
      <c r="FYY41" s="532"/>
      <c r="FYZ41" s="532"/>
      <c r="FZA41" s="532"/>
      <c r="FZB41" s="532"/>
      <c r="FZC41" s="532"/>
      <c r="FZD41" s="532"/>
      <c r="FZE41" s="532"/>
      <c r="FZF41" s="532"/>
      <c r="FZG41" s="532"/>
      <c r="FZH41" s="532"/>
      <c r="FZI41" s="532"/>
      <c r="FZJ41" s="532"/>
      <c r="FZK41" s="532"/>
      <c r="FZL41" s="532"/>
      <c r="FZM41" s="532"/>
      <c r="FZN41" s="532"/>
      <c r="FZO41" s="532"/>
      <c r="FZP41" s="532"/>
      <c r="FZQ41" s="532"/>
      <c r="FZR41" s="532"/>
      <c r="FZS41" s="532"/>
      <c r="FZT41" s="532"/>
      <c r="FZU41" s="532"/>
      <c r="FZV41" s="532"/>
      <c r="FZW41" s="532"/>
      <c r="FZX41" s="532"/>
      <c r="FZY41" s="532"/>
      <c r="FZZ41" s="532"/>
      <c r="GAA41" s="532"/>
      <c r="GAB41" s="532"/>
      <c r="GAC41" s="532"/>
      <c r="GAD41" s="532"/>
      <c r="GAE41" s="532"/>
      <c r="GAF41" s="532"/>
      <c r="GAG41" s="532"/>
      <c r="GAH41" s="532"/>
      <c r="GAI41" s="532"/>
      <c r="GAJ41" s="532"/>
      <c r="GAK41" s="532"/>
      <c r="GAL41" s="532"/>
      <c r="GAM41" s="532"/>
      <c r="GAN41" s="532"/>
      <c r="GAO41" s="532"/>
      <c r="GAP41" s="532"/>
      <c r="GAQ41" s="532"/>
      <c r="GAR41" s="532"/>
      <c r="GAS41" s="532"/>
      <c r="GAT41" s="532"/>
      <c r="GAU41" s="532"/>
      <c r="GAV41" s="532"/>
      <c r="GAW41" s="532"/>
      <c r="GAX41" s="532"/>
      <c r="GAY41" s="532"/>
      <c r="GAZ41" s="532"/>
      <c r="GBA41" s="532"/>
      <c r="GBB41" s="532"/>
      <c r="GBC41" s="532"/>
      <c r="GBD41" s="532"/>
      <c r="GBE41" s="532"/>
      <c r="GBF41" s="532"/>
      <c r="GBG41" s="532"/>
      <c r="GBH41" s="532"/>
      <c r="GBI41" s="532"/>
      <c r="GBJ41" s="532"/>
      <c r="GBK41" s="532"/>
      <c r="GBL41" s="532"/>
      <c r="GBM41" s="532"/>
      <c r="GBN41" s="532"/>
      <c r="GBO41" s="532"/>
      <c r="GBP41" s="532"/>
      <c r="GBQ41" s="532"/>
      <c r="GBR41" s="532"/>
      <c r="GBS41" s="532"/>
      <c r="GBT41" s="532"/>
      <c r="GBU41" s="532"/>
      <c r="GBV41" s="532"/>
      <c r="GBW41" s="532"/>
      <c r="GBX41" s="532"/>
      <c r="GBY41" s="532"/>
      <c r="GBZ41" s="532"/>
      <c r="GCA41" s="532"/>
      <c r="GCB41" s="532"/>
      <c r="GCC41" s="532"/>
      <c r="GCD41" s="532"/>
      <c r="GCE41" s="532"/>
      <c r="GCF41" s="532"/>
      <c r="GCG41" s="532"/>
      <c r="GCH41" s="532"/>
      <c r="GCI41" s="532"/>
      <c r="GCJ41" s="532"/>
      <c r="GCK41" s="532"/>
      <c r="GCL41" s="532"/>
      <c r="GCM41" s="532"/>
      <c r="GCN41" s="532"/>
      <c r="GCO41" s="532"/>
      <c r="GCP41" s="532"/>
      <c r="GCQ41" s="532"/>
      <c r="GCR41" s="532"/>
      <c r="GCS41" s="532"/>
      <c r="GCT41" s="532"/>
      <c r="GCU41" s="532"/>
      <c r="GCV41" s="532"/>
      <c r="GCW41" s="532"/>
      <c r="GCX41" s="532"/>
      <c r="GCY41" s="532"/>
      <c r="GCZ41" s="532"/>
      <c r="GDA41" s="532"/>
      <c r="GDB41" s="532"/>
      <c r="GDC41" s="532"/>
      <c r="GDD41" s="532"/>
      <c r="GDE41" s="532"/>
      <c r="GDF41" s="532"/>
      <c r="GDG41" s="532"/>
      <c r="GDH41" s="532"/>
      <c r="GDI41" s="532"/>
      <c r="GDJ41" s="532"/>
      <c r="GDK41" s="532"/>
      <c r="GDL41" s="532"/>
      <c r="GDM41" s="532"/>
      <c r="GDN41" s="532"/>
      <c r="GDO41" s="532"/>
      <c r="GDP41" s="532"/>
      <c r="GDQ41" s="532"/>
      <c r="GDR41" s="532"/>
      <c r="GDS41" s="532"/>
      <c r="GDT41" s="532"/>
      <c r="GDU41" s="532"/>
      <c r="GDV41" s="532"/>
      <c r="GDW41" s="532"/>
      <c r="GDX41" s="532"/>
      <c r="GDY41" s="532"/>
      <c r="GDZ41" s="532"/>
      <c r="GEA41" s="532"/>
      <c r="GEB41" s="532"/>
      <c r="GEC41" s="532"/>
      <c r="GED41" s="532"/>
      <c r="GEE41" s="532"/>
      <c r="GEF41" s="532"/>
      <c r="GEG41" s="532"/>
      <c r="GEH41" s="532"/>
      <c r="GEI41" s="532"/>
      <c r="GEJ41" s="532"/>
      <c r="GEK41" s="532"/>
      <c r="GEL41" s="532"/>
      <c r="GEM41" s="532"/>
      <c r="GEN41" s="532"/>
      <c r="GEO41" s="532"/>
      <c r="GEP41" s="532"/>
      <c r="GEQ41" s="532"/>
      <c r="GER41" s="532"/>
      <c r="GES41" s="532"/>
      <c r="GET41" s="532"/>
      <c r="GEU41" s="532"/>
      <c r="GEV41" s="532"/>
      <c r="GEW41" s="532"/>
      <c r="GEX41" s="532"/>
      <c r="GEY41" s="532"/>
      <c r="GEZ41" s="532"/>
      <c r="GFA41" s="532"/>
      <c r="GFB41" s="532"/>
      <c r="GFC41" s="532"/>
      <c r="GFD41" s="532"/>
      <c r="GFE41" s="532"/>
      <c r="GFF41" s="532"/>
      <c r="GFG41" s="532"/>
      <c r="GFH41" s="532"/>
      <c r="GFI41" s="532"/>
      <c r="GFJ41" s="532"/>
      <c r="GFK41" s="532"/>
      <c r="GFL41" s="532"/>
      <c r="GFM41" s="532"/>
      <c r="GFN41" s="532"/>
      <c r="GFO41" s="532"/>
      <c r="GFP41" s="532"/>
      <c r="GFQ41" s="532"/>
      <c r="GFR41" s="532"/>
      <c r="GFS41" s="532"/>
      <c r="GFT41" s="532"/>
      <c r="GFU41" s="532"/>
      <c r="GFV41" s="532"/>
      <c r="GFW41" s="532"/>
      <c r="GFX41" s="532"/>
      <c r="GFY41" s="532"/>
      <c r="GFZ41" s="532"/>
      <c r="GGA41" s="532"/>
      <c r="GGB41" s="532"/>
      <c r="GGC41" s="532"/>
      <c r="GGD41" s="532"/>
      <c r="GGE41" s="532"/>
      <c r="GGF41" s="532"/>
      <c r="GGG41" s="532"/>
      <c r="GGH41" s="532"/>
      <c r="GGI41" s="532"/>
      <c r="GGJ41" s="532"/>
      <c r="GGK41" s="532"/>
      <c r="GGL41" s="532"/>
      <c r="GGM41" s="532"/>
      <c r="GGN41" s="532"/>
      <c r="GGO41" s="532"/>
      <c r="GGP41" s="532"/>
      <c r="GGQ41" s="532"/>
      <c r="GGR41" s="532"/>
      <c r="GGS41" s="532"/>
      <c r="GGT41" s="532"/>
      <c r="GGU41" s="532"/>
      <c r="GGV41" s="532"/>
      <c r="GGW41" s="532"/>
      <c r="GGX41" s="532"/>
      <c r="GGY41" s="532"/>
      <c r="GGZ41" s="532"/>
      <c r="GHA41" s="532"/>
      <c r="GHB41" s="532"/>
      <c r="GHC41" s="532"/>
      <c r="GHD41" s="532"/>
      <c r="GHE41" s="532"/>
      <c r="GHF41" s="532"/>
      <c r="GHG41" s="532"/>
      <c r="GHH41" s="532"/>
      <c r="GHI41" s="532"/>
      <c r="GHJ41" s="532"/>
      <c r="GHK41" s="532"/>
      <c r="GHL41" s="532"/>
      <c r="GHM41" s="532"/>
      <c r="GHN41" s="532"/>
      <c r="GHO41" s="532"/>
      <c r="GHP41" s="532"/>
      <c r="GHQ41" s="532"/>
      <c r="GHR41" s="532"/>
      <c r="GHS41" s="532"/>
      <c r="GHT41" s="532"/>
      <c r="GHU41" s="532"/>
      <c r="GHV41" s="532"/>
      <c r="GHW41" s="532"/>
      <c r="GHX41" s="532"/>
      <c r="GHY41" s="532"/>
      <c r="GHZ41" s="532"/>
      <c r="GIA41" s="532"/>
      <c r="GIB41" s="532"/>
      <c r="GIC41" s="532"/>
      <c r="GID41" s="532"/>
      <c r="GIE41" s="532"/>
      <c r="GIF41" s="532"/>
      <c r="GIG41" s="532"/>
      <c r="GIH41" s="532"/>
      <c r="GII41" s="532"/>
      <c r="GIJ41" s="532"/>
      <c r="GIK41" s="532"/>
      <c r="GIL41" s="532"/>
      <c r="GIM41" s="532"/>
      <c r="GIN41" s="532"/>
      <c r="GIO41" s="532"/>
      <c r="GIP41" s="532"/>
      <c r="GIQ41" s="532"/>
      <c r="GIR41" s="532"/>
      <c r="GIS41" s="532"/>
      <c r="GIT41" s="532"/>
      <c r="GIU41" s="532"/>
      <c r="GIV41" s="532"/>
      <c r="GIW41" s="532"/>
      <c r="GIX41" s="532"/>
      <c r="GIY41" s="532"/>
      <c r="GIZ41" s="532"/>
      <c r="GJA41" s="532"/>
      <c r="GJB41" s="532"/>
      <c r="GJC41" s="532"/>
      <c r="GJD41" s="532"/>
      <c r="GJE41" s="532"/>
      <c r="GJF41" s="532"/>
      <c r="GJG41" s="532"/>
      <c r="GJH41" s="532"/>
      <c r="GJI41" s="532"/>
      <c r="GJJ41" s="532"/>
      <c r="GJK41" s="532"/>
      <c r="GJL41" s="532"/>
      <c r="GJM41" s="532"/>
      <c r="GJN41" s="532"/>
      <c r="GJO41" s="532"/>
      <c r="GJP41" s="532"/>
      <c r="GJQ41" s="532"/>
      <c r="GJR41" s="532"/>
      <c r="GJS41" s="532"/>
      <c r="GJT41" s="532"/>
      <c r="GJU41" s="532"/>
      <c r="GJV41" s="532"/>
      <c r="GJW41" s="532"/>
      <c r="GJX41" s="532"/>
      <c r="GJY41" s="532"/>
      <c r="GJZ41" s="532"/>
      <c r="GKA41" s="532"/>
      <c r="GKB41" s="532"/>
      <c r="GKC41" s="532"/>
      <c r="GKD41" s="532"/>
      <c r="GKE41" s="532"/>
      <c r="GKF41" s="532"/>
      <c r="GKG41" s="532"/>
      <c r="GKH41" s="532"/>
      <c r="GKI41" s="532"/>
      <c r="GKJ41" s="532"/>
      <c r="GKK41" s="532"/>
      <c r="GKL41" s="532"/>
      <c r="GKM41" s="532"/>
      <c r="GKN41" s="532"/>
      <c r="GKO41" s="532"/>
      <c r="GKP41" s="532"/>
      <c r="GKQ41" s="532"/>
      <c r="GKR41" s="532"/>
      <c r="GKS41" s="532"/>
      <c r="GKT41" s="532"/>
      <c r="GKU41" s="532"/>
      <c r="GKV41" s="532"/>
      <c r="GKW41" s="532"/>
      <c r="GKX41" s="532"/>
      <c r="GKY41" s="532"/>
      <c r="GKZ41" s="532"/>
      <c r="GLA41" s="532"/>
      <c r="GLB41" s="532"/>
      <c r="GLC41" s="532"/>
      <c r="GLD41" s="532"/>
      <c r="GLE41" s="532"/>
      <c r="GLF41" s="532"/>
      <c r="GLG41" s="532"/>
      <c r="GLH41" s="532"/>
      <c r="GLI41" s="532"/>
      <c r="GLJ41" s="532"/>
      <c r="GLK41" s="532"/>
      <c r="GLL41" s="532"/>
      <c r="GLM41" s="532"/>
      <c r="GLN41" s="532"/>
      <c r="GLO41" s="532"/>
      <c r="GLP41" s="532"/>
      <c r="GLQ41" s="532"/>
      <c r="GLR41" s="532"/>
      <c r="GLS41" s="532"/>
      <c r="GLT41" s="532"/>
      <c r="GLU41" s="532"/>
      <c r="GLV41" s="532"/>
      <c r="GLW41" s="532"/>
      <c r="GLX41" s="532"/>
      <c r="GLY41" s="532"/>
      <c r="GLZ41" s="532"/>
      <c r="GMA41" s="532"/>
      <c r="GMB41" s="532"/>
      <c r="GMC41" s="532"/>
      <c r="GMD41" s="532"/>
      <c r="GME41" s="532"/>
      <c r="GMF41" s="532"/>
      <c r="GMG41" s="532"/>
      <c r="GMH41" s="532"/>
      <c r="GMI41" s="532"/>
      <c r="GMJ41" s="532"/>
      <c r="GMK41" s="532"/>
      <c r="GML41" s="532"/>
      <c r="GMM41" s="532"/>
      <c r="GMN41" s="532"/>
      <c r="GMO41" s="532"/>
      <c r="GMP41" s="532"/>
      <c r="GMQ41" s="532"/>
      <c r="GMR41" s="532"/>
      <c r="GMS41" s="532"/>
      <c r="GMT41" s="532"/>
      <c r="GMU41" s="532"/>
      <c r="GMV41" s="532"/>
      <c r="GMW41" s="532"/>
      <c r="GMX41" s="532"/>
      <c r="GMY41" s="532"/>
      <c r="GMZ41" s="532"/>
      <c r="GNA41" s="532"/>
      <c r="GNB41" s="532"/>
      <c r="GNC41" s="532"/>
      <c r="GND41" s="532"/>
      <c r="GNE41" s="532"/>
      <c r="GNF41" s="532"/>
      <c r="GNG41" s="532"/>
      <c r="GNH41" s="532"/>
      <c r="GNI41" s="532"/>
      <c r="GNJ41" s="532"/>
      <c r="GNK41" s="532"/>
      <c r="GNL41" s="532"/>
      <c r="GNM41" s="532"/>
      <c r="GNN41" s="532"/>
      <c r="GNO41" s="532"/>
      <c r="GNP41" s="532"/>
      <c r="GNQ41" s="532"/>
      <c r="GNR41" s="532"/>
      <c r="GNS41" s="532"/>
      <c r="GNT41" s="532"/>
      <c r="GNU41" s="532"/>
      <c r="GNV41" s="532"/>
      <c r="GNW41" s="532"/>
      <c r="GNX41" s="532"/>
      <c r="GNY41" s="532"/>
      <c r="GNZ41" s="532"/>
      <c r="GOA41" s="532"/>
      <c r="GOB41" s="532"/>
      <c r="GOC41" s="532"/>
      <c r="GOD41" s="532"/>
      <c r="GOE41" s="532"/>
      <c r="GOF41" s="532"/>
      <c r="GOG41" s="532"/>
      <c r="GOH41" s="532"/>
      <c r="GOI41" s="532"/>
      <c r="GOJ41" s="532"/>
      <c r="GOK41" s="532"/>
      <c r="GOL41" s="532"/>
      <c r="GOM41" s="532"/>
      <c r="GON41" s="532"/>
      <c r="GOO41" s="532"/>
      <c r="GOP41" s="532"/>
      <c r="GOQ41" s="532"/>
      <c r="GOR41" s="532"/>
      <c r="GOS41" s="532"/>
      <c r="GOT41" s="532"/>
      <c r="GOU41" s="532"/>
      <c r="GOV41" s="532"/>
      <c r="GOW41" s="532"/>
      <c r="GOX41" s="532"/>
      <c r="GOY41" s="532"/>
      <c r="GOZ41" s="532"/>
      <c r="GPA41" s="532"/>
      <c r="GPB41" s="532"/>
      <c r="GPC41" s="532"/>
      <c r="GPD41" s="532"/>
      <c r="GPE41" s="532"/>
      <c r="GPF41" s="532"/>
      <c r="GPG41" s="532"/>
      <c r="GPH41" s="532"/>
      <c r="GPI41" s="532"/>
      <c r="GPJ41" s="532"/>
      <c r="GPK41" s="532"/>
      <c r="GPL41" s="532"/>
      <c r="GPM41" s="532"/>
      <c r="GPN41" s="532"/>
      <c r="GPO41" s="532"/>
      <c r="GPP41" s="532"/>
      <c r="GPQ41" s="532"/>
      <c r="GPR41" s="532"/>
      <c r="GPS41" s="532"/>
      <c r="GPT41" s="532"/>
      <c r="GPU41" s="532"/>
      <c r="GPV41" s="532"/>
      <c r="GPW41" s="532"/>
      <c r="GPX41" s="532"/>
      <c r="GPY41" s="532"/>
      <c r="GPZ41" s="532"/>
      <c r="GQA41" s="532"/>
      <c r="GQB41" s="532"/>
      <c r="GQC41" s="532"/>
      <c r="GQD41" s="532"/>
      <c r="GQE41" s="532"/>
      <c r="GQF41" s="532"/>
      <c r="GQG41" s="532"/>
      <c r="GQH41" s="532"/>
      <c r="GQI41" s="532"/>
      <c r="GQJ41" s="532"/>
      <c r="GQK41" s="532"/>
      <c r="GQL41" s="532"/>
      <c r="GQM41" s="532"/>
      <c r="GQN41" s="532"/>
      <c r="GQO41" s="532"/>
      <c r="GQP41" s="532"/>
      <c r="GQQ41" s="532"/>
      <c r="GQR41" s="532"/>
      <c r="GQS41" s="532"/>
      <c r="GQT41" s="532"/>
      <c r="GQU41" s="532"/>
      <c r="GQV41" s="532"/>
      <c r="GQW41" s="532"/>
      <c r="GQX41" s="532"/>
      <c r="GQY41" s="532"/>
      <c r="GQZ41" s="532"/>
      <c r="GRA41" s="532"/>
      <c r="GRB41" s="532"/>
      <c r="GRC41" s="532"/>
      <c r="GRD41" s="532"/>
      <c r="GRE41" s="532"/>
      <c r="GRF41" s="532"/>
      <c r="GRG41" s="532"/>
      <c r="GRH41" s="532"/>
      <c r="GRI41" s="532"/>
      <c r="GRJ41" s="532"/>
      <c r="GRK41" s="532"/>
      <c r="GRL41" s="532"/>
      <c r="GRM41" s="532"/>
      <c r="GRN41" s="532"/>
      <c r="GRO41" s="532"/>
      <c r="GRP41" s="532"/>
      <c r="GRQ41" s="532"/>
      <c r="GRR41" s="532"/>
      <c r="GRS41" s="532"/>
      <c r="GRT41" s="532"/>
      <c r="GRU41" s="532"/>
      <c r="GRV41" s="532"/>
      <c r="GRW41" s="532"/>
      <c r="GRX41" s="532"/>
      <c r="GRY41" s="532"/>
      <c r="GRZ41" s="532"/>
      <c r="GSA41" s="532"/>
      <c r="GSB41" s="532"/>
      <c r="GSC41" s="532"/>
      <c r="GSD41" s="532"/>
      <c r="GSE41" s="532"/>
      <c r="GSF41" s="532"/>
      <c r="GSG41" s="532"/>
      <c r="GSH41" s="532"/>
      <c r="GSI41" s="532"/>
      <c r="GSJ41" s="532"/>
      <c r="GSK41" s="532"/>
      <c r="GSL41" s="532"/>
      <c r="GSM41" s="532"/>
      <c r="GSN41" s="532"/>
      <c r="GSO41" s="532"/>
      <c r="GSP41" s="532"/>
      <c r="GSQ41" s="532"/>
      <c r="GSR41" s="532"/>
      <c r="GSS41" s="532"/>
      <c r="GST41" s="532"/>
      <c r="GSU41" s="532"/>
      <c r="GSV41" s="532"/>
      <c r="GSW41" s="532"/>
      <c r="GSX41" s="532"/>
      <c r="GSY41" s="532"/>
      <c r="GSZ41" s="532"/>
      <c r="GTA41" s="532"/>
      <c r="GTB41" s="532"/>
      <c r="GTC41" s="532"/>
      <c r="GTD41" s="532"/>
      <c r="GTE41" s="532"/>
      <c r="GTF41" s="532"/>
      <c r="GTG41" s="532"/>
      <c r="GTH41" s="532"/>
      <c r="GTI41" s="532"/>
      <c r="GTJ41" s="532"/>
      <c r="GTK41" s="532"/>
      <c r="GTL41" s="532"/>
      <c r="GTM41" s="532"/>
      <c r="GTN41" s="532"/>
      <c r="GTO41" s="532"/>
      <c r="GTP41" s="532"/>
      <c r="GTQ41" s="532"/>
      <c r="GTR41" s="532"/>
      <c r="GTS41" s="532"/>
      <c r="GTT41" s="532"/>
      <c r="GTU41" s="532"/>
      <c r="GTV41" s="532"/>
      <c r="GTW41" s="532"/>
      <c r="GTX41" s="532"/>
      <c r="GTY41" s="532"/>
      <c r="GTZ41" s="532"/>
      <c r="GUA41" s="532"/>
      <c r="GUB41" s="532"/>
      <c r="GUC41" s="532"/>
      <c r="GUD41" s="532"/>
      <c r="GUE41" s="532"/>
      <c r="GUF41" s="532"/>
      <c r="GUG41" s="532"/>
      <c r="GUH41" s="532"/>
      <c r="GUI41" s="532"/>
      <c r="GUJ41" s="532"/>
      <c r="GUK41" s="532"/>
      <c r="GUL41" s="532"/>
      <c r="GUM41" s="532"/>
      <c r="GUN41" s="532"/>
      <c r="GUO41" s="532"/>
      <c r="GUP41" s="532"/>
      <c r="GUQ41" s="532"/>
      <c r="GUR41" s="532"/>
      <c r="GUS41" s="532"/>
      <c r="GUT41" s="532"/>
      <c r="GUU41" s="532"/>
      <c r="GUV41" s="532"/>
      <c r="GUW41" s="532"/>
      <c r="GUX41" s="532"/>
      <c r="GUY41" s="532"/>
      <c r="GUZ41" s="532"/>
      <c r="GVA41" s="532"/>
      <c r="GVB41" s="532"/>
      <c r="GVC41" s="532"/>
      <c r="GVD41" s="532"/>
      <c r="GVE41" s="532"/>
      <c r="GVF41" s="532"/>
      <c r="GVG41" s="532"/>
      <c r="GVH41" s="532"/>
      <c r="GVI41" s="532"/>
      <c r="GVJ41" s="532"/>
      <c r="GVK41" s="532"/>
      <c r="GVL41" s="532"/>
      <c r="GVM41" s="532"/>
      <c r="GVN41" s="532"/>
      <c r="GVO41" s="532"/>
      <c r="GVP41" s="532"/>
      <c r="GVQ41" s="532"/>
      <c r="GVR41" s="532"/>
      <c r="GVS41" s="532"/>
      <c r="GVT41" s="532"/>
      <c r="GVU41" s="532"/>
      <c r="GVV41" s="532"/>
      <c r="GVW41" s="532"/>
      <c r="GVX41" s="532"/>
      <c r="GVY41" s="532"/>
      <c r="GVZ41" s="532"/>
      <c r="GWA41" s="532"/>
      <c r="GWB41" s="532"/>
      <c r="GWC41" s="532"/>
      <c r="GWD41" s="532"/>
      <c r="GWE41" s="532"/>
      <c r="GWF41" s="532"/>
      <c r="GWG41" s="532"/>
      <c r="GWH41" s="532"/>
      <c r="GWI41" s="532"/>
      <c r="GWJ41" s="532"/>
      <c r="GWK41" s="532"/>
      <c r="GWL41" s="532"/>
      <c r="GWM41" s="532"/>
      <c r="GWN41" s="532"/>
      <c r="GWO41" s="532"/>
      <c r="GWP41" s="532"/>
      <c r="GWQ41" s="532"/>
      <c r="GWR41" s="532"/>
      <c r="GWS41" s="532"/>
      <c r="GWT41" s="532"/>
      <c r="GWU41" s="532"/>
      <c r="GWV41" s="532"/>
      <c r="GWW41" s="532"/>
      <c r="GWX41" s="532"/>
      <c r="GWY41" s="532"/>
      <c r="GWZ41" s="532"/>
      <c r="GXA41" s="532"/>
      <c r="GXB41" s="532"/>
      <c r="GXC41" s="532"/>
      <c r="GXD41" s="532"/>
      <c r="GXE41" s="532"/>
      <c r="GXF41" s="532"/>
      <c r="GXG41" s="532"/>
      <c r="GXH41" s="532"/>
      <c r="GXI41" s="532"/>
      <c r="GXJ41" s="532"/>
      <c r="GXK41" s="532"/>
      <c r="GXL41" s="532"/>
      <c r="GXM41" s="532"/>
      <c r="GXN41" s="532"/>
      <c r="GXO41" s="532"/>
      <c r="GXP41" s="532"/>
      <c r="GXQ41" s="532"/>
      <c r="GXR41" s="532"/>
      <c r="GXS41" s="532"/>
      <c r="GXT41" s="532"/>
      <c r="GXU41" s="532"/>
      <c r="GXV41" s="532"/>
      <c r="GXW41" s="532"/>
      <c r="GXX41" s="532"/>
      <c r="GXY41" s="532"/>
      <c r="GXZ41" s="532"/>
      <c r="GYA41" s="532"/>
      <c r="GYB41" s="532"/>
      <c r="GYC41" s="532"/>
      <c r="GYD41" s="532"/>
      <c r="GYE41" s="532"/>
      <c r="GYF41" s="532"/>
      <c r="GYG41" s="532"/>
      <c r="GYH41" s="532"/>
      <c r="GYI41" s="532"/>
      <c r="GYJ41" s="532"/>
      <c r="GYK41" s="532"/>
      <c r="GYL41" s="532"/>
      <c r="GYM41" s="532"/>
      <c r="GYN41" s="532"/>
      <c r="GYO41" s="532"/>
      <c r="GYP41" s="532"/>
      <c r="GYQ41" s="532"/>
      <c r="GYR41" s="532"/>
      <c r="GYS41" s="532"/>
      <c r="GYT41" s="532"/>
      <c r="GYU41" s="532"/>
      <c r="GYV41" s="532"/>
      <c r="GYW41" s="532"/>
      <c r="GYX41" s="532"/>
      <c r="GYY41" s="532"/>
      <c r="GYZ41" s="532"/>
      <c r="GZA41" s="532"/>
      <c r="GZB41" s="532"/>
      <c r="GZC41" s="532"/>
      <c r="GZD41" s="532"/>
      <c r="GZE41" s="532"/>
      <c r="GZF41" s="532"/>
      <c r="GZG41" s="532"/>
      <c r="GZH41" s="532"/>
      <c r="GZI41" s="532"/>
      <c r="GZJ41" s="532"/>
      <c r="GZK41" s="532"/>
      <c r="GZL41" s="532"/>
      <c r="GZM41" s="532"/>
      <c r="GZN41" s="532"/>
      <c r="GZO41" s="532"/>
      <c r="GZP41" s="532"/>
      <c r="GZQ41" s="532"/>
      <c r="GZR41" s="532"/>
      <c r="GZS41" s="532"/>
      <c r="GZT41" s="532"/>
      <c r="GZU41" s="532"/>
      <c r="GZV41" s="532"/>
      <c r="GZW41" s="532"/>
      <c r="GZX41" s="532"/>
      <c r="GZY41" s="532"/>
      <c r="GZZ41" s="532"/>
      <c r="HAA41" s="532"/>
      <c r="HAB41" s="532"/>
      <c r="HAC41" s="532"/>
      <c r="HAD41" s="532"/>
      <c r="HAE41" s="532"/>
      <c r="HAF41" s="532"/>
      <c r="HAG41" s="532"/>
      <c r="HAH41" s="532"/>
      <c r="HAI41" s="532"/>
      <c r="HAJ41" s="532"/>
      <c r="HAK41" s="532"/>
      <c r="HAL41" s="532"/>
      <c r="HAM41" s="532"/>
      <c r="HAN41" s="532"/>
      <c r="HAO41" s="532"/>
      <c r="HAP41" s="532"/>
      <c r="HAQ41" s="532"/>
      <c r="HAR41" s="532"/>
      <c r="HAS41" s="532"/>
      <c r="HAT41" s="532"/>
      <c r="HAU41" s="532"/>
      <c r="HAV41" s="532"/>
      <c r="HAW41" s="532"/>
      <c r="HAX41" s="532"/>
      <c r="HAY41" s="532"/>
      <c r="HAZ41" s="532"/>
      <c r="HBA41" s="532"/>
      <c r="HBB41" s="532"/>
      <c r="HBC41" s="532"/>
      <c r="HBD41" s="532"/>
      <c r="HBE41" s="532"/>
      <c r="HBF41" s="532"/>
      <c r="HBG41" s="532"/>
      <c r="HBH41" s="532"/>
      <c r="HBI41" s="532"/>
      <c r="HBJ41" s="532"/>
      <c r="HBK41" s="532"/>
      <c r="HBL41" s="532"/>
      <c r="HBM41" s="532"/>
      <c r="HBN41" s="532"/>
      <c r="HBO41" s="532"/>
      <c r="HBP41" s="532"/>
      <c r="HBQ41" s="532"/>
      <c r="HBR41" s="532"/>
      <c r="HBS41" s="532"/>
      <c r="HBT41" s="532"/>
      <c r="HBU41" s="532"/>
      <c r="HBV41" s="532"/>
      <c r="HBW41" s="532"/>
      <c r="HBX41" s="532"/>
      <c r="HBY41" s="532"/>
      <c r="HBZ41" s="532"/>
      <c r="HCA41" s="532"/>
      <c r="HCB41" s="532"/>
      <c r="HCC41" s="532"/>
      <c r="HCD41" s="532"/>
      <c r="HCE41" s="532"/>
      <c r="HCF41" s="532"/>
      <c r="HCG41" s="532"/>
      <c r="HCH41" s="532"/>
      <c r="HCI41" s="532"/>
      <c r="HCJ41" s="532"/>
      <c r="HCK41" s="532"/>
      <c r="HCL41" s="532"/>
      <c r="HCM41" s="532"/>
      <c r="HCN41" s="532"/>
      <c r="HCO41" s="532"/>
      <c r="HCP41" s="532"/>
      <c r="HCQ41" s="532"/>
      <c r="HCR41" s="532"/>
      <c r="HCS41" s="532"/>
      <c r="HCT41" s="532"/>
      <c r="HCU41" s="532"/>
      <c r="HCV41" s="532"/>
      <c r="HCW41" s="532"/>
      <c r="HCX41" s="532"/>
      <c r="HCY41" s="532"/>
      <c r="HCZ41" s="532"/>
      <c r="HDA41" s="532"/>
      <c r="HDB41" s="532"/>
      <c r="HDC41" s="532"/>
      <c r="HDD41" s="532"/>
      <c r="HDE41" s="532"/>
      <c r="HDF41" s="532"/>
      <c r="HDG41" s="532"/>
      <c r="HDH41" s="532"/>
      <c r="HDI41" s="532"/>
      <c r="HDJ41" s="532"/>
      <c r="HDK41" s="532"/>
      <c r="HDL41" s="532"/>
      <c r="HDM41" s="532"/>
      <c r="HDN41" s="532"/>
      <c r="HDO41" s="532"/>
      <c r="HDP41" s="532"/>
      <c r="HDQ41" s="532"/>
      <c r="HDR41" s="532"/>
      <c r="HDS41" s="532"/>
      <c r="HDT41" s="532"/>
      <c r="HDU41" s="532"/>
      <c r="HDV41" s="532"/>
      <c r="HDW41" s="532"/>
      <c r="HDX41" s="532"/>
      <c r="HDY41" s="532"/>
      <c r="HDZ41" s="532"/>
      <c r="HEA41" s="532"/>
      <c r="HEB41" s="532"/>
      <c r="HEC41" s="532"/>
      <c r="HED41" s="532"/>
      <c r="HEE41" s="532"/>
      <c r="HEF41" s="532"/>
      <c r="HEG41" s="532"/>
      <c r="HEH41" s="532"/>
      <c r="HEI41" s="532"/>
      <c r="HEJ41" s="532"/>
      <c r="HEK41" s="532"/>
      <c r="HEL41" s="532"/>
      <c r="HEM41" s="532"/>
      <c r="HEN41" s="532"/>
      <c r="HEO41" s="532"/>
      <c r="HEP41" s="532"/>
      <c r="HEQ41" s="532"/>
      <c r="HER41" s="532"/>
      <c r="HES41" s="532"/>
      <c r="HET41" s="532"/>
      <c r="HEU41" s="532"/>
      <c r="HEV41" s="532"/>
      <c r="HEW41" s="532"/>
      <c r="HEX41" s="532"/>
      <c r="HEY41" s="532"/>
      <c r="HEZ41" s="532"/>
      <c r="HFA41" s="532"/>
      <c r="HFB41" s="532"/>
      <c r="HFC41" s="532"/>
      <c r="HFD41" s="532"/>
      <c r="HFE41" s="532"/>
      <c r="HFF41" s="532"/>
      <c r="HFG41" s="532"/>
      <c r="HFH41" s="532"/>
      <c r="HFI41" s="532"/>
      <c r="HFJ41" s="532"/>
      <c r="HFK41" s="532"/>
      <c r="HFL41" s="532"/>
      <c r="HFM41" s="532"/>
      <c r="HFN41" s="532"/>
      <c r="HFO41" s="532"/>
      <c r="HFP41" s="532"/>
      <c r="HFQ41" s="532"/>
      <c r="HFR41" s="532"/>
      <c r="HFS41" s="532"/>
      <c r="HFT41" s="532"/>
      <c r="HFU41" s="532"/>
      <c r="HFV41" s="532"/>
      <c r="HFW41" s="532"/>
      <c r="HFX41" s="532"/>
      <c r="HFY41" s="532"/>
      <c r="HFZ41" s="532"/>
      <c r="HGA41" s="532"/>
      <c r="HGB41" s="532"/>
      <c r="HGC41" s="532"/>
      <c r="HGD41" s="532"/>
      <c r="HGE41" s="532"/>
      <c r="HGF41" s="532"/>
      <c r="HGG41" s="532"/>
      <c r="HGH41" s="532"/>
      <c r="HGI41" s="532"/>
      <c r="HGJ41" s="532"/>
      <c r="HGK41" s="532"/>
      <c r="HGL41" s="532"/>
      <c r="HGM41" s="532"/>
      <c r="HGN41" s="532"/>
      <c r="HGO41" s="532"/>
      <c r="HGP41" s="532"/>
      <c r="HGQ41" s="532"/>
      <c r="HGR41" s="532"/>
      <c r="HGS41" s="532"/>
      <c r="HGT41" s="532"/>
      <c r="HGU41" s="532"/>
      <c r="HGV41" s="532"/>
      <c r="HGW41" s="532"/>
      <c r="HGX41" s="532"/>
      <c r="HGY41" s="532"/>
      <c r="HGZ41" s="532"/>
      <c r="HHA41" s="532"/>
      <c r="HHB41" s="532"/>
      <c r="HHC41" s="532"/>
      <c r="HHD41" s="532"/>
      <c r="HHE41" s="532"/>
      <c r="HHF41" s="532"/>
      <c r="HHG41" s="532"/>
      <c r="HHH41" s="532"/>
      <c r="HHI41" s="532"/>
      <c r="HHJ41" s="532"/>
      <c r="HHK41" s="532"/>
      <c r="HHL41" s="532"/>
      <c r="HHM41" s="532"/>
      <c r="HHN41" s="532"/>
      <c r="HHO41" s="532"/>
      <c r="HHP41" s="532"/>
      <c r="HHQ41" s="532"/>
      <c r="HHR41" s="532"/>
      <c r="HHS41" s="532"/>
      <c r="HHT41" s="532"/>
      <c r="HHU41" s="532"/>
      <c r="HHV41" s="532"/>
      <c r="HHW41" s="532"/>
      <c r="HHX41" s="532"/>
      <c r="HHY41" s="532"/>
      <c r="HHZ41" s="532"/>
      <c r="HIA41" s="532"/>
      <c r="HIB41" s="532"/>
      <c r="HIC41" s="532"/>
      <c r="HID41" s="532"/>
      <c r="HIE41" s="532"/>
      <c r="HIF41" s="532"/>
      <c r="HIG41" s="532"/>
      <c r="HIH41" s="532"/>
      <c r="HII41" s="532"/>
      <c r="HIJ41" s="532"/>
      <c r="HIK41" s="532"/>
      <c r="HIL41" s="532"/>
      <c r="HIM41" s="532"/>
      <c r="HIN41" s="532"/>
      <c r="HIO41" s="532"/>
      <c r="HIP41" s="532"/>
      <c r="HIQ41" s="532"/>
      <c r="HIR41" s="532"/>
      <c r="HIS41" s="532"/>
      <c r="HIT41" s="532"/>
      <c r="HIU41" s="532"/>
      <c r="HIV41" s="532"/>
      <c r="HIW41" s="532"/>
      <c r="HIX41" s="532"/>
      <c r="HIY41" s="532"/>
      <c r="HIZ41" s="532"/>
      <c r="HJA41" s="532"/>
      <c r="HJB41" s="532"/>
      <c r="HJC41" s="532"/>
      <c r="HJD41" s="532"/>
      <c r="HJE41" s="532"/>
      <c r="HJF41" s="532"/>
      <c r="HJG41" s="532"/>
      <c r="HJH41" s="532"/>
      <c r="HJI41" s="532"/>
      <c r="HJJ41" s="532"/>
      <c r="HJK41" s="532"/>
      <c r="HJL41" s="532"/>
      <c r="HJM41" s="532"/>
      <c r="HJN41" s="532"/>
      <c r="HJO41" s="532"/>
      <c r="HJP41" s="532"/>
      <c r="HJQ41" s="532"/>
      <c r="HJR41" s="532"/>
      <c r="HJS41" s="532"/>
      <c r="HJT41" s="532"/>
      <c r="HJU41" s="532"/>
      <c r="HJV41" s="532"/>
      <c r="HJW41" s="532"/>
      <c r="HJX41" s="532"/>
      <c r="HJY41" s="532"/>
      <c r="HJZ41" s="532"/>
      <c r="HKA41" s="532"/>
      <c r="HKB41" s="532"/>
      <c r="HKC41" s="532"/>
      <c r="HKD41" s="532"/>
      <c r="HKE41" s="532"/>
      <c r="HKF41" s="532"/>
      <c r="HKG41" s="532"/>
      <c r="HKH41" s="532"/>
      <c r="HKI41" s="532"/>
      <c r="HKJ41" s="532"/>
      <c r="HKK41" s="532"/>
      <c r="HKL41" s="532"/>
      <c r="HKM41" s="532"/>
      <c r="HKN41" s="532"/>
      <c r="HKO41" s="532"/>
      <c r="HKP41" s="532"/>
      <c r="HKQ41" s="532"/>
      <c r="HKR41" s="532"/>
      <c r="HKS41" s="532"/>
      <c r="HKT41" s="532"/>
      <c r="HKU41" s="532"/>
      <c r="HKV41" s="532"/>
      <c r="HKW41" s="532"/>
      <c r="HKX41" s="532"/>
      <c r="HKY41" s="532"/>
      <c r="HKZ41" s="532"/>
      <c r="HLA41" s="532"/>
      <c r="HLB41" s="532"/>
      <c r="HLC41" s="532"/>
      <c r="HLD41" s="532"/>
      <c r="HLE41" s="532"/>
      <c r="HLF41" s="532"/>
      <c r="HLG41" s="532"/>
      <c r="HLH41" s="532"/>
      <c r="HLI41" s="532"/>
      <c r="HLJ41" s="532"/>
      <c r="HLK41" s="532"/>
      <c r="HLL41" s="532"/>
      <c r="HLM41" s="532"/>
      <c r="HLN41" s="532"/>
      <c r="HLO41" s="532"/>
      <c r="HLP41" s="532"/>
      <c r="HLQ41" s="532"/>
      <c r="HLR41" s="532"/>
      <c r="HLS41" s="532"/>
      <c r="HLT41" s="532"/>
      <c r="HLU41" s="532"/>
      <c r="HLV41" s="532"/>
      <c r="HLW41" s="532"/>
      <c r="HLX41" s="532"/>
      <c r="HLY41" s="532"/>
      <c r="HLZ41" s="532"/>
      <c r="HMA41" s="532"/>
      <c r="HMB41" s="532"/>
      <c r="HMC41" s="532"/>
      <c r="HMD41" s="532"/>
      <c r="HME41" s="532"/>
      <c r="HMF41" s="532"/>
      <c r="HMG41" s="532"/>
      <c r="HMH41" s="532"/>
      <c r="HMI41" s="532"/>
      <c r="HMJ41" s="532"/>
      <c r="HMK41" s="532"/>
      <c r="HML41" s="532"/>
      <c r="HMM41" s="532"/>
      <c r="HMN41" s="532"/>
      <c r="HMO41" s="532"/>
      <c r="HMP41" s="532"/>
      <c r="HMQ41" s="532"/>
      <c r="HMR41" s="532"/>
      <c r="HMS41" s="532"/>
      <c r="HMT41" s="532"/>
      <c r="HMU41" s="532"/>
      <c r="HMV41" s="532"/>
      <c r="HMW41" s="532"/>
      <c r="HMX41" s="532"/>
      <c r="HMY41" s="532"/>
      <c r="HMZ41" s="532"/>
      <c r="HNA41" s="532"/>
      <c r="HNB41" s="532"/>
      <c r="HNC41" s="532"/>
      <c r="HND41" s="532"/>
      <c r="HNE41" s="532"/>
      <c r="HNF41" s="532"/>
      <c r="HNG41" s="532"/>
      <c r="HNH41" s="532"/>
      <c r="HNI41" s="532"/>
      <c r="HNJ41" s="532"/>
      <c r="HNK41" s="532"/>
      <c r="HNL41" s="532"/>
      <c r="HNM41" s="532"/>
      <c r="HNN41" s="532"/>
      <c r="HNO41" s="532"/>
      <c r="HNP41" s="532"/>
      <c r="HNQ41" s="532"/>
      <c r="HNR41" s="532"/>
      <c r="HNS41" s="532"/>
      <c r="HNT41" s="532"/>
      <c r="HNU41" s="532"/>
      <c r="HNV41" s="532"/>
      <c r="HNW41" s="532"/>
      <c r="HNX41" s="532"/>
      <c r="HNY41" s="532"/>
      <c r="HNZ41" s="532"/>
      <c r="HOA41" s="532"/>
      <c r="HOB41" s="532"/>
      <c r="HOC41" s="532"/>
      <c r="HOD41" s="532"/>
      <c r="HOE41" s="532"/>
      <c r="HOF41" s="532"/>
      <c r="HOG41" s="532"/>
      <c r="HOH41" s="532"/>
      <c r="HOI41" s="532"/>
      <c r="HOJ41" s="532"/>
      <c r="HOK41" s="532"/>
      <c r="HOL41" s="532"/>
      <c r="HOM41" s="532"/>
      <c r="HON41" s="532"/>
      <c r="HOO41" s="532"/>
      <c r="HOP41" s="532"/>
      <c r="HOQ41" s="532"/>
      <c r="HOR41" s="532"/>
      <c r="HOS41" s="532"/>
      <c r="HOT41" s="532"/>
      <c r="HOU41" s="532"/>
      <c r="HOV41" s="532"/>
      <c r="HOW41" s="532"/>
      <c r="HOX41" s="532"/>
      <c r="HOY41" s="532"/>
      <c r="HOZ41" s="532"/>
      <c r="HPA41" s="532"/>
      <c r="HPB41" s="532"/>
      <c r="HPC41" s="532"/>
      <c r="HPD41" s="532"/>
      <c r="HPE41" s="532"/>
      <c r="HPF41" s="532"/>
      <c r="HPG41" s="532"/>
      <c r="HPH41" s="532"/>
      <c r="HPI41" s="532"/>
      <c r="HPJ41" s="532"/>
      <c r="HPK41" s="532"/>
      <c r="HPL41" s="532"/>
      <c r="HPM41" s="532"/>
      <c r="HPN41" s="532"/>
      <c r="HPO41" s="532"/>
      <c r="HPP41" s="532"/>
      <c r="HPQ41" s="532"/>
      <c r="HPR41" s="532"/>
      <c r="HPS41" s="532"/>
      <c r="HPT41" s="532"/>
      <c r="HPU41" s="532"/>
      <c r="HPV41" s="532"/>
      <c r="HPW41" s="532"/>
      <c r="HPX41" s="532"/>
      <c r="HPY41" s="532"/>
      <c r="HPZ41" s="532"/>
      <c r="HQA41" s="532"/>
      <c r="HQB41" s="532"/>
      <c r="HQC41" s="532"/>
      <c r="HQD41" s="532"/>
      <c r="HQE41" s="532"/>
      <c r="HQF41" s="532"/>
      <c r="HQG41" s="532"/>
      <c r="HQH41" s="532"/>
      <c r="HQI41" s="532"/>
      <c r="HQJ41" s="532"/>
      <c r="HQK41" s="532"/>
      <c r="HQL41" s="532"/>
      <c r="HQM41" s="532"/>
      <c r="HQN41" s="532"/>
      <c r="HQO41" s="532"/>
      <c r="HQP41" s="532"/>
      <c r="HQQ41" s="532"/>
      <c r="HQR41" s="532"/>
      <c r="HQS41" s="532"/>
      <c r="HQT41" s="532"/>
      <c r="HQU41" s="532"/>
      <c r="HQV41" s="532"/>
      <c r="HQW41" s="532"/>
      <c r="HQX41" s="532"/>
      <c r="HQY41" s="532"/>
      <c r="HQZ41" s="532"/>
      <c r="HRA41" s="532"/>
      <c r="HRB41" s="532"/>
      <c r="HRC41" s="532"/>
      <c r="HRD41" s="532"/>
      <c r="HRE41" s="532"/>
      <c r="HRF41" s="532"/>
      <c r="HRG41" s="532"/>
      <c r="HRH41" s="532"/>
      <c r="HRI41" s="532"/>
      <c r="HRJ41" s="532"/>
      <c r="HRK41" s="532"/>
      <c r="HRL41" s="532"/>
      <c r="HRM41" s="532"/>
      <c r="HRN41" s="532"/>
      <c r="HRO41" s="532"/>
      <c r="HRP41" s="532"/>
      <c r="HRQ41" s="532"/>
      <c r="HRR41" s="532"/>
      <c r="HRS41" s="532"/>
      <c r="HRT41" s="532"/>
      <c r="HRU41" s="532"/>
      <c r="HRV41" s="532"/>
      <c r="HRW41" s="532"/>
      <c r="HRX41" s="532"/>
      <c r="HRY41" s="532"/>
      <c r="HRZ41" s="532"/>
      <c r="HSA41" s="532"/>
      <c r="HSB41" s="532"/>
      <c r="HSC41" s="532"/>
      <c r="HSD41" s="532"/>
      <c r="HSE41" s="532"/>
      <c r="HSF41" s="532"/>
      <c r="HSG41" s="532"/>
      <c r="HSH41" s="532"/>
      <c r="HSI41" s="532"/>
      <c r="HSJ41" s="532"/>
      <c r="HSK41" s="532"/>
      <c r="HSL41" s="532"/>
      <c r="HSM41" s="532"/>
      <c r="HSN41" s="532"/>
      <c r="HSO41" s="532"/>
      <c r="HSP41" s="532"/>
      <c r="HSQ41" s="532"/>
      <c r="HSR41" s="532"/>
      <c r="HSS41" s="532"/>
      <c r="HST41" s="532"/>
      <c r="HSU41" s="532"/>
      <c r="HSV41" s="532"/>
      <c r="HSW41" s="532"/>
      <c r="HSX41" s="532"/>
      <c r="HSY41" s="532"/>
      <c r="HSZ41" s="532"/>
      <c r="HTA41" s="532"/>
      <c r="HTB41" s="532"/>
      <c r="HTC41" s="532"/>
      <c r="HTD41" s="532"/>
      <c r="HTE41" s="532"/>
      <c r="HTF41" s="532"/>
      <c r="HTG41" s="532"/>
      <c r="HTH41" s="532"/>
      <c r="HTI41" s="532"/>
      <c r="HTJ41" s="532"/>
      <c r="HTK41" s="532"/>
      <c r="HTL41" s="532"/>
      <c r="HTM41" s="532"/>
      <c r="HTN41" s="532"/>
      <c r="HTO41" s="532"/>
      <c r="HTP41" s="532"/>
      <c r="HTQ41" s="532"/>
      <c r="HTR41" s="532"/>
      <c r="HTS41" s="532"/>
      <c r="HTT41" s="532"/>
      <c r="HTU41" s="532"/>
      <c r="HTV41" s="532"/>
      <c r="HTW41" s="532"/>
      <c r="HTX41" s="532"/>
      <c r="HTY41" s="532"/>
      <c r="HTZ41" s="532"/>
      <c r="HUA41" s="532"/>
      <c r="HUB41" s="532"/>
      <c r="HUC41" s="532"/>
      <c r="HUD41" s="532"/>
      <c r="HUE41" s="532"/>
      <c r="HUF41" s="532"/>
      <c r="HUG41" s="532"/>
      <c r="HUH41" s="532"/>
      <c r="HUI41" s="532"/>
      <c r="HUJ41" s="532"/>
      <c r="HUK41" s="532"/>
      <c r="HUL41" s="532"/>
      <c r="HUM41" s="532"/>
      <c r="HUN41" s="532"/>
      <c r="HUO41" s="532"/>
      <c r="HUP41" s="532"/>
      <c r="HUQ41" s="532"/>
      <c r="HUR41" s="532"/>
      <c r="HUS41" s="532"/>
      <c r="HUT41" s="532"/>
      <c r="HUU41" s="532"/>
      <c r="HUV41" s="532"/>
      <c r="HUW41" s="532"/>
      <c r="HUX41" s="532"/>
      <c r="HUY41" s="532"/>
      <c r="HUZ41" s="532"/>
      <c r="HVA41" s="532"/>
      <c r="HVB41" s="532"/>
      <c r="HVC41" s="532"/>
      <c r="HVD41" s="532"/>
      <c r="HVE41" s="532"/>
      <c r="HVF41" s="532"/>
      <c r="HVG41" s="532"/>
      <c r="HVH41" s="532"/>
      <c r="HVI41" s="532"/>
      <c r="HVJ41" s="532"/>
      <c r="HVK41" s="532"/>
      <c r="HVL41" s="532"/>
      <c r="HVM41" s="532"/>
      <c r="HVN41" s="532"/>
      <c r="HVO41" s="532"/>
      <c r="HVP41" s="532"/>
      <c r="HVQ41" s="532"/>
      <c r="HVR41" s="532"/>
      <c r="HVS41" s="532"/>
      <c r="HVT41" s="532"/>
      <c r="HVU41" s="532"/>
      <c r="HVV41" s="532"/>
      <c r="HVW41" s="532"/>
      <c r="HVX41" s="532"/>
      <c r="HVY41" s="532"/>
      <c r="HVZ41" s="532"/>
      <c r="HWA41" s="532"/>
      <c r="HWB41" s="532"/>
      <c r="HWC41" s="532"/>
      <c r="HWD41" s="532"/>
      <c r="HWE41" s="532"/>
      <c r="HWF41" s="532"/>
      <c r="HWG41" s="532"/>
      <c r="HWH41" s="532"/>
      <c r="HWI41" s="532"/>
      <c r="HWJ41" s="532"/>
      <c r="HWK41" s="532"/>
      <c r="HWL41" s="532"/>
      <c r="HWM41" s="532"/>
      <c r="HWN41" s="532"/>
      <c r="HWO41" s="532"/>
      <c r="HWP41" s="532"/>
      <c r="HWQ41" s="532"/>
      <c r="HWR41" s="532"/>
      <c r="HWS41" s="532"/>
      <c r="HWT41" s="532"/>
      <c r="HWU41" s="532"/>
      <c r="HWV41" s="532"/>
      <c r="HWW41" s="532"/>
      <c r="HWX41" s="532"/>
      <c r="HWY41" s="532"/>
      <c r="HWZ41" s="532"/>
      <c r="HXA41" s="532"/>
      <c r="HXB41" s="532"/>
      <c r="HXC41" s="532"/>
      <c r="HXD41" s="532"/>
      <c r="HXE41" s="532"/>
      <c r="HXF41" s="532"/>
      <c r="HXG41" s="532"/>
      <c r="HXH41" s="532"/>
      <c r="HXI41" s="532"/>
      <c r="HXJ41" s="532"/>
      <c r="HXK41" s="532"/>
      <c r="HXL41" s="532"/>
      <c r="HXM41" s="532"/>
      <c r="HXN41" s="532"/>
      <c r="HXO41" s="532"/>
      <c r="HXP41" s="532"/>
      <c r="HXQ41" s="532"/>
      <c r="HXR41" s="532"/>
      <c r="HXS41" s="532"/>
      <c r="HXT41" s="532"/>
      <c r="HXU41" s="532"/>
      <c r="HXV41" s="532"/>
      <c r="HXW41" s="532"/>
      <c r="HXX41" s="532"/>
      <c r="HXY41" s="532"/>
      <c r="HXZ41" s="532"/>
      <c r="HYA41" s="532"/>
      <c r="HYB41" s="532"/>
      <c r="HYC41" s="532"/>
      <c r="HYD41" s="532"/>
      <c r="HYE41" s="532"/>
      <c r="HYF41" s="532"/>
      <c r="HYG41" s="532"/>
      <c r="HYH41" s="532"/>
      <c r="HYI41" s="532"/>
      <c r="HYJ41" s="532"/>
      <c r="HYK41" s="532"/>
      <c r="HYL41" s="532"/>
      <c r="HYM41" s="532"/>
      <c r="HYN41" s="532"/>
      <c r="HYO41" s="532"/>
      <c r="HYP41" s="532"/>
      <c r="HYQ41" s="532"/>
      <c r="HYR41" s="532"/>
      <c r="HYS41" s="532"/>
      <c r="HYT41" s="532"/>
      <c r="HYU41" s="532"/>
      <c r="HYV41" s="532"/>
      <c r="HYW41" s="532"/>
      <c r="HYX41" s="532"/>
      <c r="HYY41" s="532"/>
      <c r="HYZ41" s="532"/>
      <c r="HZA41" s="532"/>
      <c r="HZB41" s="532"/>
      <c r="HZC41" s="532"/>
      <c r="HZD41" s="532"/>
      <c r="HZE41" s="532"/>
      <c r="HZF41" s="532"/>
      <c r="HZG41" s="532"/>
      <c r="HZH41" s="532"/>
      <c r="HZI41" s="532"/>
      <c r="HZJ41" s="532"/>
      <c r="HZK41" s="532"/>
      <c r="HZL41" s="532"/>
      <c r="HZM41" s="532"/>
      <c r="HZN41" s="532"/>
      <c r="HZO41" s="532"/>
      <c r="HZP41" s="532"/>
      <c r="HZQ41" s="532"/>
      <c r="HZR41" s="532"/>
      <c r="HZS41" s="532"/>
      <c r="HZT41" s="532"/>
      <c r="HZU41" s="532"/>
      <c r="HZV41" s="532"/>
      <c r="HZW41" s="532"/>
      <c r="HZX41" s="532"/>
      <c r="HZY41" s="532"/>
      <c r="HZZ41" s="532"/>
      <c r="IAA41" s="532"/>
      <c r="IAB41" s="532"/>
      <c r="IAC41" s="532"/>
      <c r="IAD41" s="532"/>
      <c r="IAE41" s="532"/>
      <c r="IAF41" s="532"/>
      <c r="IAG41" s="532"/>
      <c r="IAH41" s="532"/>
      <c r="IAI41" s="532"/>
      <c r="IAJ41" s="532"/>
      <c r="IAK41" s="532"/>
      <c r="IAL41" s="532"/>
      <c r="IAM41" s="532"/>
      <c r="IAN41" s="532"/>
      <c r="IAO41" s="532"/>
      <c r="IAP41" s="532"/>
      <c r="IAQ41" s="532"/>
      <c r="IAR41" s="532"/>
      <c r="IAS41" s="532"/>
      <c r="IAT41" s="532"/>
      <c r="IAU41" s="532"/>
      <c r="IAV41" s="532"/>
      <c r="IAW41" s="532"/>
      <c r="IAX41" s="532"/>
      <c r="IAY41" s="532"/>
      <c r="IAZ41" s="532"/>
      <c r="IBA41" s="532"/>
      <c r="IBB41" s="532"/>
      <c r="IBC41" s="532"/>
      <c r="IBD41" s="532"/>
      <c r="IBE41" s="532"/>
      <c r="IBF41" s="532"/>
      <c r="IBG41" s="532"/>
      <c r="IBH41" s="532"/>
      <c r="IBI41" s="532"/>
      <c r="IBJ41" s="532"/>
      <c r="IBK41" s="532"/>
      <c r="IBL41" s="532"/>
      <c r="IBM41" s="532"/>
      <c r="IBN41" s="532"/>
      <c r="IBO41" s="532"/>
      <c r="IBP41" s="532"/>
      <c r="IBQ41" s="532"/>
      <c r="IBR41" s="532"/>
      <c r="IBS41" s="532"/>
      <c r="IBT41" s="532"/>
      <c r="IBU41" s="532"/>
      <c r="IBV41" s="532"/>
      <c r="IBW41" s="532"/>
      <c r="IBX41" s="532"/>
      <c r="IBY41" s="532"/>
      <c r="IBZ41" s="532"/>
      <c r="ICA41" s="532"/>
      <c r="ICB41" s="532"/>
      <c r="ICC41" s="532"/>
      <c r="ICD41" s="532"/>
      <c r="ICE41" s="532"/>
      <c r="ICF41" s="532"/>
      <c r="ICG41" s="532"/>
      <c r="ICH41" s="532"/>
      <c r="ICI41" s="532"/>
      <c r="ICJ41" s="532"/>
      <c r="ICK41" s="532"/>
      <c r="ICL41" s="532"/>
      <c r="ICM41" s="532"/>
      <c r="ICN41" s="532"/>
      <c r="ICO41" s="532"/>
      <c r="ICP41" s="532"/>
      <c r="ICQ41" s="532"/>
      <c r="ICR41" s="532"/>
      <c r="ICS41" s="532"/>
      <c r="ICT41" s="532"/>
      <c r="ICU41" s="532"/>
      <c r="ICV41" s="532"/>
      <c r="ICW41" s="532"/>
      <c r="ICX41" s="532"/>
      <c r="ICY41" s="532"/>
      <c r="ICZ41" s="532"/>
      <c r="IDA41" s="532"/>
      <c r="IDB41" s="532"/>
      <c r="IDC41" s="532"/>
      <c r="IDD41" s="532"/>
      <c r="IDE41" s="532"/>
      <c r="IDF41" s="532"/>
      <c r="IDG41" s="532"/>
      <c r="IDH41" s="532"/>
      <c r="IDI41" s="532"/>
      <c r="IDJ41" s="532"/>
      <c r="IDK41" s="532"/>
      <c r="IDL41" s="532"/>
      <c r="IDM41" s="532"/>
      <c r="IDN41" s="532"/>
      <c r="IDO41" s="532"/>
      <c r="IDP41" s="532"/>
      <c r="IDQ41" s="532"/>
      <c r="IDR41" s="532"/>
      <c r="IDS41" s="532"/>
      <c r="IDT41" s="532"/>
      <c r="IDU41" s="532"/>
      <c r="IDV41" s="532"/>
      <c r="IDW41" s="532"/>
      <c r="IDX41" s="532"/>
      <c r="IDY41" s="532"/>
      <c r="IDZ41" s="532"/>
      <c r="IEA41" s="532"/>
      <c r="IEB41" s="532"/>
      <c r="IEC41" s="532"/>
      <c r="IED41" s="532"/>
      <c r="IEE41" s="532"/>
      <c r="IEF41" s="532"/>
      <c r="IEG41" s="532"/>
      <c r="IEH41" s="532"/>
      <c r="IEI41" s="532"/>
      <c r="IEJ41" s="532"/>
      <c r="IEK41" s="532"/>
      <c r="IEL41" s="532"/>
      <c r="IEM41" s="532"/>
      <c r="IEN41" s="532"/>
      <c r="IEO41" s="532"/>
      <c r="IEP41" s="532"/>
      <c r="IEQ41" s="532"/>
      <c r="IER41" s="532"/>
      <c r="IES41" s="532"/>
      <c r="IET41" s="532"/>
      <c r="IEU41" s="532"/>
      <c r="IEV41" s="532"/>
      <c r="IEW41" s="532"/>
      <c r="IEX41" s="532"/>
      <c r="IEY41" s="532"/>
      <c r="IEZ41" s="532"/>
      <c r="IFA41" s="532"/>
      <c r="IFB41" s="532"/>
      <c r="IFC41" s="532"/>
      <c r="IFD41" s="532"/>
      <c r="IFE41" s="532"/>
      <c r="IFF41" s="532"/>
      <c r="IFG41" s="532"/>
      <c r="IFH41" s="532"/>
      <c r="IFI41" s="532"/>
      <c r="IFJ41" s="532"/>
      <c r="IFK41" s="532"/>
      <c r="IFL41" s="532"/>
      <c r="IFM41" s="532"/>
      <c r="IFN41" s="532"/>
      <c r="IFO41" s="532"/>
      <c r="IFP41" s="532"/>
      <c r="IFQ41" s="532"/>
      <c r="IFR41" s="532"/>
      <c r="IFS41" s="532"/>
      <c r="IFT41" s="532"/>
      <c r="IFU41" s="532"/>
      <c r="IFV41" s="532"/>
      <c r="IFW41" s="532"/>
      <c r="IFX41" s="532"/>
      <c r="IFY41" s="532"/>
      <c r="IFZ41" s="532"/>
      <c r="IGA41" s="532"/>
      <c r="IGB41" s="532"/>
      <c r="IGC41" s="532"/>
      <c r="IGD41" s="532"/>
      <c r="IGE41" s="532"/>
      <c r="IGF41" s="532"/>
      <c r="IGG41" s="532"/>
      <c r="IGH41" s="532"/>
      <c r="IGI41" s="532"/>
      <c r="IGJ41" s="532"/>
      <c r="IGK41" s="532"/>
      <c r="IGL41" s="532"/>
      <c r="IGM41" s="532"/>
      <c r="IGN41" s="532"/>
      <c r="IGO41" s="532"/>
      <c r="IGP41" s="532"/>
      <c r="IGQ41" s="532"/>
      <c r="IGR41" s="532"/>
      <c r="IGS41" s="532"/>
      <c r="IGT41" s="532"/>
      <c r="IGU41" s="532"/>
      <c r="IGV41" s="532"/>
      <c r="IGW41" s="532"/>
      <c r="IGX41" s="532"/>
      <c r="IGY41" s="532"/>
      <c r="IGZ41" s="532"/>
      <c r="IHA41" s="532"/>
      <c r="IHB41" s="532"/>
      <c r="IHC41" s="532"/>
      <c r="IHD41" s="532"/>
      <c r="IHE41" s="532"/>
      <c r="IHF41" s="532"/>
      <c r="IHG41" s="532"/>
      <c r="IHH41" s="532"/>
      <c r="IHI41" s="532"/>
      <c r="IHJ41" s="532"/>
      <c r="IHK41" s="532"/>
      <c r="IHL41" s="532"/>
      <c r="IHM41" s="532"/>
      <c r="IHN41" s="532"/>
      <c r="IHO41" s="532"/>
      <c r="IHP41" s="532"/>
      <c r="IHQ41" s="532"/>
      <c r="IHR41" s="532"/>
      <c r="IHS41" s="532"/>
      <c r="IHT41" s="532"/>
      <c r="IHU41" s="532"/>
      <c r="IHV41" s="532"/>
      <c r="IHW41" s="532"/>
      <c r="IHX41" s="532"/>
      <c r="IHY41" s="532"/>
      <c r="IHZ41" s="532"/>
      <c r="IIA41" s="532"/>
      <c r="IIB41" s="532"/>
      <c r="IIC41" s="532"/>
      <c r="IID41" s="532"/>
      <c r="IIE41" s="532"/>
      <c r="IIF41" s="532"/>
      <c r="IIG41" s="532"/>
      <c r="IIH41" s="532"/>
      <c r="III41" s="532"/>
      <c r="IIJ41" s="532"/>
      <c r="IIK41" s="532"/>
      <c r="IIL41" s="532"/>
      <c r="IIM41" s="532"/>
      <c r="IIN41" s="532"/>
      <c r="IIO41" s="532"/>
      <c r="IIP41" s="532"/>
      <c r="IIQ41" s="532"/>
      <c r="IIR41" s="532"/>
      <c r="IIS41" s="532"/>
      <c r="IIT41" s="532"/>
      <c r="IIU41" s="532"/>
      <c r="IIV41" s="532"/>
      <c r="IIW41" s="532"/>
      <c r="IIX41" s="532"/>
      <c r="IIY41" s="532"/>
      <c r="IIZ41" s="532"/>
      <c r="IJA41" s="532"/>
      <c r="IJB41" s="532"/>
      <c r="IJC41" s="532"/>
      <c r="IJD41" s="532"/>
      <c r="IJE41" s="532"/>
      <c r="IJF41" s="532"/>
      <c r="IJG41" s="532"/>
      <c r="IJH41" s="532"/>
      <c r="IJI41" s="532"/>
      <c r="IJJ41" s="532"/>
      <c r="IJK41" s="532"/>
      <c r="IJL41" s="532"/>
      <c r="IJM41" s="532"/>
      <c r="IJN41" s="532"/>
      <c r="IJO41" s="532"/>
      <c r="IJP41" s="532"/>
      <c r="IJQ41" s="532"/>
      <c r="IJR41" s="532"/>
      <c r="IJS41" s="532"/>
      <c r="IJT41" s="532"/>
      <c r="IJU41" s="532"/>
      <c r="IJV41" s="532"/>
      <c r="IJW41" s="532"/>
      <c r="IJX41" s="532"/>
      <c r="IJY41" s="532"/>
      <c r="IJZ41" s="532"/>
      <c r="IKA41" s="532"/>
      <c r="IKB41" s="532"/>
      <c r="IKC41" s="532"/>
      <c r="IKD41" s="532"/>
      <c r="IKE41" s="532"/>
      <c r="IKF41" s="532"/>
      <c r="IKG41" s="532"/>
      <c r="IKH41" s="532"/>
      <c r="IKI41" s="532"/>
      <c r="IKJ41" s="532"/>
      <c r="IKK41" s="532"/>
      <c r="IKL41" s="532"/>
      <c r="IKM41" s="532"/>
      <c r="IKN41" s="532"/>
      <c r="IKO41" s="532"/>
      <c r="IKP41" s="532"/>
      <c r="IKQ41" s="532"/>
      <c r="IKR41" s="532"/>
      <c r="IKS41" s="532"/>
      <c r="IKT41" s="532"/>
      <c r="IKU41" s="532"/>
      <c r="IKV41" s="532"/>
      <c r="IKW41" s="532"/>
      <c r="IKX41" s="532"/>
      <c r="IKY41" s="532"/>
      <c r="IKZ41" s="532"/>
      <c r="ILA41" s="532"/>
      <c r="ILB41" s="532"/>
      <c r="ILC41" s="532"/>
      <c r="ILD41" s="532"/>
      <c r="ILE41" s="532"/>
      <c r="ILF41" s="532"/>
      <c r="ILG41" s="532"/>
      <c r="ILH41" s="532"/>
      <c r="ILI41" s="532"/>
      <c r="ILJ41" s="532"/>
      <c r="ILK41" s="532"/>
      <c r="ILL41" s="532"/>
      <c r="ILM41" s="532"/>
      <c r="ILN41" s="532"/>
      <c r="ILO41" s="532"/>
      <c r="ILP41" s="532"/>
      <c r="ILQ41" s="532"/>
      <c r="ILR41" s="532"/>
      <c r="ILS41" s="532"/>
      <c r="ILT41" s="532"/>
      <c r="ILU41" s="532"/>
      <c r="ILV41" s="532"/>
      <c r="ILW41" s="532"/>
      <c r="ILX41" s="532"/>
      <c r="ILY41" s="532"/>
      <c r="ILZ41" s="532"/>
      <c r="IMA41" s="532"/>
      <c r="IMB41" s="532"/>
      <c r="IMC41" s="532"/>
      <c r="IMD41" s="532"/>
      <c r="IME41" s="532"/>
      <c r="IMF41" s="532"/>
      <c r="IMG41" s="532"/>
      <c r="IMH41" s="532"/>
      <c r="IMI41" s="532"/>
      <c r="IMJ41" s="532"/>
      <c r="IMK41" s="532"/>
      <c r="IML41" s="532"/>
      <c r="IMM41" s="532"/>
      <c r="IMN41" s="532"/>
      <c r="IMO41" s="532"/>
      <c r="IMP41" s="532"/>
      <c r="IMQ41" s="532"/>
      <c r="IMR41" s="532"/>
      <c r="IMS41" s="532"/>
      <c r="IMT41" s="532"/>
      <c r="IMU41" s="532"/>
      <c r="IMV41" s="532"/>
      <c r="IMW41" s="532"/>
      <c r="IMX41" s="532"/>
      <c r="IMY41" s="532"/>
      <c r="IMZ41" s="532"/>
      <c r="INA41" s="532"/>
      <c r="INB41" s="532"/>
      <c r="INC41" s="532"/>
      <c r="IND41" s="532"/>
      <c r="INE41" s="532"/>
      <c r="INF41" s="532"/>
      <c r="ING41" s="532"/>
      <c r="INH41" s="532"/>
      <c r="INI41" s="532"/>
      <c r="INJ41" s="532"/>
      <c r="INK41" s="532"/>
      <c r="INL41" s="532"/>
      <c r="INM41" s="532"/>
      <c r="INN41" s="532"/>
      <c r="INO41" s="532"/>
      <c r="INP41" s="532"/>
      <c r="INQ41" s="532"/>
      <c r="INR41" s="532"/>
      <c r="INS41" s="532"/>
      <c r="INT41" s="532"/>
      <c r="INU41" s="532"/>
      <c r="INV41" s="532"/>
      <c r="INW41" s="532"/>
      <c r="INX41" s="532"/>
      <c r="INY41" s="532"/>
      <c r="INZ41" s="532"/>
      <c r="IOA41" s="532"/>
      <c r="IOB41" s="532"/>
      <c r="IOC41" s="532"/>
      <c r="IOD41" s="532"/>
      <c r="IOE41" s="532"/>
      <c r="IOF41" s="532"/>
      <c r="IOG41" s="532"/>
      <c r="IOH41" s="532"/>
      <c r="IOI41" s="532"/>
      <c r="IOJ41" s="532"/>
      <c r="IOK41" s="532"/>
      <c r="IOL41" s="532"/>
      <c r="IOM41" s="532"/>
      <c r="ION41" s="532"/>
      <c r="IOO41" s="532"/>
      <c r="IOP41" s="532"/>
      <c r="IOQ41" s="532"/>
      <c r="IOR41" s="532"/>
      <c r="IOS41" s="532"/>
      <c r="IOT41" s="532"/>
      <c r="IOU41" s="532"/>
      <c r="IOV41" s="532"/>
      <c r="IOW41" s="532"/>
      <c r="IOX41" s="532"/>
      <c r="IOY41" s="532"/>
      <c r="IOZ41" s="532"/>
      <c r="IPA41" s="532"/>
      <c r="IPB41" s="532"/>
      <c r="IPC41" s="532"/>
      <c r="IPD41" s="532"/>
      <c r="IPE41" s="532"/>
      <c r="IPF41" s="532"/>
      <c r="IPG41" s="532"/>
      <c r="IPH41" s="532"/>
      <c r="IPI41" s="532"/>
      <c r="IPJ41" s="532"/>
      <c r="IPK41" s="532"/>
      <c r="IPL41" s="532"/>
      <c r="IPM41" s="532"/>
      <c r="IPN41" s="532"/>
      <c r="IPO41" s="532"/>
      <c r="IPP41" s="532"/>
      <c r="IPQ41" s="532"/>
      <c r="IPR41" s="532"/>
      <c r="IPS41" s="532"/>
      <c r="IPT41" s="532"/>
      <c r="IPU41" s="532"/>
      <c r="IPV41" s="532"/>
      <c r="IPW41" s="532"/>
      <c r="IPX41" s="532"/>
      <c r="IPY41" s="532"/>
      <c r="IPZ41" s="532"/>
      <c r="IQA41" s="532"/>
      <c r="IQB41" s="532"/>
      <c r="IQC41" s="532"/>
      <c r="IQD41" s="532"/>
      <c r="IQE41" s="532"/>
      <c r="IQF41" s="532"/>
      <c r="IQG41" s="532"/>
      <c r="IQH41" s="532"/>
      <c r="IQI41" s="532"/>
      <c r="IQJ41" s="532"/>
      <c r="IQK41" s="532"/>
      <c r="IQL41" s="532"/>
      <c r="IQM41" s="532"/>
      <c r="IQN41" s="532"/>
      <c r="IQO41" s="532"/>
      <c r="IQP41" s="532"/>
      <c r="IQQ41" s="532"/>
      <c r="IQR41" s="532"/>
      <c r="IQS41" s="532"/>
      <c r="IQT41" s="532"/>
      <c r="IQU41" s="532"/>
      <c r="IQV41" s="532"/>
      <c r="IQW41" s="532"/>
      <c r="IQX41" s="532"/>
      <c r="IQY41" s="532"/>
      <c r="IQZ41" s="532"/>
      <c r="IRA41" s="532"/>
      <c r="IRB41" s="532"/>
      <c r="IRC41" s="532"/>
      <c r="IRD41" s="532"/>
      <c r="IRE41" s="532"/>
      <c r="IRF41" s="532"/>
      <c r="IRG41" s="532"/>
      <c r="IRH41" s="532"/>
      <c r="IRI41" s="532"/>
      <c r="IRJ41" s="532"/>
      <c r="IRK41" s="532"/>
      <c r="IRL41" s="532"/>
      <c r="IRM41" s="532"/>
      <c r="IRN41" s="532"/>
      <c r="IRO41" s="532"/>
      <c r="IRP41" s="532"/>
      <c r="IRQ41" s="532"/>
      <c r="IRR41" s="532"/>
      <c r="IRS41" s="532"/>
      <c r="IRT41" s="532"/>
      <c r="IRU41" s="532"/>
      <c r="IRV41" s="532"/>
      <c r="IRW41" s="532"/>
      <c r="IRX41" s="532"/>
      <c r="IRY41" s="532"/>
      <c r="IRZ41" s="532"/>
      <c r="ISA41" s="532"/>
      <c r="ISB41" s="532"/>
      <c r="ISC41" s="532"/>
      <c r="ISD41" s="532"/>
      <c r="ISE41" s="532"/>
      <c r="ISF41" s="532"/>
      <c r="ISG41" s="532"/>
      <c r="ISH41" s="532"/>
      <c r="ISI41" s="532"/>
      <c r="ISJ41" s="532"/>
      <c r="ISK41" s="532"/>
      <c r="ISL41" s="532"/>
      <c r="ISM41" s="532"/>
      <c r="ISN41" s="532"/>
      <c r="ISO41" s="532"/>
      <c r="ISP41" s="532"/>
      <c r="ISQ41" s="532"/>
      <c r="ISR41" s="532"/>
      <c r="ISS41" s="532"/>
      <c r="IST41" s="532"/>
      <c r="ISU41" s="532"/>
      <c r="ISV41" s="532"/>
      <c r="ISW41" s="532"/>
      <c r="ISX41" s="532"/>
      <c r="ISY41" s="532"/>
      <c r="ISZ41" s="532"/>
      <c r="ITA41" s="532"/>
      <c r="ITB41" s="532"/>
      <c r="ITC41" s="532"/>
      <c r="ITD41" s="532"/>
      <c r="ITE41" s="532"/>
      <c r="ITF41" s="532"/>
      <c r="ITG41" s="532"/>
      <c r="ITH41" s="532"/>
      <c r="ITI41" s="532"/>
      <c r="ITJ41" s="532"/>
      <c r="ITK41" s="532"/>
      <c r="ITL41" s="532"/>
      <c r="ITM41" s="532"/>
      <c r="ITN41" s="532"/>
      <c r="ITO41" s="532"/>
      <c r="ITP41" s="532"/>
      <c r="ITQ41" s="532"/>
      <c r="ITR41" s="532"/>
      <c r="ITS41" s="532"/>
      <c r="ITT41" s="532"/>
      <c r="ITU41" s="532"/>
      <c r="ITV41" s="532"/>
      <c r="ITW41" s="532"/>
      <c r="ITX41" s="532"/>
      <c r="ITY41" s="532"/>
      <c r="ITZ41" s="532"/>
      <c r="IUA41" s="532"/>
      <c r="IUB41" s="532"/>
      <c r="IUC41" s="532"/>
      <c r="IUD41" s="532"/>
      <c r="IUE41" s="532"/>
      <c r="IUF41" s="532"/>
      <c r="IUG41" s="532"/>
      <c r="IUH41" s="532"/>
      <c r="IUI41" s="532"/>
      <c r="IUJ41" s="532"/>
      <c r="IUK41" s="532"/>
      <c r="IUL41" s="532"/>
      <c r="IUM41" s="532"/>
      <c r="IUN41" s="532"/>
      <c r="IUO41" s="532"/>
      <c r="IUP41" s="532"/>
      <c r="IUQ41" s="532"/>
      <c r="IUR41" s="532"/>
      <c r="IUS41" s="532"/>
      <c r="IUT41" s="532"/>
      <c r="IUU41" s="532"/>
      <c r="IUV41" s="532"/>
      <c r="IUW41" s="532"/>
      <c r="IUX41" s="532"/>
      <c r="IUY41" s="532"/>
      <c r="IUZ41" s="532"/>
      <c r="IVA41" s="532"/>
      <c r="IVB41" s="532"/>
      <c r="IVC41" s="532"/>
      <c r="IVD41" s="532"/>
      <c r="IVE41" s="532"/>
      <c r="IVF41" s="532"/>
      <c r="IVG41" s="532"/>
      <c r="IVH41" s="532"/>
      <c r="IVI41" s="532"/>
      <c r="IVJ41" s="532"/>
      <c r="IVK41" s="532"/>
      <c r="IVL41" s="532"/>
      <c r="IVM41" s="532"/>
      <c r="IVN41" s="532"/>
      <c r="IVO41" s="532"/>
      <c r="IVP41" s="532"/>
      <c r="IVQ41" s="532"/>
      <c r="IVR41" s="532"/>
      <c r="IVS41" s="532"/>
      <c r="IVT41" s="532"/>
      <c r="IVU41" s="532"/>
      <c r="IVV41" s="532"/>
      <c r="IVW41" s="532"/>
      <c r="IVX41" s="532"/>
      <c r="IVY41" s="532"/>
      <c r="IVZ41" s="532"/>
      <c r="IWA41" s="532"/>
      <c r="IWB41" s="532"/>
      <c r="IWC41" s="532"/>
      <c r="IWD41" s="532"/>
      <c r="IWE41" s="532"/>
      <c r="IWF41" s="532"/>
      <c r="IWG41" s="532"/>
      <c r="IWH41" s="532"/>
      <c r="IWI41" s="532"/>
      <c r="IWJ41" s="532"/>
      <c r="IWK41" s="532"/>
      <c r="IWL41" s="532"/>
      <c r="IWM41" s="532"/>
      <c r="IWN41" s="532"/>
      <c r="IWO41" s="532"/>
      <c r="IWP41" s="532"/>
      <c r="IWQ41" s="532"/>
      <c r="IWR41" s="532"/>
      <c r="IWS41" s="532"/>
      <c r="IWT41" s="532"/>
      <c r="IWU41" s="532"/>
      <c r="IWV41" s="532"/>
      <c r="IWW41" s="532"/>
      <c r="IWX41" s="532"/>
      <c r="IWY41" s="532"/>
      <c r="IWZ41" s="532"/>
      <c r="IXA41" s="532"/>
      <c r="IXB41" s="532"/>
      <c r="IXC41" s="532"/>
      <c r="IXD41" s="532"/>
      <c r="IXE41" s="532"/>
      <c r="IXF41" s="532"/>
      <c r="IXG41" s="532"/>
      <c r="IXH41" s="532"/>
      <c r="IXI41" s="532"/>
      <c r="IXJ41" s="532"/>
      <c r="IXK41" s="532"/>
      <c r="IXL41" s="532"/>
      <c r="IXM41" s="532"/>
      <c r="IXN41" s="532"/>
      <c r="IXO41" s="532"/>
      <c r="IXP41" s="532"/>
      <c r="IXQ41" s="532"/>
      <c r="IXR41" s="532"/>
      <c r="IXS41" s="532"/>
      <c r="IXT41" s="532"/>
      <c r="IXU41" s="532"/>
      <c r="IXV41" s="532"/>
      <c r="IXW41" s="532"/>
      <c r="IXX41" s="532"/>
      <c r="IXY41" s="532"/>
      <c r="IXZ41" s="532"/>
      <c r="IYA41" s="532"/>
      <c r="IYB41" s="532"/>
      <c r="IYC41" s="532"/>
      <c r="IYD41" s="532"/>
      <c r="IYE41" s="532"/>
      <c r="IYF41" s="532"/>
      <c r="IYG41" s="532"/>
      <c r="IYH41" s="532"/>
      <c r="IYI41" s="532"/>
      <c r="IYJ41" s="532"/>
      <c r="IYK41" s="532"/>
      <c r="IYL41" s="532"/>
      <c r="IYM41" s="532"/>
      <c r="IYN41" s="532"/>
      <c r="IYO41" s="532"/>
      <c r="IYP41" s="532"/>
      <c r="IYQ41" s="532"/>
      <c r="IYR41" s="532"/>
      <c r="IYS41" s="532"/>
      <c r="IYT41" s="532"/>
      <c r="IYU41" s="532"/>
      <c r="IYV41" s="532"/>
      <c r="IYW41" s="532"/>
      <c r="IYX41" s="532"/>
      <c r="IYY41" s="532"/>
      <c r="IYZ41" s="532"/>
      <c r="IZA41" s="532"/>
      <c r="IZB41" s="532"/>
      <c r="IZC41" s="532"/>
      <c r="IZD41" s="532"/>
      <c r="IZE41" s="532"/>
      <c r="IZF41" s="532"/>
      <c r="IZG41" s="532"/>
      <c r="IZH41" s="532"/>
      <c r="IZI41" s="532"/>
      <c r="IZJ41" s="532"/>
      <c r="IZK41" s="532"/>
      <c r="IZL41" s="532"/>
      <c r="IZM41" s="532"/>
      <c r="IZN41" s="532"/>
      <c r="IZO41" s="532"/>
      <c r="IZP41" s="532"/>
      <c r="IZQ41" s="532"/>
      <c r="IZR41" s="532"/>
      <c r="IZS41" s="532"/>
      <c r="IZT41" s="532"/>
      <c r="IZU41" s="532"/>
      <c r="IZV41" s="532"/>
      <c r="IZW41" s="532"/>
      <c r="IZX41" s="532"/>
      <c r="IZY41" s="532"/>
      <c r="IZZ41" s="532"/>
      <c r="JAA41" s="532"/>
      <c r="JAB41" s="532"/>
      <c r="JAC41" s="532"/>
      <c r="JAD41" s="532"/>
      <c r="JAE41" s="532"/>
      <c r="JAF41" s="532"/>
      <c r="JAG41" s="532"/>
      <c r="JAH41" s="532"/>
      <c r="JAI41" s="532"/>
      <c r="JAJ41" s="532"/>
      <c r="JAK41" s="532"/>
      <c r="JAL41" s="532"/>
      <c r="JAM41" s="532"/>
      <c r="JAN41" s="532"/>
      <c r="JAO41" s="532"/>
      <c r="JAP41" s="532"/>
      <c r="JAQ41" s="532"/>
      <c r="JAR41" s="532"/>
      <c r="JAS41" s="532"/>
      <c r="JAT41" s="532"/>
      <c r="JAU41" s="532"/>
      <c r="JAV41" s="532"/>
      <c r="JAW41" s="532"/>
      <c r="JAX41" s="532"/>
      <c r="JAY41" s="532"/>
      <c r="JAZ41" s="532"/>
      <c r="JBA41" s="532"/>
      <c r="JBB41" s="532"/>
      <c r="JBC41" s="532"/>
      <c r="JBD41" s="532"/>
      <c r="JBE41" s="532"/>
      <c r="JBF41" s="532"/>
      <c r="JBG41" s="532"/>
      <c r="JBH41" s="532"/>
      <c r="JBI41" s="532"/>
      <c r="JBJ41" s="532"/>
      <c r="JBK41" s="532"/>
      <c r="JBL41" s="532"/>
      <c r="JBM41" s="532"/>
      <c r="JBN41" s="532"/>
      <c r="JBO41" s="532"/>
      <c r="JBP41" s="532"/>
      <c r="JBQ41" s="532"/>
      <c r="JBR41" s="532"/>
      <c r="JBS41" s="532"/>
      <c r="JBT41" s="532"/>
      <c r="JBU41" s="532"/>
      <c r="JBV41" s="532"/>
      <c r="JBW41" s="532"/>
      <c r="JBX41" s="532"/>
      <c r="JBY41" s="532"/>
      <c r="JBZ41" s="532"/>
      <c r="JCA41" s="532"/>
      <c r="JCB41" s="532"/>
      <c r="JCC41" s="532"/>
      <c r="JCD41" s="532"/>
      <c r="JCE41" s="532"/>
      <c r="JCF41" s="532"/>
      <c r="JCG41" s="532"/>
      <c r="JCH41" s="532"/>
      <c r="JCI41" s="532"/>
      <c r="JCJ41" s="532"/>
      <c r="JCK41" s="532"/>
      <c r="JCL41" s="532"/>
      <c r="JCM41" s="532"/>
      <c r="JCN41" s="532"/>
      <c r="JCO41" s="532"/>
      <c r="JCP41" s="532"/>
      <c r="JCQ41" s="532"/>
      <c r="JCR41" s="532"/>
      <c r="JCS41" s="532"/>
      <c r="JCT41" s="532"/>
      <c r="JCU41" s="532"/>
      <c r="JCV41" s="532"/>
      <c r="JCW41" s="532"/>
      <c r="JCX41" s="532"/>
      <c r="JCY41" s="532"/>
      <c r="JCZ41" s="532"/>
      <c r="JDA41" s="532"/>
      <c r="JDB41" s="532"/>
      <c r="JDC41" s="532"/>
      <c r="JDD41" s="532"/>
      <c r="JDE41" s="532"/>
      <c r="JDF41" s="532"/>
      <c r="JDG41" s="532"/>
      <c r="JDH41" s="532"/>
      <c r="JDI41" s="532"/>
      <c r="JDJ41" s="532"/>
      <c r="JDK41" s="532"/>
      <c r="JDL41" s="532"/>
      <c r="JDM41" s="532"/>
      <c r="JDN41" s="532"/>
      <c r="JDO41" s="532"/>
      <c r="JDP41" s="532"/>
      <c r="JDQ41" s="532"/>
      <c r="JDR41" s="532"/>
      <c r="JDS41" s="532"/>
      <c r="JDT41" s="532"/>
      <c r="JDU41" s="532"/>
      <c r="JDV41" s="532"/>
      <c r="JDW41" s="532"/>
      <c r="JDX41" s="532"/>
      <c r="JDY41" s="532"/>
      <c r="JDZ41" s="532"/>
      <c r="JEA41" s="532"/>
      <c r="JEB41" s="532"/>
      <c r="JEC41" s="532"/>
      <c r="JED41" s="532"/>
      <c r="JEE41" s="532"/>
      <c r="JEF41" s="532"/>
      <c r="JEG41" s="532"/>
      <c r="JEH41" s="532"/>
      <c r="JEI41" s="532"/>
      <c r="JEJ41" s="532"/>
      <c r="JEK41" s="532"/>
      <c r="JEL41" s="532"/>
      <c r="JEM41" s="532"/>
      <c r="JEN41" s="532"/>
      <c r="JEO41" s="532"/>
      <c r="JEP41" s="532"/>
      <c r="JEQ41" s="532"/>
      <c r="JER41" s="532"/>
      <c r="JES41" s="532"/>
      <c r="JET41" s="532"/>
      <c r="JEU41" s="532"/>
      <c r="JEV41" s="532"/>
      <c r="JEW41" s="532"/>
      <c r="JEX41" s="532"/>
      <c r="JEY41" s="532"/>
      <c r="JEZ41" s="532"/>
      <c r="JFA41" s="532"/>
      <c r="JFB41" s="532"/>
      <c r="JFC41" s="532"/>
      <c r="JFD41" s="532"/>
      <c r="JFE41" s="532"/>
      <c r="JFF41" s="532"/>
      <c r="JFG41" s="532"/>
      <c r="JFH41" s="532"/>
      <c r="JFI41" s="532"/>
      <c r="JFJ41" s="532"/>
      <c r="JFK41" s="532"/>
      <c r="JFL41" s="532"/>
      <c r="JFM41" s="532"/>
      <c r="JFN41" s="532"/>
      <c r="JFO41" s="532"/>
      <c r="JFP41" s="532"/>
      <c r="JFQ41" s="532"/>
      <c r="JFR41" s="532"/>
      <c r="JFS41" s="532"/>
      <c r="JFT41" s="532"/>
      <c r="JFU41" s="532"/>
      <c r="JFV41" s="532"/>
      <c r="JFW41" s="532"/>
      <c r="JFX41" s="532"/>
      <c r="JFY41" s="532"/>
      <c r="JFZ41" s="532"/>
      <c r="JGA41" s="532"/>
      <c r="JGB41" s="532"/>
      <c r="JGC41" s="532"/>
      <c r="JGD41" s="532"/>
      <c r="JGE41" s="532"/>
      <c r="JGF41" s="532"/>
      <c r="JGG41" s="532"/>
      <c r="JGH41" s="532"/>
      <c r="JGI41" s="532"/>
      <c r="JGJ41" s="532"/>
      <c r="JGK41" s="532"/>
      <c r="JGL41" s="532"/>
      <c r="JGM41" s="532"/>
      <c r="JGN41" s="532"/>
      <c r="JGO41" s="532"/>
      <c r="JGP41" s="532"/>
      <c r="JGQ41" s="532"/>
      <c r="JGR41" s="532"/>
      <c r="JGS41" s="532"/>
      <c r="JGT41" s="532"/>
      <c r="JGU41" s="532"/>
      <c r="JGV41" s="532"/>
      <c r="JGW41" s="532"/>
      <c r="JGX41" s="532"/>
      <c r="JGY41" s="532"/>
      <c r="JGZ41" s="532"/>
      <c r="JHA41" s="532"/>
      <c r="JHB41" s="532"/>
      <c r="JHC41" s="532"/>
      <c r="JHD41" s="532"/>
      <c r="JHE41" s="532"/>
      <c r="JHF41" s="532"/>
      <c r="JHG41" s="532"/>
      <c r="JHH41" s="532"/>
      <c r="JHI41" s="532"/>
      <c r="JHJ41" s="532"/>
      <c r="JHK41" s="532"/>
      <c r="JHL41" s="532"/>
      <c r="JHM41" s="532"/>
      <c r="JHN41" s="532"/>
      <c r="JHO41" s="532"/>
      <c r="JHP41" s="532"/>
      <c r="JHQ41" s="532"/>
      <c r="JHR41" s="532"/>
      <c r="JHS41" s="532"/>
      <c r="JHT41" s="532"/>
      <c r="JHU41" s="532"/>
      <c r="JHV41" s="532"/>
      <c r="JHW41" s="532"/>
      <c r="JHX41" s="532"/>
      <c r="JHY41" s="532"/>
      <c r="JHZ41" s="532"/>
      <c r="JIA41" s="532"/>
      <c r="JIB41" s="532"/>
      <c r="JIC41" s="532"/>
      <c r="JID41" s="532"/>
      <c r="JIE41" s="532"/>
      <c r="JIF41" s="532"/>
      <c r="JIG41" s="532"/>
      <c r="JIH41" s="532"/>
      <c r="JII41" s="532"/>
      <c r="JIJ41" s="532"/>
      <c r="JIK41" s="532"/>
      <c r="JIL41" s="532"/>
      <c r="JIM41" s="532"/>
      <c r="JIN41" s="532"/>
      <c r="JIO41" s="532"/>
      <c r="JIP41" s="532"/>
      <c r="JIQ41" s="532"/>
      <c r="JIR41" s="532"/>
      <c r="JIS41" s="532"/>
      <c r="JIT41" s="532"/>
      <c r="JIU41" s="532"/>
      <c r="JIV41" s="532"/>
      <c r="JIW41" s="532"/>
      <c r="JIX41" s="532"/>
      <c r="JIY41" s="532"/>
      <c r="JIZ41" s="532"/>
      <c r="JJA41" s="532"/>
      <c r="JJB41" s="532"/>
      <c r="JJC41" s="532"/>
      <c r="JJD41" s="532"/>
      <c r="JJE41" s="532"/>
      <c r="JJF41" s="532"/>
      <c r="JJG41" s="532"/>
      <c r="JJH41" s="532"/>
      <c r="JJI41" s="532"/>
      <c r="JJJ41" s="532"/>
      <c r="JJK41" s="532"/>
      <c r="JJL41" s="532"/>
      <c r="JJM41" s="532"/>
      <c r="JJN41" s="532"/>
      <c r="JJO41" s="532"/>
      <c r="JJP41" s="532"/>
      <c r="JJQ41" s="532"/>
      <c r="JJR41" s="532"/>
      <c r="JJS41" s="532"/>
      <c r="JJT41" s="532"/>
      <c r="JJU41" s="532"/>
      <c r="JJV41" s="532"/>
      <c r="JJW41" s="532"/>
      <c r="JJX41" s="532"/>
      <c r="JJY41" s="532"/>
      <c r="JJZ41" s="532"/>
      <c r="JKA41" s="532"/>
      <c r="JKB41" s="532"/>
      <c r="JKC41" s="532"/>
      <c r="JKD41" s="532"/>
      <c r="JKE41" s="532"/>
      <c r="JKF41" s="532"/>
      <c r="JKG41" s="532"/>
      <c r="JKH41" s="532"/>
      <c r="JKI41" s="532"/>
      <c r="JKJ41" s="532"/>
      <c r="JKK41" s="532"/>
      <c r="JKL41" s="532"/>
      <c r="JKM41" s="532"/>
      <c r="JKN41" s="532"/>
      <c r="JKO41" s="532"/>
      <c r="JKP41" s="532"/>
      <c r="JKQ41" s="532"/>
      <c r="JKR41" s="532"/>
      <c r="JKS41" s="532"/>
      <c r="JKT41" s="532"/>
      <c r="JKU41" s="532"/>
      <c r="JKV41" s="532"/>
      <c r="JKW41" s="532"/>
      <c r="JKX41" s="532"/>
      <c r="JKY41" s="532"/>
      <c r="JKZ41" s="532"/>
      <c r="JLA41" s="532"/>
      <c r="JLB41" s="532"/>
      <c r="JLC41" s="532"/>
      <c r="JLD41" s="532"/>
      <c r="JLE41" s="532"/>
      <c r="JLF41" s="532"/>
      <c r="JLG41" s="532"/>
      <c r="JLH41" s="532"/>
      <c r="JLI41" s="532"/>
      <c r="JLJ41" s="532"/>
      <c r="JLK41" s="532"/>
      <c r="JLL41" s="532"/>
      <c r="JLM41" s="532"/>
      <c r="JLN41" s="532"/>
      <c r="JLO41" s="532"/>
      <c r="JLP41" s="532"/>
      <c r="JLQ41" s="532"/>
      <c r="JLR41" s="532"/>
      <c r="JLS41" s="532"/>
      <c r="JLT41" s="532"/>
      <c r="JLU41" s="532"/>
      <c r="JLV41" s="532"/>
      <c r="JLW41" s="532"/>
      <c r="JLX41" s="532"/>
      <c r="JLY41" s="532"/>
      <c r="JLZ41" s="532"/>
      <c r="JMA41" s="532"/>
      <c r="JMB41" s="532"/>
      <c r="JMC41" s="532"/>
      <c r="JMD41" s="532"/>
      <c r="JME41" s="532"/>
      <c r="JMF41" s="532"/>
      <c r="JMG41" s="532"/>
      <c r="JMH41" s="532"/>
      <c r="JMI41" s="532"/>
      <c r="JMJ41" s="532"/>
      <c r="JMK41" s="532"/>
      <c r="JML41" s="532"/>
      <c r="JMM41" s="532"/>
      <c r="JMN41" s="532"/>
      <c r="JMO41" s="532"/>
      <c r="JMP41" s="532"/>
      <c r="JMQ41" s="532"/>
      <c r="JMR41" s="532"/>
      <c r="JMS41" s="532"/>
      <c r="JMT41" s="532"/>
      <c r="JMU41" s="532"/>
      <c r="JMV41" s="532"/>
      <c r="JMW41" s="532"/>
      <c r="JMX41" s="532"/>
      <c r="JMY41" s="532"/>
      <c r="JMZ41" s="532"/>
      <c r="JNA41" s="532"/>
      <c r="JNB41" s="532"/>
      <c r="JNC41" s="532"/>
      <c r="JND41" s="532"/>
      <c r="JNE41" s="532"/>
      <c r="JNF41" s="532"/>
      <c r="JNG41" s="532"/>
      <c r="JNH41" s="532"/>
      <c r="JNI41" s="532"/>
      <c r="JNJ41" s="532"/>
      <c r="JNK41" s="532"/>
      <c r="JNL41" s="532"/>
      <c r="JNM41" s="532"/>
      <c r="JNN41" s="532"/>
      <c r="JNO41" s="532"/>
      <c r="JNP41" s="532"/>
      <c r="JNQ41" s="532"/>
      <c r="JNR41" s="532"/>
      <c r="JNS41" s="532"/>
      <c r="JNT41" s="532"/>
      <c r="JNU41" s="532"/>
      <c r="JNV41" s="532"/>
      <c r="JNW41" s="532"/>
      <c r="JNX41" s="532"/>
      <c r="JNY41" s="532"/>
      <c r="JNZ41" s="532"/>
      <c r="JOA41" s="532"/>
      <c r="JOB41" s="532"/>
      <c r="JOC41" s="532"/>
      <c r="JOD41" s="532"/>
      <c r="JOE41" s="532"/>
      <c r="JOF41" s="532"/>
      <c r="JOG41" s="532"/>
      <c r="JOH41" s="532"/>
      <c r="JOI41" s="532"/>
      <c r="JOJ41" s="532"/>
      <c r="JOK41" s="532"/>
      <c r="JOL41" s="532"/>
      <c r="JOM41" s="532"/>
      <c r="JON41" s="532"/>
      <c r="JOO41" s="532"/>
      <c r="JOP41" s="532"/>
      <c r="JOQ41" s="532"/>
      <c r="JOR41" s="532"/>
      <c r="JOS41" s="532"/>
      <c r="JOT41" s="532"/>
      <c r="JOU41" s="532"/>
      <c r="JOV41" s="532"/>
      <c r="JOW41" s="532"/>
      <c r="JOX41" s="532"/>
      <c r="JOY41" s="532"/>
      <c r="JOZ41" s="532"/>
      <c r="JPA41" s="532"/>
      <c r="JPB41" s="532"/>
      <c r="JPC41" s="532"/>
      <c r="JPD41" s="532"/>
      <c r="JPE41" s="532"/>
      <c r="JPF41" s="532"/>
      <c r="JPG41" s="532"/>
      <c r="JPH41" s="532"/>
      <c r="JPI41" s="532"/>
      <c r="JPJ41" s="532"/>
      <c r="JPK41" s="532"/>
      <c r="JPL41" s="532"/>
      <c r="JPM41" s="532"/>
      <c r="JPN41" s="532"/>
      <c r="JPO41" s="532"/>
      <c r="JPP41" s="532"/>
      <c r="JPQ41" s="532"/>
      <c r="JPR41" s="532"/>
      <c r="JPS41" s="532"/>
      <c r="JPT41" s="532"/>
      <c r="JPU41" s="532"/>
      <c r="JPV41" s="532"/>
      <c r="JPW41" s="532"/>
      <c r="JPX41" s="532"/>
      <c r="JPY41" s="532"/>
      <c r="JPZ41" s="532"/>
      <c r="JQA41" s="532"/>
      <c r="JQB41" s="532"/>
      <c r="JQC41" s="532"/>
      <c r="JQD41" s="532"/>
      <c r="JQE41" s="532"/>
      <c r="JQF41" s="532"/>
      <c r="JQG41" s="532"/>
      <c r="JQH41" s="532"/>
      <c r="JQI41" s="532"/>
      <c r="JQJ41" s="532"/>
      <c r="JQK41" s="532"/>
      <c r="JQL41" s="532"/>
      <c r="JQM41" s="532"/>
      <c r="JQN41" s="532"/>
      <c r="JQO41" s="532"/>
      <c r="JQP41" s="532"/>
      <c r="JQQ41" s="532"/>
      <c r="JQR41" s="532"/>
      <c r="JQS41" s="532"/>
      <c r="JQT41" s="532"/>
      <c r="JQU41" s="532"/>
      <c r="JQV41" s="532"/>
      <c r="JQW41" s="532"/>
      <c r="JQX41" s="532"/>
      <c r="JQY41" s="532"/>
      <c r="JQZ41" s="532"/>
      <c r="JRA41" s="532"/>
      <c r="JRB41" s="532"/>
      <c r="JRC41" s="532"/>
      <c r="JRD41" s="532"/>
      <c r="JRE41" s="532"/>
      <c r="JRF41" s="532"/>
      <c r="JRG41" s="532"/>
      <c r="JRH41" s="532"/>
      <c r="JRI41" s="532"/>
      <c r="JRJ41" s="532"/>
      <c r="JRK41" s="532"/>
      <c r="JRL41" s="532"/>
      <c r="JRM41" s="532"/>
      <c r="JRN41" s="532"/>
      <c r="JRO41" s="532"/>
      <c r="JRP41" s="532"/>
      <c r="JRQ41" s="532"/>
      <c r="JRR41" s="532"/>
      <c r="JRS41" s="532"/>
      <c r="JRT41" s="532"/>
      <c r="JRU41" s="532"/>
      <c r="JRV41" s="532"/>
      <c r="JRW41" s="532"/>
      <c r="JRX41" s="532"/>
      <c r="JRY41" s="532"/>
      <c r="JRZ41" s="532"/>
      <c r="JSA41" s="532"/>
      <c r="JSB41" s="532"/>
      <c r="JSC41" s="532"/>
      <c r="JSD41" s="532"/>
      <c r="JSE41" s="532"/>
      <c r="JSF41" s="532"/>
      <c r="JSG41" s="532"/>
      <c r="JSH41" s="532"/>
      <c r="JSI41" s="532"/>
      <c r="JSJ41" s="532"/>
      <c r="JSK41" s="532"/>
      <c r="JSL41" s="532"/>
      <c r="JSM41" s="532"/>
      <c r="JSN41" s="532"/>
      <c r="JSO41" s="532"/>
      <c r="JSP41" s="532"/>
      <c r="JSQ41" s="532"/>
      <c r="JSR41" s="532"/>
      <c r="JSS41" s="532"/>
      <c r="JST41" s="532"/>
      <c r="JSU41" s="532"/>
      <c r="JSV41" s="532"/>
      <c r="JSW41" s="532"/>
      <c r="JSX41" s="532"/>
      <c r="JSY41" s="532"/>
      <c r="JSZ41" s="532"/>
      <c r="JTA41" s="532"/>
      <c r="JTB41" s="532"/>
      <c r="JTC41" s="532"/>
      <c r="JTD41" s="532"/>
      <c r="JTE41" s="532"/>
      <c r="JTF41" s="532"/>
      <c r="JTG41" s="532"/>
      <c r="JTH41" s="532"/>
      <c r="JTI41" s="532"/>
      <c r="JTJ41" s="532"/>
      <c r="JTK41" s="532"/>
      <c r="JTL41" s="532"/>
      <c r="JTM41" s="532"/>
      <c r="JTN41" s="532"/>
      <c r="JTO41" s="532"/>
      <c r="JTP41" s="532"/>
      <c r="JTQ41" s="532"/>
      <c r="JTR41" s="532"/>
      <c r="JTS41" s="532"/>
      <c r="JTT41" s="532"/>
      <c r="JTU41" s="532"/>
      <c r="JTV41" s="532"/>
      <c r="JTW41" s="532"/>
      <c r="JTX41" s="532"/>
      <c r="JTY41" s="532"/>
      <c r="JTZ41" s="532"/>
      <c r="JUA41" s="532"/>
      <c r="JUB41" s="532"/>
      <c r="JUC41" s="532"/>
      <c r="JUD41" s="532"/>
      <c r="JUE41" s="532"/>
      <c r="JUF41" s="532"/>
      <c r="JUG41" s="532"/>
      <c r="JUH41" s="532"/>
      <c r="JUI41" s="532"/>
      <c r="JUJ41" s="532"/>
      <c r="JUK41" s="532"/>
      <c r="JUL41" s="532"/>
      <c r="JUM41" s="532"/>
      <c r="JUN41" s="532"/>
      <c r="JUO41" s="532"/>
      <c r="JUP41" s="532"/>
      <c r="JUQ41" s="532"/>
      <c r="JUR41" s="532"/>
      <c r="JUS41" s="532"/>
      <c r="JUT41" s="532"/>
      <c r="JUU41" s="532"/>
      <c r="JUV41" s="532"/>
      <c r="JUW41" s="532"/>
      <c r="JUX41" s="532"/>
      <c r="JUY41" s="532"/>
      <c r="JUZ41" s="532"/>
      <c r="JVA41" s="532"/>
      <c r="JVB41" s="532"/>
      <c r="JVC41" s="532"/>
      <c r="JVD41" s="532"/>
      <c r="JVE41" s="532"/>
      <c r="JVF41" s="532"/>
      <c r="JVG41" s="532"/>
      <c r="JVH41" s="532"/>
      <c r="JVI41" s="532"/>
      <c r="JVJ41" s="532"/>
      <c r="JVK41" s="532"/>
      <c r="JVL41" s="532"/>
      <c r="JVM41" s="532"/>
      <c r="JVN41" s="532"/>
      <c r="JVO41" s="532"/>
      <c r="JVP41" s="532"/>
      <c r="JVQ41" s="532"/>
      <c r="JVR41" s="532"/>
      <c r="JVS41" s="532"/>
      <c r="JVT41" s="532"/>
      <c r="JVU41" s="532"/>
      <c r="JVV41" s="532"/>
      <c r="JVW41" s="532"/>
      <c r="JVX41" s="532"/>
      <c r="JVY41" s="532"/>
      <c r="JVZ41" s="532"/>
      <c r="JWA41" s="532"/>
      <c r="JWB41" s="532"/>
      <c r="JWC41" s="532"/>
      <c r="JWD41" s="532"/>
      <c r="JWE41" s="532"/>
      <c r="JWF41" s="532"/>
      <c r="JWG41" s="532"/>
      <c r="JWH41" s="532"/>
      <c r="JWI41" s="532"/>
      <c r="JWJ41" s="532"/>
      <c r="JWK41" s="532"/>
      <c r="JWL41" s="532"/>
      <c r="JWM41" s="532"/>
      <c r="JWN41" s="532"/>
      <c r="JWO41" s="532"/>
      <c r="JWP41" s="532"/>
      <c r="JWQ41" s="532"/>
      <c r="JWR41" s="532"/>
      <c r="JWS41" s="532"/>
      <c r="JWT41" s="532"/>
      <c r="JWU41" s="532"/>
      <c r="JWV41" s="532"/>
      <c r="JWW41" s="532"/>
      <c r="JWX41" s="532"/>
      <c r="JWY41" s="532"/>
      <c r="JWZ41" s="532"/>
      <c r="JXA41" s="532"/>
      <c r="JXB41" s="532"/>
      <c r="JXC41" s="532"/>
      <c r="JXD41" s="532"/>
      <c r="JXE41" s="532"/>
      <c r="JXF41" s="532"/>
      <c r="JXG41" s="532"/>
      <c r="JXH41" s="532"/>
      <c r="JXI41" s="532"/>
      <c r="JXJ41" s="532"/>
      <c r="JXK41" s="532"/>
      <c r="JXL41" s="532"/>
      <c r="JXM41" s="532"/>
      <c r="JXN41" s="532"/>
      <c r="JXO41" s="532"/>
      <c r="JXP41" s="532"/>
      <c r="JXQ41" s="532"/>
      <c r="JXR41" s="532"/>
      <c r="JXS41" s="532"/>
      <c r="JXT41" s="532"/>
      <c r="JXU41" s="532"/>
      <c r="JXV41" s="532"/>
      <c r="JXW41" s="532"/>
      <c r="JXX41" s="532"/>
      <c r="JXY41" s="532"/>
      <c r="JXZ41" s="532"/>
      <c r="JYA41" s="532"/>
      <c r="JYB41" s="532"/>
      <c r="JYC41" s="532"/>
      <c r="JYD41" s="532"/>
      <c r="JYE41" s="532"/>
      <c r="JYF41" s="532"/>
      <c r="JYG41" s="532"/>
      <c r="JYH41" s="532"/>
      <c r="JYI41" s="532"/>
      <c r="JYJ41" s="532"/>
      <c r="JYK41" s="532"/>
      <c r="JYL41" s="532"/>
      <c r="JYM41" s="532"/>
      <c r="JYN41" s="532"/>
      <c r="JYO41" s="532"/>
      <c r="JYP41" s="532"/>
      <c r="JYQ41" s="532"/>
      <c r="JYR41" s="532"/>
      <c r="JYS41" s="532"/>
      <c r="JYT41" s="532"/>
      <c r="JYU41" s="532"/>
      <c r="JYV41" s="532"/>
      <c r="JYW41" s="532"/>
      <c r="JYX41" s="532"/>
      <c r="JYY41" s="532"/>
      <c r="JYZ41" s="532"/>
      <c r="JZA41" s="532"/>
      <c r="JZB41" s="532"/>
      <c r="JZC41" s="532"/>
      <c r="JZD41" s="532"/>
      <c r="JZE41" s="532"/>
      <c r="JZF41" s="532"/>
      <c r="JZG41" s="532"/>
      <c r="JZH41" s="532"/>
      <c r="JZI41" s="532"/>
      <c r="JZJ41" s="532"/>
      <c r="JZK41" s="532"/>
      <c r="JZL41" s="532"/>
      <c r="JZM41" s="532"/>
      <c r="JZN41" s="532"/>
      <c r="JZO41" s="532"/>
      <c r="JZP41" s="532"/>
      <c r="JZQ41" s="532"/>
      <c r="JZR41" s="532"/>
      <c r="JZS41" s="532"/>
      <c r="JZT41" s="532"/>
      <c r="JZU41" s="532"/>
      <c r="JZV41" s="532"/>
      <c r="JZW41" s="532"/>
      <c r="JZX41" s="532"/>
      <c r="JZY41" s="532"/>
      <c r="JZZ41" s="532"/>
      <c r="KAA41" s="532"/>
      <c r="KAB41" s="532"/>
      <c r="KAC41" s="532"/>
      <c r="KAD41" s="532"/>
      <c r="KAE41" s="532"/>
      <c r="KAF41" s="532"/>
      <c r="KAG41" s="532"/>
      <c r="KAH41" s="532"/>
      <c r="KAI41" s="532"/>
      <c r="KAJ41" s="532"/>
      <c r="KAK41" s="532"/>
      <c r="KAL41" s="532"/>
      <c r="KAM41" s="532"/>
      <c r="KAN41" s="532"/>
      <c r="KAO41" s="532"/>
      <c r="KAP41" s="532"/>
      <c r="KAQ41" s="532"/>
      <c r="KAR41" s="532"/>
      <c r="KAS41" s="532"/>
      <c r="KAT41" s="532"/>
      <c r="KAU41" s="532"/>
      <c r="KAV41" s="532"/>
      <c r="KAW41" s="532"/>
      <c r="KAX41" s="532"/>
      <c r="KAY41" s="532"/>
      <c r="KAZ41" s="532"/>
      <c r="KBA41" s="532"/>
      <c r="KBB41" s="532"/>
      <c r="KBC41" s="532"/>
      <c r="KBD41" s="532"/>
      <c r="KBE41" s="532"/>
      <c r="KBF41" s="532"/>
      <c r="KBG41" s="532"/>
      <c r="KBH41" s="532"/>
      <c r="KBI41" s="532"/>
      <c r="KBJ41" s="532"/>
      <c r="KBK41" s="532"/>
      <c r="KBL41" s="532"/>
      <c r="KBM41" s="532"/>
      <c r="KBN41" s="532"/>
      <c r="KBO41" s="532"/>
      <c r="KBP41" s="532"/>
      <c r="KBQ41" s="532"/>
      <c r="KBR41" s="532"/>
      <c r="KBS41" s="532"/>
      <c r="KBT41" s="532"/>
      <c r="KBU41" s="532"/>
      <c r="KBV41" s="532"/>
      <c r="KBW41" s="532"/>
      <c r="KBX41" s="532"/>
      <c r="KBY41" s="532"/>
      <c r="KBZ41" s="532"/>
      <c r="KCA41" s="532"/>
      <c r="KCB41" s="532"/>
      <c r="KCC41" s="532"/>
      <c r="KCD41" s="532"/>
      <c r="KCE41" s="532"/>
      <c r="KCF41" s="532"/>
      <c r="KCG41" s="532"/>
      <c r="KCH41" s="532"/>
      <c r="KCI41" s="532"/>
      <c r="KCJ41" s="532"/>
      <c r="KCK41" s="532"/>
      <c r="KCL41" s="532"/>
      <c r="KCM41" s="532"/>
      <c r="KCN41" s="532"/>
      <c r="KCO41" s="532"/>
      <c r="KCP41" s="532"/>
      <c r="KCQ41" s="532"/>
      <c r="KCR41" s="532"/>
      <c r="KCS41" s="532"/>
      <c r="KCT41" s="532"/>
      <c r="KCU41" s="532"/>
      <c r="KCV41" s="532"/>
      <c r="KCW41" s="532"/>
      <c r="KCX41" s="532"/>
      <c r="KCY41" s="532"/>
      <c r="KCZ41" s="532"/>
      <c r="KDA41" s="532"/>
      <c r="KDB41" s="532"/>
      <c r="KDC41" s="532"/>
      <c r="KDD41" s="532"/>
      <c r="KDE41" s="532"/>
      <c r="KDF41" s="532"/>
      <c r="KDG41" s="532"/>
      <c r="KDH41" s="532"/>
      <c r="KDI41" s="532"/>
      <c r="KDJ41" s="532"/>
      <c r="KDK41" s="532"/>
      <c r="KDL41" s="532"/>
      <c r="KDM41" s="532"/>
      <c r="KDN41" s="532"/>
      <c r="KDO41" s="532"/>
      <c r="KDP41" s="532"/>
      <c r="KDQ41" s="532"/>
      <c r="KDR41" s="532"/>
      <c r="KDS41" s="532"/>
      <c r="KDT41" s="532"/>
      <c r="KDU41" s="532"/>
      <c r="KDV41" s="532"/>
      <c r="KDW41" s="532"/>
      <c r="KDX41" s="532"/>
      <c r="KDY41" s="532"/>
      <c r="KDZ41" s="532"/>
      <c r="KEA41" s="532"/>
      <c r="KEB41" s="532"/>
      <c r="KEC41" s="532"/>
      <c r="KED41" s="532"/>
      <c r="KEE41" s="532"/>
      <c r="KEF41" s="532"/>
      <c r="KEG41" s="532"/>
      <c r="KEH41" s="532"/>
      <c r="KEI41" s="532"/>
      <c r="KEJ41" s="532"/>
      <c r="KEK41" s="532"/>
      <c r="KEL41" s="532"/>
      <c r="KEM41" s="532"/>
      <c r="KEN41" s="532"/>
      <c r="KEO41" s="532"/>
      <c r="KEP41" s="532"/>
      <c r="KEQ41" s="532"/>
      <c r="KER41" s="532"/>
      <c r="KES41" s="532"/>
      <c r="KET41" s="532"/>
      <c r="KEU41" s="532"/>
      <c r="KEV41" s="532"/>
      <c r="KEW41" s="532"/>
      <c r="KEX41" s="532"/>
      <c r="KEY41" s="532"/>
      <c r="KEZ41" s="532"/>
      <c r="KFA41" s="532"/>
      <c r="KFB41" s="532"/>
      <c r="KFC41" s="532"/>
      <c r="KFD41" s="532"/>
      <c r="KFE41" s="532"/>
      <c r="KFF41" s="532"/>
      <c r="KFG41" s="532"/>
      <c r="KFH41" s="532"/>
      <c r="KFI41" s="532"/>
      <c r="KFJ41" s="532"/>
      <c r="KFK41" s="532"/>
      <c r="KFL41" s="532"/>
      <c r="KFM41" s="532"/>
      <c r="KFN41" s="532"/>
      <c r="KFO41" s="532"/>
      <c r="KFP41" s="532"/>
      <c r="KFQ41" s="532"/>
      <c r="KFR41" s="532"/>
      <c r="KFS41" s="532"/>
      <c r="KFT41" s="532"/>
      <c r="KFU41" s="532"/>
      <c r="KFV41" s="532"/>
      <c r="KFW41" s="532"/>
      <c r="KFX41" s="532"/>
      <c r="KFY41" s="532"/>
      <c r="KFZ41" s="532"/>
      <c r="KGA41" s="532"/>
      <c r="KGB41" s="532"/>
      <c r="KGC41" s="532"/>
      <c r="KGD41" s="532"/>
      <c r="KGE41" s="532"/>
      <c r="KGF41" s="532"/>
      <c r="KGG41" s="532"/>
      <c r="KGH41" s="532"/>
      <c r="KGI41" s="532"/>
      <c r="KGJ41" s="532"/>
      <c r="KGK41" s="532"/>
      <c r="KGL41" s="532"/>
      <c r="KGM41" s="532"/>
      <c r="KGN41" s="532"/>
      <c r="KGO41" s="532"/>
      <c r="KGP41" s="532"/>
      <c r="KGQ41" s="532"/>
      <c r="KGR41" s="532"/>
      <c r="KGS41" s="532"/>
      <c r="KGT41" s="532"/>
      <c r="KGU41" s="532"/>
      <c r="KGV41" s="532"/>
      <c r="KGW41" s="532"/>
      <c r="KGX41" s="532"/>
      <c r="KGY41" s="532"/>
      <c r="KGZ41" s="532"/>
      <c r="KHA41" s="532"/>
      <c r="KHB41" s="532"/>
      <c r="KHC41" s="532"/>
      <c r="KHD41" s="532"/>
      <c r="KHE41" s="532"/>
      <c r="KHF41" s="532"/>
      <c r="KHG41" s="532"/>
      <c r="KHH41" s="532"/>
      <c r="KHI41" s="532"/>
      <c r="KHJ41" s="532"/>
      <c r="KHK41" s="532"/>
      <c r="KHL41" s="532"/>
      <c r="KHM41" s="532"/>
      <c r="KHN41" s="532"/>
      <c r="KHO41" s="532"/>
      <c r="KHP41" s="532"/>
      <c r="KHQ41" s="532"/>
      <c r="KHR41" s="532"/>
      <c r="KHS41" s="532"/>
      <c r="KHT41" s="532"/>
      <c r="KHU41" s="532"/>
      <c r="KHV41" s="532"/>
      <c r="KHW41" s="532"/>
      <c r="KHX41" s="532"/>
      <c r="KHY41" s="532"/>
      <c r="KHZ41" s="532"/>
      <c r="KIA41" s="532"/>
      <c r="KIB41" s="532"/>
      <c r="KIC41" s="532"/>
      <c r="KID41" s="532"/>
      <c r="KIE41" s="532"/>
      <c r="KIF41" s="532"/>
      <c r="KIG41" s="532"/>
      <c r="KIH41" s="532"/>
      <c r="KII41" s="532"/>
      <c r="KIJ41" s="532"/>
      <c r="KIK41" s="532"/>
      <c r="KIL41" s="532"/>
      <c r="KIM41" s="532"/>
      <c r="KIN41" s="532"/>
      <c r="KIO41" s="532"/>
      <c r="KIP41" s="532"/>
      <c r="KIQ41" s="532"/>
      <c r="KIR41" s="532"/>
      <c r="KIS41" s="532"/>
      <c r="KIT41" s="532"/>
      <c r="KIU41" s="532"/>
      <c r="KIV41" s="532"/>
      <c r="KIW41" s="532"/>
      <c r="KIX41" s="532"/>
      <c r="KIY41" s="532"/>
      <c r="KIZ41" s="532"/>
      <c r="KJA41" s="532"/>
      <c r="KJB41" s="532"/>
      <c r="KJC41" s="532"/>
      <c r="KJD41" s="532"/>
      <c r="KJE41" s="532"/>
      <c r="KJF41" s="532"/>
      <c r="KJG41" s="532"/>
      <c r="KJH41" s="532"/>
      <c r="KJI41" s="532"/>
      <c r="KJJ41" s="532"/>
      <c r="KJK41" s="532"/>
      <c r="KJL41" s="532"/>
      <c r="KJM41" s="532"/>
      <c r="KJN41" s="532"/>
      <c r="KJO41" s="532"/>
      <c r="KJP41" s="532"/>
      <c r="KJQ41" s="532"/>
      <c r="KJR41" s="532"/>
      <c r="KJS41" s="532"/>
      <c r="KJT41" s="532"/>
      <c r="KJU41" s="532"/>
      <c r="KJV41" s="532"/>
      <c r="KJW41" s="532"/>
      <c r="KJX41" s="532"/>
      <c r="KJY41" s="532"/>
      <c r="KJZ41" s="532"/>
      <c r="KKA41" s="532"/>
      <c r="KKB41" s="532"/>
      <c r="KKC41" s="532"/>
      <c r="KKD41" s="532"/>
      <c r="KKE41" s="532"/>
      <c r="KKF41" s="532"/>
      <c r="KKG41" s="532"/>
      <c r="KKH41" s="532"/>
      <c r="KKI41" s="532"/>
      <c r="KKJ41" s="532"/>
      <c r="KKK41" s="532"/>
      <c r="KKL41" s="532"/>
      <c r="KKM41" s="532"/>
      <c r="KKN41" s="532"/>
      <c r="KKO41" s="532"/>
      <c r="KKP41" s="532"/>
      <c r="KKQ41" s="532"/>
      <c r="KKR41" s="532"/>
      <c r="KKS41" s="532"/>
      <c r="KKT41" s="532"/>
      <c r="KKU41" s="532"/>
      <c r="KKV41" s="532"/>
      <c r="KKW41" s="532"/>
      <c r="KKX41" s="532"/>
      <c r="KKY41" s="532"/>
      <c r="KKZ41" s="532"/>
      <c r="KLA41" s="532"/>
      <c r="KLB41" s="532"/>
      <c r="KLC41" s="532"/>
      <c r="KLD41" s="532"/>
      <c r="KLE41" s="532"/>
      <c r="KLF41" s="532"/>
      <c r="KLG41" s="532"/>
      <c r="KLH41" s="532"/>
      <c r="KLI41" s="532"/>
      <c r="KLJ41" s="532"/>
      <c r="KLK41" s="532"/>
      <c r="KLL41" s="532"/>
      <c r="KLM41" s="532"/>
      <c r="KLN41" s="532"/>
      <c r="KLO41" s="532"/>
      <c r="KLP41" s="532"/>
      <c r="KLQ41" s="532"/>
      <c r="KLR41" s="532"/>
      <c r="KLS41" s="532"/>
      <c r="KLT41" s="532"/>
      <c r="KLU41" s="532"/>
      <c r="KLV41" s="532"/>
      <c r="KLW41" s="532"/>
      <c r="KLX41" s="532"/>
      <c r="KLY41" s="532"/>
      <c r="KLZ41" s="532"/>
      <c r="KMA41" s="532"/>
      <c r="KMB41" s="532"/>
      <c r="KMC41" s="532"/>
      <c r="KMD41" s="532"/>
      <c r="KME41" s="532"/>
      <c r="KMF41" s="532"/>
      <c r="KMG41" s="532"/>
      <c r="KMH41" s="532"/>
      <c r="KMI41" s="532"/>
      <c r="KMJ41" s="532"/>
      <c r="KMK41" s="532"/>
      <c r="KML41" s="532"/>
      <c r="KMM41" s="532"/>
      <c r="KMN41" s="532"/>
      <c r="KMO41" s="532"/>
      <c r="KMP41" s="532"/>
      <c r="KMQ41" s="532"/>
      <c r="KMR41" s="532"/>
      <c r="KMS41" s="532"/>
      <c r="KMT41" s="532"/>
      <c r="KMU41" s="532"/>
      <c r="KMV41" s="532"/>
      <c r="KMW41" s="532"/>
      <c r="KMX41" s="532"/>
      <c r="KMY41" s="532"/>
      <c r="KMZ41" s="532"/>
      <c r="KNA41" s="532"/>
      <c r="KNB41" s="532"/>
      <c r="KNC41" s="532"/>
      <c r="KND41" s="532"/>
      <c r="KNE41" s="532"/>
      <c r="KNF41" s="532"/>
      <c r="KNG41" s="532"/>
      <c r="KNH41" s="532"/>
      <c r="KNI41" s="532"/>
      <c r="KNJ41" s="532"/>
      <c r="KNK41" s="532"/>
      <c r="KNL41" s="532"/>
      <c r="KNM41" s="532"/>
      <c r="KNN41" s="532"/>
      <c r="KNO41" s="532"/>
      <c r="KNP41" s="532"/>
      <c r="KNQ41" s="532"/>
      <c r="KNR41" s="532"/>
      <c r="KNS41" s="532"/>
      <c r="KNT41" s="532"/>
      <c r="KNU41" s="532"/>
      <c r="KNV41" s="532"/>
      <c r="KNW41" s="532"/>
      <c r="KNX41" s="532"/>
      <c r="KNY41" s="532"/>
      <c r="KNZ41" s="532"/>
      <c r="KOA41" s="532"/>
      <c r="KOB41" s="532"/>
      <c r="KOC41" s="532"/>
      <c r="KOD41" s="532"/>
      <c r="KOE41" s="532"/>
      <c r="KOF41" s="532"/>
      <c r="KOG41" s="532"/>
      <c r="KOH41" s="532"/>
      <c r="KOI41" s="532"/>
      <c r="KOJ41" s="532"/>
      <c r="KOK41" s="532"/>
      <c r="KOL41" s="532"/>
      <c r="KOM41" s="532"/>
      <c r="KON41" s="532"/>
      <c r="KOO41" s="532"/>
      <c r="KOP41" s="532"/>
      <c r="KOQ41" s="532"/>
      <c r="KOR41" s="532"/>
      <c r="KOS41" s="532"/>
      <c r="KOT41" s="532"/>
      <c r="KOU41" s="532"/>
      <c r="KOV41" s="532"/>
      <c r="KOW41" s="532"/>
      <c r="KOX41" s="532"/>
      <c r="KOY41" s="532"/>
      <c r="KOZ41" s="532"/>
      <c r="KPA41" s="532"/>
      <c r="KPB41" s="532"/>
      <c r="KPC41" s="532"/>
      <c r="KPD41" s="532"/>
      <c r="KPE41" s="532"/>
      <c r="KPF41" s="532"/>
      <c r="KPG41" s="532"/>
      <c r="KPH41" s="532"/>
      <c r="KPI41" s="532"/>
      <c r="KPJ41" s="532"/>
      <c r="KPK41" s="532"/>
      <c r="KPL41" s="532"/>
      <c r="KPM41" s="532"/>
      <c r="KPN41" s="532"/>
      <c r="KPO41" s="532"/>
      <c r="KPP41" s="532"/>
      <c r="KPQ41" s="532"/>
      <c r="KPR41" s="532"/>
      <c r="KPS41" s="532"/>
      <c r="KPT41" s="532"/>
      <c r="KPU41" s="532"/>
      <c r="KPV41" s="532"/>
      <c r="KPW41" s="532"/>
      <c r="KPX41" s="532"/>
      <c r="KPY41" s="532"/>
      <c r="KPZ41" s="532"/>
      <c r="KQA41" s="532"/>
      <c r="KQB41" s="532"/>
      <c r="KQC41" s="532"/>
      <c r="KQD41" s="532"/>
      <c r="KQE41" s="532"/>
      <c r="KQF41" s="532"/>
      <c r="KQG41" s="532"/>
      <c r="KQH41" s="532"/>
      <c r="KQI41" s="532"/>
      <c r="KQJ41" s="532"/>
      <c r="KQK41" s="532"/>
      <c r="KQL41" s="532"/>
      <c r="KQM41" s="532"/>
      <c r="KQN41" s="532"/>
      <c r="KQO41" s="532"/>
      <c r="KQP41" s="532"/>
      <c r="KQQ41" s="532"/>
      <c r="KQR41" s="532"/>
      <c r="KQS41" s="532"/>
      <c r="KQT41" s="532"/>
      <c r="KQU41" s="532"/>
      <c r="KQV41" s="532"/>
      <c r="KQW41" s="532"/>
      <c r="KQX41" s="532"/>
      <c r="KQY41" s="532"/>
      <c r="KQZ41" s="532"/>
      <c r="KRA41" s="532"/>
      <c r="KRB41" s="532"/>
      <c r="KRC41" s="532"/>
      <c r="KRD41" s="532"/>
      <c r="KRE41" s="532"/>
      <c r="KRF41" s="532"/>
      <c r="KRG41" s="532"/>
      <c r="KRH41" s="532"/>
      <c r="KRI41" s="532"/>
      <c r="KRJ41" s="532"/>
      <c r="KRK41" s="532"/>
      <c r="KRL41" s="532"/>
      <c r="KRM41" s="532"/>
      <c r="KRN41" s="532"/>
      <c r="KRO41" s="532"/>
      <c r="KRP41" s="532"/>
      <c r="KRQ41" s="532"/>
      <c r="KRR41" s="532"/>
      <c r="KRS41" s="532"/>
      <c r="KRT41" s="532"/>
      <c r="KRU41" s="532"/>
      <c r="KRV41" s="532"/>
      <c r="KRW41" s="532"/>
      <c r="KRX41" s="532"/>
      <c r="KRY41" s="532"/>
      <c r="KRZ41" s="532"/>
      <c r="KSA41" s="532"/>
      <c r="KSB41" s="532"/>
      <c r="KSC41" s="532"/>
      <c r="KSD41" s="532"/>
      <c r="KSE41" s="532"/>
      <c r="KSF41" s="532"/>
      <c r="KSG41" s="532"/>
      <c r="KSH41" s="532"/>
      <c r="KSI41" s="532"/>
      <c r="KSJ41" s="532"/>
      <c r="KSK41" s="532"/>
      <c r="KSL41" s="532"/>
      <c r="KSM41" s="532"/>
      <c r="KSN41" s="532"/>
      <c r="KSO41" s="532"/>
      <c r="KSP41" s="532"/>
      <c r="KSQ41" s="532"/>
      <c r="KSR41" s="532"/>
      <c r="KSS41" s="532"/>
      <c r="KST41" s="532"/>
      <c r="KSU41" s="532"/>
      <c r="KSV41" s="532"/>
      <c r="KSW41" s="532"/>
      <c r="KSX41" s="532"/>
      <c r="KSY41" s="532"/>
      <c r="KSZ41" s="532"/>
      <c r="KTA41" s="532"/>
      <c r="KTB41" s="532"/>
      <c r="KTC41" s="532"/>
      <c r="KTD41" s="532"/>
      <c r="KTE41" s="532"/>
      <c r="KTF41" s="532"/>
      <c r="KTG41" s="532"/>
      <c r="KTH41" s="532"/>
      <c r="KTI41" s="532"/>
      <c r="KTJ41" s="532"/>
      <c r="KTK41" s="532"/>
      <c r="KTL41" s="532"/>
      <c r="KTM41" s="532"/>
      <c r="KTN41" s="532"/>
      <c r="KTO41" s="532"/>
      <c r="KTP41" s="532"/>
      <c r="KTQ41" s="532"/>
      <c r="KTR41" s="532"/>
      <c r="KTS41" s="532"/>
      <c r="KTT41" s="532"/>
      <c r="KTU41" s="532"/>
      <c r="KTV41" s="532"/>
      <c r="KTW41" s="532"/>
      <c r="KTX41" s="532"/>
      <c r="KTY41" s="532"/>
      <c r="KTZ41" s="532"/>
      <c r="KUA41" s="532"/>
      <c r="KUB41" s="532"/>
      <c r="KUC41" s="532"/>
      <c r="KUD41" s="532"/>
      <c r="KUE41" s="532"/>
      <c r="KUF41" s="532"/>
      <c r="KUG41" s="532"/>
      <c r="KUH41" s="532"/>
      <c r="KUI41" s="532"/>
      <c r="KUJ41" s="532"/>
      <c r="KUK41" s="532"/>
      <c r="KUL41" s="532"/>
      <c r="KUM41" s="532"/>
      <c r="KUN41" s="532"/>
      <c r="KUO41" s="532"/>
      <c r="KUP41" s="532"/>
      <c r="KUQ41" s="532"/>
      <c r="KUR41" s="532"/>
      <c r="KUS41" s="532"/>
      <c r="KUT41" s="532"/>
      <c r="KUU41" s="532"/>
      <c r="KUV41" s="532"/>
      <c r="KUW41" s="532"/>
      <c r="KUX41" s="532"/>
      <c r="KUY41" s="532"/>
      <c r="KUZ41" s="532"/>
      <c r="KVA41" s="532"/>
      <c r="KVB41" s="532"/>
      <c r="KVC41" s="532"/>
      <c r="KVD41" s="532"/>
      <c r="KVE41" s="532"/>
      <c r="KVF41" s="532"/>
      <c r="KVG41" s="532"/>
      <c r="KVH41" s="532"/>
      <c r="KVI41" s="532"/>
      <c r="KVJ41" s="532"/>
      <c r="KVK41" s="532"/>
      <c r="KVL41" s="532"/>
      <c r="KVM41" s="532"/>
      <c r="KVN41" s="532"/>
      <c r="KVO41" s="532"/>
      <c r="KVP41" s="532"/>
      <c r="KVQ41" s="532"/>
      <c r="KVR41" s="532"/>
      <c r="KVS41" s="532"/>
      <c r="KVT41" s="532"/>
      <c r="KVU41" s="532"/>
      <c r="KVV41" s="532"/>
      <c r="KVW41" s="532"/>
      <c r="KVX41" s="532"/>
      <c r="KVY41" s="532"/>
      <c r="KVZ41" s="532"/>
      <c r="KWA41" s="532"/>
      <c r="KWB41" s="532"/>
      <c r="KWC41" s="532"/>
      <c r="KWD41" s="532"/>
      <c r="KWE41" s="532"/>
      <c r="KWF41" s="532"/>
      <c r="KWG41" s="532"/>
      <c r="KWH41" s="532"/>
      <c r="KWI41" s="532"/>
      <c r="KWJ41" s="532"/>
      <c r="KWK41" s="532"/>
      <c r="KWL41" s="532"/>
      <c r="KWM41" s="532"/>
      <c r="KWN41" s="532"/>
      <c r="KWO41" s="532"/>
      <c r="KWP41" s="532"/>
      <c r="KWQ41" s="532"/>
      <c r="KWR41" s="532"/>
      <c r="KWS41" s="532"/>
      <c r="KWT41" s="532"/>
      <c r="KWU41" s="532"/>
      <c r="KWV41" s="532"/>
      <c r="KWW41" s="532"/>
      <c r="KWX41" s="532"/>
      <c r="KWY41" s="532"/>
      <c r="KWZ41" s="532"/>
      <c r="KXA41" s="532"/>
      <c r="KXB41" s="532"/>
      <c r="KXC41" s="532"/>
      <c r="KXD41" s="532"/>
      <c r="KXE41" s="532"/>
      <c r="KXF41" s="532"/>
      <c r="KXG41" s="532"/>
      <c r="KXH41" s="532"/>
      <c r="KXI41" s="532"/>
      <c r="KXJ41" s="532"/>
      <c r="KXK41" s="532"/>
      <c r="KXL41" s="532"/>
      <c r="KXM41" s="532"/>
      <c r="KXN41" s="532"/>
      <c r="KXO41" s="532"/>
      <c r="KXP41" s="532"/>
      <c r="KXQ41" s="532"/>
      <c r="KXR41" s="532"/>
      <c r="KXS41" s="532"/>
      <c r="KXT41" s="532"/>
      <c r="KXU41" s="532"/>
      <c r="KXV41" s="532"/>
      <c r="KXW41" s="532"/>
      <c r="KXX41" s="532"/>
      <c r="KXY41" s="532"/>
      <c r="KXZ41" s="532"/>
      <c r="KYA41" s="532"/>
      <c r="KYB41" s="532"/>
      <c r="KYC41" s="532"/>
      <c r="KYD41" s="532"/>
      <c r="KYE41" s="532"/>
      <c r="KYF41" s="532"/>
      <c r="KYG41" s="532"/>
      <c r="KYH41" s="532"/>
      <c r="KYI41" s="532"/>
      <c r="KYJ41" s="532"/>
      <c r="KYK41" s="532"/>
      <c r="KYL41" s="532"/>
      <c r="KYM41" s="532"/>
      <c r="KYN41" s="532"/>
      <c r="KYO41" s="532"/>
      <c r="KYP41" s="532"/>
      <c r="KYQ41" s="532"/>
      <c r="KYR41" s="532"/>
      <c r="KYS41" s="532"/>
      <c r="KYT41" s="532"/>
      <c r="KYU41" s="532"/>
      <c r="KYV41" s="532"/>
      <c r="KYW41" s="532"/>
      <c r="KYX41" s="532"/>
      <c r="KYY41" s="532"/>
      <c r="KYZ41" s="532"/>
      <c r="KZA41" s="532"/>
      <c r="KZB41" s="532"/>
      <c r="KZC41" s="532"/>
      <c r="KZD41" s="532"/>
      <c r="KZE41" s="532"/>
      <c r="KZF41" s="532"/>
      <c r="KZG41" s="532"/>
      <c r="KZH41" s="532"/>
      <c r="KZI41" s="532"/>
      <c r="KZJ41" s="532"/>
      <c r="KZK41" s="532"/>
      <c r="KZL41" s="532"/>
      <c r="KZM41" s="532"/>
      <c r="KZN41" s="532"/>
      <c r="KZO41" s="532"/>
      <c r="KZP41" s="532"/>
      <c r="KZQ41" s="532"/>
      <c r="KZR41" s="532"/>
      <c r="KZS41" s="532"/>
      <c r="KZT41" s="532"/>
      <c r="KZU41" s="532"/>
      <c r="KZV41" s="532"/>
      <c r="KZW41" s="532"/>
      <c r="KZX41" s="532"/>
      <c r="KZY41" s="532"/>
      <c r="KZZ41" s="532"/>
      <c r="LAA41" s="532"/>
      <c r="LAB41" s="532"/>
      <c r="LAC41" s="532"/>
      <c r="LAD41" s="532"/>
      <c r="LAE41" s="532"/>
      <c r="LAF41" s="532"/>
      <c r="LAG41" s="532"/>
      <c r="LAH41" s="532"/>
      <c r="LAI41" s="532"/>
      <c r="LAJ41" s="532"/>
      <c r="LAK41" s="532"/>
      <c r="LAL41" s="532"/>
      <c r="LAM41" s="532"/>
      <c r="LAN41" s="532"/>
      <c r="LAO41" s="532"/>
      <c r="LAP41" s="532"/>
      <c r="LAQ41" s="532"/>
      <c r="LAR41" s="532"/>
      <c r="LAS41" s="532"/>
      <c r="LAT41" s="532"/>
      <c r="LAU41" s="532"/>
      <c r="LAV41" s="532"/>
      <c r="LAW41" s="532"/>
      <c r="LAX41" s="532"/>
      <c r="LAY41" s="532"/>
      <c r="LAZ41" s="532"/>
      <c r="LBA41" s="532"/>
      <c r="LBB41" s="532"/>
      <c r="LBC41" s="532"/>
      <c r="LBD41" s="532"/>
      <c r="LBE41" s="532"/>
      <c r="LBF41" s="532"/>
      <c r="LBG41" s="532"/>
      <c r="LBH41" s="532"/>
      <c r="LBI41" s="532"/>
      <c r="LBJ41" s="532"/>
      <c r="LBK41" s="532"/>
      <c r="LBL41" s="532"/>
      <c r="LBM41" s="532"/>
      <c r="LBN41" s="532"/>
      <c r="LBO41" s="532"/>
      <c r="LBP41" s="532"/>
      <c r="LBQ41" s="532"/>
      <c r="LBR41" s="532"/>
      <c r="LBS41" s="532"/>
      <c r="LBT41" s="532"/>
      <c r="LBU41" s="532"/>
      <c r="LBV41" s="532"/>
      <c r="LBW41" s="532"/>
      <c r="LBX41" s="532"/>
      <c r="LBY41" s="532"/>
      <c r="LBZ41" s="532"/>
      <c r="LCA41" s="532"/>
      <c r="LCB41" s="532"/>
      <c r="LCC41" s="532"/>
      <c r="LCD41" s="532"/>
      <c r="LCE41" s="532"/>
      <c r="LCF41" s="532"/>
      <c r="LCG41" s="532"/>
      <c r="LCH41" s="532"/>
      <c r="LCI41" s="532"/>
      <c r="LCJ41" s="532"/>
      <c r="LCK41" s="532"/>
      <c r="LCL41" s="532"/>
      <c r="LCM41" s="532"/>
      <c r="LCN41" s="532"/>
      <c r="LCO41" s="532"/>
      <c r="LCP41" s="532"/>
      <c r="LCQ41" s="532"/>
      <c r="LCR41" s="532"/>
      <c r="LCS41" s="532"/>
      <c r="LCT41" s="532"/>
      <c r="LCU41" s="532"/>
      <c r="LCV41" s="532"/>
      <c r="LCW41" s="532"/>
      <c r="LCX41" s="532"/>
      <c r="LCY41" s="532"/>
      <c r="LCZ41" s="532"/>
      <c r="LDA41" s="532"/>
      <c r="LDB41" s="532"/>
      <c r="LDC41" s="532"/>
      <c r="LDD41" s="532"/>
      <c r="LDE41" s="532"/>
      <c r="LDF41" s="532"/>
      <c r="LDG41" s="532"/>
      <c r="LDH41" s="532"/>
      <c r="LDI41" s="532"/>
      <c r="LDJ41" s="532"/>
      <c r="LDK41" s="532"/>
      <c r="LDL41" s="532"/>
      <c r="LDM41" s="532"/>
      <c r="LDN41" s="532"/>
      <c r="LDO41" s="532"/>
      <c r="LDP41" s="532"/>
      <c r="LDQ41" s="532"/>
      <c r="LDR41" s="532"/>
      <c r="LDS41" s="532"/>
      <c r="LDT41" s="532"/>
      <c r="LDU41" s="532"/>
      <c r="LDV41" s="532"/>
      <c r="LDW41" s="532"/>
      <c r="LDX41" s="532"/>
      <c r="LDY41" s="532"/>
      <c r="LDZ41" s="532"/>
      <c r="LEA41" s="532"/>
      <c r="LEB41" s="532"/>
      <c r="LEC41" s="532"/>
      <c r="LED41" s="532"/>
      <c r="LEE41" s="532"/>
      <c r="LEF41" s="532"/>
      <c r="LEG41" s="532"/>
      <c r="LEH41" s="532"/>
      <c r="LEI41" s="532"/>
      <c r="LEJ41" s="532"/>
      <c r="LEK41" s="532"/>
      <c r="LEL41" s="532"/>
      <c r="LEM41" s="532"/>
      <c r="LEN41" s="532"/>
      <c r="LEO41" s="532"/>
      <c r="LEP41" s="532"/>
      <c r="LEQ41" s="532"/>
      <c r="LER41" s="532"/>
      <c r="LES41" s="532"/>
      <c r="LET41" s="532"/>
      <c r="LEU41" s="532"/>
      <c r="LEV41" s="532"/>
      <c r="LEW41" s="532"/>
      <c r="LEX41" s="532"/>
      <c r="LEY41" s="532"/>
      <c r="LEZ41" s="532"/>
      <c r="LFA41" s="532"/>
      <c r="LFB41" s="532"/>
      <c r="LFC41" s="532"/>
      <c r="LFD41" s="532"/>
      <c r="LFE41" s="532"/>
      <c r="LFF41" s="532"/>
      <c r="LFG41" s="532"/>
      <c r="LFH41" s="532"/>
      <c r="LFI41" s="532"/>
      <c r="LFJ41" s="532"/>
      <c r="LFK41" s="532"/>
      <c r="LFL41" s="532"/>
      <c r="LFM41" s="532"/>
      <c r="LFN41" s="532"/>
      <c r="LFO41" s="532"/>
      <c r="LFP41" s="532"/>
      <c r="LFQ41" s="532"/>
      <c r="LFR41" s="532"/>
      <c r="LFS41" s="532"/>
      <c r="LFT41" s="532"/>
      <c r="LFU41" s="532"/>
      <c r="LFV41" s="532"/>
      <c r="LFW41" s="532"/>
      <c r="LFX41" s="532"/>
      <c r="LFY41" s="532"/>
      <c r="LFZ41" s="532"/>
      <c r="LGA41" s="532"/>
      <c r="LGB41" s="532"/>
      <c r="LGC41" s="532"/>
      <c r="LGD41" s="532"/>
      <c r="LGE41" s="532"/>
      <c r="LGF41" s="532"/>
      <c r="LGG41" s="532"/>
      <c r="LGH41" s="532"/>
      <c r="LGI41" s="532"/>
      <c r="LGJ41" s="532"/>
      <c r="LGK41" s="532"/>
      <c r="LGL41" s="532"/>
      <c r="LGM41" s="532"/>
      <c r="LGN41" s="532"/>
      <c r="LGO41" s="532"/>
      <c r="LGP41" s="532"/>
      <c r="LGQ41" s="532"/>
      <c r="LGR41" s="532"/>
      <c r="LGS41" s="532"/>
      <c r="LGT41" s="532"/>
      <c r="LGU41" s="532"/>
      <c r="LGV41" s="532"/>
      <c r="LGW41" s="532"/>
      <c r="LGX41" s="532"/>
      <c r="LGY41" s="532"/>
      <c r="LGZ41" s="532"/>
      <c r="LHA41" s="532"/>
      <c r="LHB41" s="532"/>
      <c r="LHC41" s="532"/>
      <c r="LHD41" s="532"/>
      <c r="LHE41" s="532"/>
      <c r="LHF41" s="532"/>
      <c r="LHG41" s="532"/>
      <c r="LHH41" s="532"/>
      <c r="LHI41" s="532"/>
      <c r="LHJ41" s="532"/>
      <c r="LHK41" s="532"/>
      <c r="LHL41" s="532"/>
      <c r="LHM41" s="532"/>
      <c r="LHN41" s="532"/>
      <c r="LHO41" s="532"/>
      <c r="LHP41" s="532"/>
      <c r="LHQ41" s="532"/>
      <c r="LHR41" s="532"/>
      <c r="LHS41" s="532"/>
      <c r="LHT41" s="532"/>
      <c r="LHU41" s="532"/>
      <c r="LHV41" s="532"/>
      <c r="LHW41" s="532"/>
      <c r="LHX41" s="532"/>
      <c r="LHY41" s="532"/>
      <c r="LHZ41" s="532"/>
      <c r="LIA41" s="532"/>
      <c r="LIB41" s="532"/>
      <c r="LIC41" s="532"/>
      <c r="LID41" s="532"/>
      <c r="LIE41" s="532"/>
      <c r="LIF41" s="532"/>
      <c r="LIG41" s="532"/>
      <c r="LIH41" s="532"/>
      <c r="LII41" s="532"/>
      <c r="LIJ41" s="532"/>
      <c r="LIK41" s="532"/>
      <c r="LIL41" s="532"/>
      <c r="LIM41" s="532"/>
      <c r="LIN41" s="532"/>
      <c r="LIO41" s="532"/>
      <c r="LIP41" s="532"/>
      <c r="LIQ41" s="532"/>
      <c r="LIR41" s="532"/>
      <c r="LIS41" s="532"/>
      <c r="LIT41" s="532"/>
      <c r="LIU41" s="532"/>
      <c r="LIV41" s="532"/>
      <c r="LIW41" s="532"/>
      <c r="LIX41" s="532"/>
      <c r="LIY41" s="532"/>
      <c r="LIZ41" s="532"/>
      <c r="LJA41" s="532"/>
      <c r="LJB41" s="532"/>
      <c r="LJC41" s="532"/>
      <c r="LJD41" s="532"/>
      <c r="LJE41" s="532"/>
      <c r="LJF41" s="532"/>
      <c r="LJG41" s="532"/>
      <c r="LJH41" s="532"/>
      <c r="LJI41" s="532"/>
      <c r="LJJ41" s="532"/>
      <c r="LJK41" s="532"/>
      <c r="LJL41" s="532"/>
      <c r="LJM41" s="532"/>
      <c r="LJN41" s="532"/>
      <c r="LJO41" s="532"/>
      <c r="LJP41" s="532"/>
      <c r="LJQ41" s="532"/>
      <c r="LJR41" s="532"/>
      <c r="LJS41" s="532"/>
      <c r="LJT41" s="532"/>
      <c r="LJU41" s="532"/>
      <c r="LJV41" s="532"/>
      <c r="LJW41" s="532"/>
      <c r="LJX41" s="532"/>
      <c r="LJY41" s="532"/>
      <c r="LJZ41" s="532"/>
      <c r="LKA41" s="532"/>
      <c r="LKB41" s="532"/>
      <c r="LKC41" s="532"/>
      <c r="LKD41" s="532"/>
      <c r="LKE41" s="532"/>
      <c r="LKF41" s="532"/>
      <c r="LKG41" s="532"/>
      <c r="LKH41" s="532"/>
      <c r="LKI41" s="532"/>
      <c r="LKJ41" s="532"/>
      <c r="LKK41" s="532"/>
      <c r="LKL41" s="532"/>
      <c r="LKM41" s="532"/>
      <c r="LKN41" s="532"/>
      <c r="LKO41" s="532"/>
      <c r="LKP41" s="532"/>
      <c r="LKQ41" s="532"/>
      <c r="LKR41" s="532"/>
      <c r="LKS41" s="532"/>
      <c r="LKT41" s="532"/>
      <c r="LKU41" s="532"/>
      <c r="LKV41" s="532"/>
      <c r="LKW41" s="532"/>
      <c r="LKX41" s="532"/>
      <c r="LKY41" s="532"/>
      <c r="LKZ41" s="532"/>
      <c r="LLA41" s="532"/>
      <c r="LLB41" s="532"/>
      <c r="LLC41" s="532"/>
      <c r="LLD41" s="532"/>
      <c r="LLE41" s="532"/>
      <c r="LLF41" s="532"/>
      <c r="LLG41" s="532"/>
      <c r="LLH41" s="532"/>
      <c r="LLI41" s="532"/>
      <c r="LLJ41" s="532"/>
      <c r="LLK41" s="532"/>
      <c r="LLL41" s="532"/>
      <c r="LLM41" s="532"/>
      <c r="LLN41" s="532"/>
      <c r="LLO41" s="532"/>
      <c r="LLP41" s="532"/>
      <c r="LLQ41" s="532"/>
      <c r="LLR41" s="532"/>
      <c r="LLS41" s="532"/>
      <c r="LLT41" s="532"/>
      <c r="LLU41" s="532"/>
      <c r="LLV41" s="532"/>
      <c r="LLW41" s="532"/>
      <c r="LLX41" s="532"/>
      <c r="LLY41" s="532"/>
      <c r="LLZ41" s="532"/>
      <c r="LMA41" s="532"/>
      <c r="LMB41" s="532"/>
      <c r="LMC41" s="532"/>
      <c r="LMD41" s="532"/>
      <c r="LME41" s="532"/>
      <c r="LMF41" s="532"/>
      <c r="LMG41" s="532"/>
      <c r="LMH41" s="532"/>
      <c r="LMI41" s="532"/>
      <c r="LMJ41" s="532"/>
      <c r="LMK41" s="532"/>
      <c r="LML41" s="532"/>
      <c r="LMM41" s="532"/>
      <c r="LMN41" s="532"/>
      <c r="LMO41" s="532"/>
      <c r="LMP41" s="532"/>
      <c r="LMQ41" s="532"/>
      <c r="LMR41" s="532"/>
      <c r="LMS41" s="532"/>
      <c r="LMT41" s="532"/>
      <c r="LMU41" s="532"/>
      <c r="LMV41" s="532"/>
      <c r="LMW41" s="532"/>
      <c r="LMX41" s="532"/>
      <c r="LMY41" s="532"/>
      <c r="LMZ41" s="532"/>
      <c r="LNA41" s="532"/>
      <c r="LNB41" s="532"/>
      <c r="LNC41" s="532"/>
      <c r="LND41" s="532"/>
      <c r="LNE41" s="532"/>
      <c r="LNF41" s="532"/>
      <c r="LNG41" s="532"/>
      <c r="LNH41" s="532"/>
      <c r="LNI41" s="532"/>
      <c r="LNJ41" s="532"/>
      <c r="LNK41" s="532"/>
      <c r="LNL41" s="532"/>
      <c r="LNM41" s="532"/>
      <c r="LNN41" s="532"/>
      <c r="LNO41" s="532"/>
      <c r="LNP41" s="532"/>
      <c r="LNQ41" s="532"/>
      <c r="LNR41" s="532"/>
      <c r="LNS41" s="532"/>
      <c r="LNT41" s="532"/>
      <c r="LNU41" s="532"/>
      <c r="LNV41" s="532"/>
      <c r="LNW41" s="532"/>
      <c r="LNX41" s="532"/>
      <c r="LNY41" s="532"/>
      <c r="LNZ41" s="532"/>
      <c r="LOA41" s="532"/>
      <c r="LOB41" s="532"/>
      <c r="LOC41" s="532"/>
      <c r="LOD41" s="532"/>
      <c r="LOE41" s="532"/>
      <c r="LOF41" s="532"/>
      <c r="LOG41" s="532"/>
      <c r="LOH41" s="532"/>
      <c r="LOI41" s="532"/>
      <c r="LOJ41" s="532"/>
      <c r="LOK41" s="532"/>
      <c r="LOL41" s="532"/>
      <c r="LOM41" s="532"/>
      <c r="LON41" s="532"/>
      <c r="LOO41" s="532"/>
      <c r="LOP41" s="532"/>
      <c r="LOQ41" s="532"/>
      <c r="LOR41" s="532"/>
      <c r="LOS41" s="532"/>
      <c r="LOT41" s="532"/>
      <c r="LOU41" s="532"/>
      <c r="LOV41" s="532"/>
      <c r="LOW41" s="532"/>
      <c r="LOX41" s="532"/>
      <c r="LOY41" s="532"/>
      <c r="LOZ41" s="532"/>
      <c r="LPA41" s="532"/>
      <c r="LPB41" s="532"/>
      <c r="LPC41" s="532"/>
      <c r="LPD41" s="532"/>
      <c r="LPE41" s="532"/>
      <c r="LPF41" s="532"/>
      <c r="LPG41" s="532"/>
      <c r="LPH41" s="532"/>
      <c r="LPI41" s="532"/>
      <c r="LPJ41" s="532"/>
      <c r="LPK41" s="532"/>
      <c r="LPL41" s="532"/>
      <c r="LPM41" s="532"/>
      <c r="LPN41" s="532"/>
      <c r="LPO41" s="532"/>
      <c r="LPP41" s="532"/>
      <c r="LPQ41" s="532"/>
      <c r="LPR41" s="532"/>
      <c r="LPS41" s="532"/>
      <c r="LPT41" s="532"/>
      <c r="LPU41" s="532"/>
      <c r="LPV41" s="532"/>
      <c r="LPW41" s="532"/>
      <c r="LPX41" s="532"/>
      <c r="LPY41" s="532"/>
      <c r="LPZ41" s="532"/>
      <c r="LQA41" s="532"/>
      <c r="LQB41" s="532"/>
      <c r="LQC41" s="532"/>
      <c r="LQD41" s="532"/>
      <c r="LQE41" s="532"/>
      <c r="LQF41" s="532"/>
      <c r="LQG41" s="532"/>
      <c r="LQH41" s="532"/>
      <c r="LQI41" s="532"/>
      <c r="LQJ41" s="532"/>
      <c r="LQK41" s="532"/>
      <c r="LQL41" s="532"/>
      <c r="LQM41" s="532"/>
      <c r="LQN41" s="532"/>
      <c r="LQO41" s="532"/>
      <c r="LQP41" s="532"/>
      <c r="LQQ41" s="532"/>
      <c r="LQR41" s="532"/>
      <c r="LQS41" s="532"/>
      <c r="LQT41" s="532"/>
      <c r="LQU41" s="532"/>
      <c r="LQV41" s="532"/>
      <c r="LQW41" s="532"/>
      <c r="LQX41" s="532"/>
      <c r="LQY41" s="532"/>
      <c r="LQZ41" s="532"/>
      <c r="LRA41" s="532"/>
      <c r="LRB41" s="532"/>
      <c r="LRC41" s="532"/>
      <c r="LRD41" s="532"/>
      <c r="LRE41" s="532"/>
      <c r="LRF41" s="532"/>
      <c r="LRG41" s="532"/>
      <c r="LRH41" s="532"/>
      <c r="LRI41" s="532"/>
      <c r="LRJ41" s="532"/>
      <c r="LRK41" s="532"/>
      <c r="LRL41" s="532"/>
      <c r="LRM41" s="532"/>
      <c r="LRN41" s="532"/>
      <c r="LRO41" s="532"/>
      <c r="LRP41" s="532"/>
      <c r="LRQ41" s="532"/>
      <c r="LRR41" s="532"/>
      <c r="LRS41" s="532"/>
      <c r="LRT41" s="532"/>
      <c r="LRU41" s="532"/>
      <c r="LRV41" s="532"/>
      <c r="LRW41" s="532"/>
      <c r="LRX41" s="532"/>
      <c r="LRY41" s="532"/>
      <c r="LRZ41" s="532"/>
      <c r="LSA41" s="532"/>
      <c r="LSB41" s="532"/>
      <c r="LSC41" s="532"/>
      <c r="LSD41" s="532"/>
      <c r="LSE41" s="532"/>
      <c r="LSF41" s="532"/>
      <c r="LSG41" s="532"/>
      <c r="LSH41" s="532"/>
      <c r="LSI41" s="532"/>
      <c r="LSJ41" s="532"/>
      <c r="LSK41" s="532"/>
      <c r="LSL41" s="532"/>
      <c r="LSM41" s="532"/>
      <c r="LSN41" s="532"/>
      <c r="LSO41" s="532"/>
      <c r="LSP41" s="532"/>
      <c r="LSQ41" s="532"/>
      <c r="LSR41" s="532"/>
      <c r="LSS41" s="532"/>
      <c r="LST41" s="532"/>
      <c r="LSU41" s="532"/>
      <c r="LSV41" s="532"/>
      <c r="LSW41" s="532"/>
      <c r="LSX41" s="532"/>
      <c r="LSY41" s="532"/>
      <c r="LSZ41" s="532"/>
      <c r="LTA41" s="532"/>
      <c r="LTB41" s="532"/>
      <c r="LTC41" s="532"/>
      <c r="LTD41" s="532"/>
      <c r="LTE41" s="532"/>
      <c r="LTF41" s="532"/>
      <c r="LTG41" s="532"/>
      <c r="LTH41" s="532"/>
      <c r="LTI41" s="532"/>
      <c r="LTJ41" s="532"/>
      <c r="LTK41" s="532"/>
      <c r="LTL41" s="532"/>
      <c r="LTM41" s="532"/>
      <c r="LTN41" s="532"/>
      <c r="LTO41" s="532"/>
      <c r="LTP41" s="532"/>
      <c r="LTQ41" s="532"/>
      <c r="LTR41" s="532"/>
      <c r="LTS41" s="532"/>
      <c r="LTT41" s="532"/>
      <c r="LTU41" s="532"/>
      <c r="LTV41" s="532"/>
      <c r="LTW41" s="532"/>
      <c r="LTX41" s="532"/>
      <c r="LTY41" s="532"/>
      <c r="LTZ41" s="532"/>
      <c r="LUA41" s="532"/>
      <c r="LUB41" s="532"/>
      <c r="LUC41" s="532"/>
      <c r="LUD41" s="532"/>
      <c r="LUE41" s="532"/>
      <c r="LUF41" s="532"/>
      <c r="LUG41" s="532"/>
      <c r="LUH41" s="532"/>
      <c r="LUI41" s="532"/>
      <c r="LUJ41" s="532"/>
      <c r="LUK41" s="532"/>
      <c r="LUL41" s="532"/>
      <c r="LUM41" s="532"/>
      <c r="LUN41" s="532"/>
      <c r="LUO41" s="532"/>
      <c r="LUP41" s="532"/>
      <c r="LUQ41" s="532"/>
      <c r="LUR41" s="532"/>
      <c r="LUS41" s="532"/>
      <c r="LUT41" s="532"/>
      <c r="LUU41" s="532"/>
      <c r="LUV41" s="532"/>
      <c r="LUW41" s="532"/>
      <c r="LUX41" s="532"/>
      <c r="LUY41" s="532"/>
      <c r="LUZ41" s="532"/>
      <c r="LVA41" s="532"/>
      <c r="LVB41" s="532"/>
      <c r="LVC41" s="532"/>
      <c r="LVD41" s="532"/>
      <c r="LVE41" s="532"/>
      <c r="LVF41" s="532"/>
      <c r="LVG41" s="532"/>
      <c r="LVH41" s="532"/>
      <c r="LVI41" s="532"/>
      <c r="LVJ41" s="532"/>
      <c r="LVK41" s="532"/>
      <c r="LVL41" s="532"/>
      <c r="LVM41" s="532"/>
      <c r="LVN41" s="532"/>
      <c r="LVO41" s="532"/>
      <c r="LVP41" s="532"/>
      <c r="LVQ41" s="532"/>
      <c r="LVR41" s="532"/>
      <c r="LVS41" s="532"/>
      <c r="LVT41" s="532"/>
      <c r="LVU41" s="532"/>
      <c r="LVV41" s="532"/>
      <c r="LVW41" s="532"/>
      <c r="LVX41" s="532"/>
      <c r="LVY41" s="532"/>
      <c r="LVZ41" s="532"/>
      <c r="LWA41" s="532"/>
      <c r="LWB41" s="532"/>
      <c r="LWC41" s="532"/>
      <c r="LWD41" s="532"/>
      <c r="LWE41" s="532"/>
      <c r="LWF41" s="532"/>
      <c r="LWG41" s="532"/>
      <c r="LWH41" s="532"/>
      <c r="LWI41" s="532"/>
      <c r="LWJ41" s="532"/>
      <c r="LWK41" s="532"/>
      <c r="LWL41" s="532"/>
      <c r="LWM41" s="532"/>
      <c r="LWN41" s="532"/>
      <c r="LWO41" s="532"/>
      <c r="LWP41" s="532"/>
      <c r="LWQ41" s="532"/>
      <c r="LWR41" s="532"/>
      <c r="LWS41" s="532"/>
      <c r="LWT41" s="532"/>
      <c r="LWU41" s="532"/>
      <c r="LWV41" s="532"/>
      <c r="LWW41" s="532"/>
      <c r="LWX41" s="532"/>
      <c r="LWY41" s="532"/>
      <c r="LWZ41" s="532"/>
      <c r="LXA41" s="532"/>
      <c r="LXB41" s="532"/>
      <c r="LXC41" s="532"/>
      <c r="LXD41" s="532"/>
      <c r="LXE41" s="532"/>
      <c r="LXF41" s="532"/>
      <c r="LXG41" s="532"/>
      <c r="LXH41" s="532"/>
      <c r="LXI41" s="532"/>
      <c r="LXJ41" s="532"/>
      <c r="LXK41" s="532"/>
      <c r="LXL41" s="532"/>
      <c r="LXM41" s="532"/>
      <c r="LXN41" s="532"/>
      <c r="LXO41" s="532"/>
      <c r="LXP41" s="532"/>
      <c r="LXQ41" s="532"/>
      <c r="LXR41" s="532"/>
      <c r="LXS41" s="532"/>
      <c r="LXT41" s="532"/>
      <c r="LXU41" s="532"/>
      <c r="LXV41" s="532"/>
      <c r="LXW41" s="532"/>
      <c r="LXX41" s="532"/>
      <c r="LXY41" s="532"/>
      <c r="LXZ41" s="532"/>
      <c r="LYA41" s="532"/>
      <c r="LYB41" s="532"/>
      <c r="LYC41" s="532"/>
      <c r="LYD41" s="532"/>
      <c r="LYE41" s="532"/>
      <c r="LYF41" s="532"/>
      <c r="LYG41" s="532"/>
      <c r="LYH41" s="532"/>
      <c r="LYI41" s="532"/>
      <c r="LYJ41" s="532"/>
      <c r="LYK41" s="532"/>
      <c r="LYL41" s="532"/>
      <c r="LYM41" s="532"/>
      <c r="LYN41" s="532"/>
      <c r="LYO41" s="532"/>
      <c r="LYP41" s="532"/>
      <c r="LYQ41" s="532"/>
      <c r="LYR41" s="532"/>
      <c r="LYS41" s="532"/>
      <c r="LYT41" s="532"/>
      <c r="LYU41" s="532"/>
      <c r="LYV41" s="532"/>
      <c r="LYW41" s="532"/>
      <c r="LYX41" s="532"/>
      <c r="LYY41" s="532"/>
      <c r="LYZ41" s="532"/>
      <c r="LZA41" s="532"/>
      <c r="LZB41" s="532"/>
      <c r="LZC41" s="532"/>
      <c r="LZD41" s="532"/>
      <c r="LZE41" s="532"/>
      <c r="LZF41" s="532"/>
      <c r="LZG41" s="532"/>
      <c r="LZH41" s="532"/>
      <c r="LZI41" s="532"/>
      <c r="LZJ41" s="532"/>
      <c r="LZK41" s="532"/>
      <c r="LZL41" s="532"/>
      <c r="LZM41" s="532"/>
      <c r="LZN41" s="532"/>
      <c r="LZO41" s="532"/>
      <c r="LZP41" s="532"/>
      <c r="LZQ41" s="532"/>
      <c r="LZR41" s="532"/>
      <c r="LZS41" s="532"/>
      <c r="LZT41" s="532"/>
      <c r="LZU41" s="532"/>
      <c r="LZV41" s="532"/>
      <c r="LZW41" s="532"/>
      <c r="LZX41" s="532"/>
      <c r="LZY41" s="532"/>
      <c r="LZZ41" s="532"/>
      <c r="MAA41" s="532"/>
      <c r="MAB41" s="532"/>
      <c r="MAC41" s="532"/>
      <c r="MAD41" s="532"/>
      <c r="MAE41" s="532"/>
      <c r="MAF41" s="532"/>
      <c r="MAG41" s="532"/>
      <c r="MAH41" s="532"/>
      <c r="MAI41" s="532"/>
      <c r="MAJ41" s="532"/>
      <c r="MAK41" s="532"/>
      <c r="MAL41" s="532"/>
      <c r="MAM41" s="532"/>
      <c r="MAN41" s="532"/>
      <c r="MAO41" s="532"/>
      <c r="MAP41" s="532"/>
      <c r="MAQ41" s="532"/>
      <c r="MAR41" s="532"/>
      <c r="MAS41" s="532"/>
      <c r="MAT41" s="532"/>
      <c r="MAU41" s="532"/>
      <c r="MAV41" s="532"/>
      <c r="MAW41" s="532"/>
      <c r="MAX41" s="532"/>
      <c r="MAY41" s="532"/>
      <c r="MAZ41" s="532"/>
      <c r="MBA41" s="532"/>
      <c r="MBB41" s="532"/>
      <c r="MBC41" s="532"/>
      <c r="MBD41" s="532"/>
      <c r="MBE41" s="532"/>
      <c r="MBF41" s="532"/>
      <c r="MBG41" s="532"/>
      <c r="MBH41" s="532"/>
      <c r="MBI41" s="532"/>
      <c r="MBJ41" s="532"/>
      <c r="MBK41" s="532"/>
      <c r="MBL41" s="532"/>
      <c r="MBM41" s="532"/>
      <c r="MBN41" s="532"/>
      <c r="MBO41" s="532"/>
      <c r="MBP41" s="532"/>
      <c r="MBQ41" s="532"/>
      <c r="MBR41" s="532"/>
      <c r="MBS41" s="532"/>
      <c r="MBT41" s="532"/>
      <c r="MBU41" s="532"/>
      <c r="MBV41" s="532"/>
      <c r="MBW41" s="532"/>
      <c r="MBX41" s="532"/>
      <c r="MBY41" s="532"/>
      <c r="MBZ41" s="532"/>
      <c r="MCA41" s="532"/>
      <c r="MCB41" s="532"/>
      <c r="MCC41" s="532"/>
      <c r="MCD41" s="532"/>
      <c r="MCE41" s="532"/>
      <c r="MCF41" s="532"/>
      <c r="MCG41" s="532"/>
      <c r="MCH41" s="532"/>
      <c r="MCI41" s="532"/>
      <c r="MCJ41" s="532"/>
      <c r="MCK41" s="532"/>
      <c r="MCL41" s="532"/>
      <c r="MCM41" s="532"/>
      <c r="MCN41" s="532"/>
      <c r="MCO41" s="532"/>
      <c r="MCP41" s="532"/>
      <c r="MCQ41" s="532"/>
      <c r="MCR41" s="532"/>
      <c r="MCS41" s="532"/>
      <c r="MCT41" s="532"/>
      <c r="MCU41" s="532"/>
      <c r="MCV41" s="532"/>
      <c r="MCW41" s="532"/>
      <c r="MCX41" s="532"/>
      <c r="MCY41" s="532"/>
      <c r="MCZ41" s="532"/>
      <c r="MDA41" s="532"/>
      <c r="MDB41" s="532"/>
      <c r="MDC41" s="532"/>
      <c r="MDD41" s="532"/>
      <c r="MDE41" s="532"/>
      <c r="MDF41" s="532"/>
      <c r="MDG41" s="532"/>
      <c r="MDH41" s="532"/>
      <c r="MDI41" s="532"/>
      <c r="MDJ41" s="532"/>
      <c r="MDK41" s="532"/>
      <c r="MDL41" s="532"/>
      <c r="MDM41" s="532"/>
      <c r="MDN41" s="532"/>
      <c r="MDO41" s="532"/>
      <c r="MDP41" s="532"/>
      <c r="MDQ41" s="532"/>
      <c r="MDR41" s="532"/>
      <c r="MDS41" s="532"/>
      <c r="MDT41" s="532"/>
      <c r="MDU41" s="532"/>
      <c r="MDV41" s="532"/>
      <c r="MDW41" s="532"/>
      <c r="MDX41" s="532"/>
      <c r="MDY41" s="532"/>
      <c r="MDZ41" s="532"/>
      <c r="MEA41" s="532"/>
      <c r="MEB41" s="532"/>
      <c r="MEC41" s="532"/>
      <c r="MED41" s="532"/>
      <c r="MEE41" s="532"/>
      <c r="MEF41" s="532"/>
      <c r="MEG41" s="532"/>
      <c r="MEH41" s="532"/>
      <c r="MEI41" s="532"/>
      <c r="MEJ41" s="532"/>
      <c r="MEK41" s="532"/>
      <c r="MEL41" s="532"/>
      <c r="MEM41" s="532"/>
      <c r="MEN41" s="532"/>
      <c r="MEO41" s="532"/>
      <c r="MEP41" s="532"/>
      <c r="MEQ41" s="532"/>
      <c r="MER41" s="532"/>
      <c r="MES41" s="532"/>
      <c r="MET41" s="532"/>
      <c r="MEU41" s="532"/>
      <c r="MEV41" s="532"/>
      <c r="MEW41" s="532"/>
      <c r="MEX41" s="532"/>
      <c r="MEY41" s="532"/>
      <c r="MEZ41" s="532"/>
      <c r="MFA41" s="532"/>
      <c r="MFB41" s="532"/>
      <c r="MFC41" s="532"/>
      <c r="MFD41" s="532"/>
      <c r="MFE41" s="532"/>
      <c r="MFF41" s="532"/>
      <c r="MFG41" s="532"/>
      <c r="MFH41" s="532"/>
      <c r="MFI41" s="532"/>
      <c r="MFJ41" s="532"/>
      <c r="MFK41" s="532"/>
      <c r="MFL41" s="532"/>
      <c r="MFM41" s="532"/>
      <c r="MFN41" s="532"/>
      <c r="MFO41" s="532"/>
      <c r="MFP41" s="532"/>
      <c r="MFQ41" s="532"/>
      <c r="MFR41" s="532"/>
      <c r="MFS41" s="532"/>
      <c r="MFT41" s="532"/>
      <c r="MFU41" s="532"/>
      <c r="MFV41" s="532"/>
      <c r="MFW41" s="532"/>
      <c r="MFX41" s="532"/>
      <c r="MFY41" s="532"/>
      <c r="MFZ41" s="532"/>
      <c r="MGA41" s="532"/>
      <c r="MGB41" s="532"/>
      <c r="MGC41" s="532"/>
      <c r="MGD41" s="532"/>
      <c r="MGE41" s="532"/>
      <c r="MGF41" s="532"/>
      <c r="MGG41" s="532"/>
      <c r="MGH41" s="532"/>
      <c r="MGI41" s="532"/>
      <c r="MGJ41" s="532"/>
      <c r="MGK41" s="532"/>
      <c r="MGL41" s="532"/>
      <c r="MGM41" s="532"/>
      <c r="MGN41" s="532"/>
      <c r="MGO41" s="532"/>
      <c r="MGP41" s="532"/>
      <c r="MGQ41" s="532"/>
      <c r="MGR41" s="532"/>
      <c r="MGS41" s="532"/>
      <c r="MGT41" s="532"/>
      <c r="MGU41" s="532"/>
      <c r="MGV41" s="532"/>
      <c r="MGW41" s="532"/>
      <c r="MGX41" s="532"/>
      <c r="MGY41" s="532"/>
      <c r="MGZ41" s="532"/>
      <c r="MHA41" s="532"/>
      <c r="MHB41" s="532"/>
      <c r="MHC41" s="532"/>
      <c r="MHD41" s="532"/>
      <c r="MHE41" s="532"/>
      <c r="MHF41" s="532"/>
      <c r="MHG41" s="532"/>
      <c r="MHH41" s="532"/>
      <c r="MHI41" s="532"/>
      <c r="MHJ41" s="532"/>
      <c r="MHK41" s="532"/>
      <c r="MHL41" s="532"/>
      <c r="MHM41" s="532"/>
      <c r="MHN41" s="532"/>
      <c r="MHO41" s="532"/>
      <c r="MHP41" s="532"/>
      <c r="MHQ41" s="532"/>
      <c r="MHR41" s="532"/>
      <c r="MHS41" s="532"/>
      <c r="MHT41" s="532"/>
      <c r="MHU41" s="532"/>
      <c r="MHV41" s="532"/>
      <c r="MHW41" s="532"/>
      <c r="MHX41" s="532"/>
      <c r="MHY41" s="532"/>
      <c r="MHZ41" s="532"/>
      <c r="MIA41" s="532"/>
      <c r="MIB41" s="532"/>
      <c r="MIC41" s="532"/>
      <c r="MID41" s="532"/>
      <c r="MIE41" s="532"/>
      <c r="MIF41" s="532"/>
      <c r="MIG41" s="532"/>
      <c r="MIH41" s="532"/>
      <c r="MII41" s="532"/>
      <c r="MIJ41" s="532"/>
      <c r="MIK41" s="532"/>
      <c r="MIL41" s="532"/>
      <c r="MIM41" s="532"/>
      <c r="MIN41" s="532"/>
      <c r="MIO41" s="532"/>
      <c r="MIP41" s="532"/>
      <c r="MIQ41" s="532"/>
      <c r="MIR41" s="532"/>
      <c r="MIS41" s="532"/>
      <c r="MIT41" s="532"/>
      <c r="MIU41" s="532"/>
      <c r="MIV41" s="532"/>
      <c r="MIW41" s="532"/>
      <c r="MIX41" s="532"/>
      <c r="MIY41" s="532"/>
      <c r="MIZ41" s="532"/>
      <c r="MJA41" s="532"/>
      <c r="MJB41" s="532"/>
      <c r="MJC41" s="532"/>
      <c r="MJD41" s="532"/>
      <c r="MJE41" s="532"/>
      <c r="MJF41" s="532"/>
      <c r="MJG41" s="532"/>
      <c r="MJH41" s="532"/>
      <c r="MJI41" s="532"/>
      <c r="MJJ41" s="532"/>
      <c r="MJK41" s="532"/>
      <c r="MJL41" s="532"/>
      <c r="MJM41" s="532"/>
      <c r="MJN41" s="532"/>
      <c r="MJO41" s="532"/>
      <c r="MJP41" s="532"/>
      <c r="MJQ41" s="532"/>
      <c r="MJR41" s="532"/>
      <c r="MJS41" s="532"/>
      <c r="MJT41" s="532"/>
      <c r="MJU41" s="532"/>
      <c r="MJV41" s="532"/>
      <c r="MJW41" s="532"/>
      <c r="MJX41" s="532"/>
      <c r="MJY41" s="532"/>
      <c r="MJZ41" s="532"/>
      <c r="MKA41" s="532"/>
      <c r="MKB41" s="532"/>
      <c r="MKC41" s="532"/>
      <c r="MKD41" s="532"/>
      <c r="MKE41" s="532"/>
      <c r="MKF41" s="532"/>
      <c r="MKG41" s="532"/>
      <c r="MKH41" s="532"/>
      <c r="MKI41" s="532"/>
      <c r="MKJ41" s="532"/>
      <c r="MKK41" s="532"/>
      <c r="MKL41" s="532"/>
      <c r="MKM41" s="532"/>
      <c r="MKN41" s="532"/>
      <c r="MKO41" s="532"/>
      <c r="MKP41" s="532"/>
      <c r="MKQ41" s="532"/>
      <c r="MKR41" s="532"/>
      <c r="MKS41" s="532"/>
      <c r="MKT41" s="532"/>
      <c r="MKU41" s="532"/>
      <c r="MKV41" s="532"/>
      <c r="MKW41" s="532"/>
      <c r="MKX41" s="532"/>
      <c r="MKY41" s="532"/>
      <c r="MKZ41" s="532"/>
      <c r="MLA41" s="532"/>
      <c r="MLB41" s="532"/>
      <c r="MLC41" s="532"/>
      <c r="MLD41" s="532"/>
      <c r="MLE41" s="532"/>
      <c r="MLF41" s="532"/>
      <c r="MLG41" s="532"/>
      <c r="MLH41" s="532"/>
      <c r="MLI41" s="532"/>
      <c r="MLJ41" s="532"/>
      <c r="MLK41" s="532"/>
      <c r="MLL41" s="532"/>
      <c r="MLM41" s="532"/>
      <c r="MLN41" s="532"/>
      <c r="MLO41" s="532"/>
      <c r="MLP41" s="532"/>
      <c r="MLQ41" s="532"/>
      <c r="MLR41" s="532"/>
      <c r="MLS41" s="532"/>
      <c r="MLT41" s="532"/>
      <c r="MLU41" s="532"/>
      <c r="MLV41" s="532"/>
      <c r="MLW41" s="532"/>
      <c r="MLX41" s="532"/>
      <c r="MLY41" s="532"/>
      <c r="MLZ41" s="532"/>
      <c r="MMA41" s="532"/>
      <c r="MMB41" s="532"/>
      <c r="MMC41" s="532"/>
      <c r="MMD41" s="532"/>
      <c r="MME41" s="532"/>
      <c r="MMF41" s="532"/>
      <c r="MMG41" s="532"/>
      <c r="MMH41" s="532"/>
      <c r="MMI41" s="532"/>
      <c r="MMJ41" s="532"/>
      <c r="MMK41" s="532"/>
      <c r="MML41" s="532"/>
      <c r="MMM41" s="532"/>
      <c r="MMN41" s="532"/>
      <c r="MMO41" s="532"/>
      <c r="MMP41" s="532"/>
      <c r="MMQ41" s="532"/>
      <c r="MMR41" s="532"/>
      <c r="MMS41" s="532"/>
      <c r="MMT41" s="532"/>
      <c r="MMU41" s="532"/>
      <c r="MMV41" s="532"/>
      <c r="MMW41" s="532"/>
      <c r="MMX41" s="532"/>
      <c r="MMY41" s="532"/>
      <c r="MMZ41" s="532"/>
      <c r="MNA41" s="532"/>
      <c r="MNB41" s="532"/>
      <c r="MNC41" s="532"/>
      <c r="MND41" s="532"/>
      <c r="MNE41" s="532"/>
      <c r="MNF41" s="532"/>
      <c r="MNG41" s="532"/>
      <c r="MNH41" s="532"/>
      <c r="MNI41" s="532"/>
      <c r="MNJ41" s="532"/>
      <c r="MNK41" s="532"/>
      <c r="MNL41" s="532"/>
      <c r="MNM41" s="532"/>
      <c r="MNN41" s="532"/>
      <c r="MNO41" s="532"/>
      <c r="MNP41" s="532"/>
      <c r="MNQ41" s="532"/>
      <c r="MNR41" s="532"/>
      <c r="MNS41" s="532"/>
      <c r="MNT41" s="532"/>
      <c r="MNU41" s="532"/>
      <c r="MNV41" s="532"/>
      <c r="MNW41" s="532"/>
      <c r="MNX41" s="532"/>
      <c r="MNY41" s="532"/>
      <c r="MNZ41" s="532"/>
      <c r="MOA41" s="532"/>
      <c r="MOB41" s="532"/>
      <c r="MOC41" s="532"/>
      <c r="MOD41" s="532"/>
      <c r="MOE41" s="532"/>
      <c r="MOF41" s="532"/>
      <c r="MOG41" s="532"/>
      <c r="MOH41" s="532"/>
      <c r="MOI41" s="532"/>
      <c r="MOJ41" s="532"/>
      <c r="MOK41" s="532"/>
      <c r="MOL41" s="532"/>
      <c r="MOM41" s="532"/>
      <c r="MON41" s="532"/>
      <c r="MOO41" s="532"/>
      <c r="MOP41" s="532"/>
      <c r="MOQ41" s="532"/>
      <c r="MOR41" s="532"/>
      <c r="MOS41" s="532"/>
      <c r="MOT41" s="532"/>
      <c r="MOU41" s="532"/>
      <c r="MOV41" s="532"/>
      <c r="MOW41" s="532"/>
      <c r="MOX41" s="532"/>
      <c r="MOY41" s="532"/>
      <c r="MOZ41" s="532"/>
      <c r="MPA41" s="532"/>
      <c r="MPB41" s="532"/>
      <c r="MPC41" s="532"/>
      <c r="MPD41" s="532"/>
      <c r="MPE41" s="532"/>
      <c r="MPF41" s="532"/>
      <c r="MPG41" s="532"/>
      <c r="MPH41" s="532"/>
      <c r="MPI41" s="532"/>
      <c r="MPJ41" s="532"/>
      <c r="MPK41" s="532"/>
      <c r="MPL41" s="532"/>
      <c r="MPM41" s="532"/>
      <c r="MPN41" s="532"/>
      <c r="MPO41" s="532"/>
      <c r="MPP41" s="532"/>
      <c r="MPQ41" s="532"/>
      <c r="MPR41" s="532"/>
      <c r="MPS41" s="532"/>
      <c r="MPT41" s="532"/>
      <c r="MPU41" s="532"/>
      <c r="MPV41" s="532"/>
      <c r="MPW41" s="532"/>
      <c r="MPX41" s="532"/>
      <c r="MPY41" s="532"/>
      <c r="MPZ41" s="532"/>
      <c r="MQA41" s="532"/>
      <c r="MQB41" s="532"/>
      <c r="MQC41" s="532"/>
      <c r="MQD41" s="532"/>
      <c r="MQE41" s="532"/>
      <c r="MQF41" s="532"/>
      <c r="MQG41" s="532"/>
      <c r="MQH41" s="532"/>
      <c r="MQI41" s="532"/>
      <c r="MQJ41" s="532"/>
      <c r="MQK41" s="532"/>
      <c r="MQL41" s="532"/>
      <c r="MQM41" s="532"/>
      <c r="MQN41" s="532"/>
      <c r="MQO41" s="532"/>
      <c r="MQP41" s="532"/>
      <c r="MQQ41" s="532"/>
      <c r="MQR41" s="532"/>
      <c r="MQS41" s="532"/>
      <c r="MQT41" s="532"/>
      <c r="MQU41" s="532"/>
      <c r="MQV41" s="532"/>
      <c r="MQW41" s="532"/>
      <c r="MQX41" s="532"/>
      <c r="MQY41" s="532"/>
      <c r="MQZ41" s="532"/>
      <c r="MRA41" s="532"/>
      <c r="MRB41" s="532"/>
      <c r="MRC41" s="532"/>
      <c r="MRD41" s="532"/>
      <c r="MRE41" s="532"/>
      <c r="MRF41" s="532"/>
      <c r="MRG41" s="532"/>
      <c r="MRH41" s="532"/>
      <c r="MRI41" s="532"/>
      <c r="MRJ41" s="532"/>
      <c r="MRK41" s="532"/>
      <c r="MRL41" s="532"/>
      <c r="MRM41" s="532"/>
      <c r="MRN41" s="532"/>
      <c r="MRO41" s="532"/>
      <c r="MRP41" s="532"/>
      <c r="MRQ41" s="532"/>
      <c r="MRR41" s="532"/>
      <c r="MRS41" s="532"/>
      <c r="MRT41" s="532"/>
      <c r="MRU41" s="532"/>
      <c r="MRV41" s="532"/>
      <c r="MRW41" s="532"/>
      <c r="MRX41" s="532"/>
      <c r="MRY41" s="532"/>
      <c r="MRZ41" s="532"/>
      <c r="MSA41" s="532"/>
      <c r="MSB41" s="532"/>
      <c r="MSC41" s="532"/>
      <c r="MSD41" s="532"/>
      <c r="MSE41" s="532"/>
      <c r="MSF41" s="532"/>
      <c r="MSG41" s="532"/>
      <c r="MSH41" s="532"/>
      <c r="MSI41" s="532"/>
      <c r="MSJ41" s="532"/>
      <c r="MSK41" s="532"/>
      <c r="MSL41" s="532"/>
      <c r="MSM41" s="532"/>
      <c r="MSN41" s="532"/>
      <c r="MSO41" s="532"/>
      <c r="MSP41" s="532"/>
      <c r="MSQ41" s="532"/>
      <c r="MSR41" s="532"/>
      <c r="MSS41" s="532"/>
      <c r="MST41" s="532"/>
      <c r="MSU41" s="532"/>
      <c r="MSV41" s="532"/>
      <c r="MSW41" s="532"/>
      <c r="MSX41" s="532"/>
      <c r="MSY41" s="532"/>
      <c r="MSZ41" s="532"/>
      <c r="MTA41" s="532"/>
      <c r="MTB41" s="532"/>
      <c r="MTC41" s="532"/>
      <c r="MTD41" s="532"/>
      <c r="MTE41" s="532"/>
      <c r="MTF41" s="532"/>
      <c r="MTG41" s="532"/>
      <c r="MTH41" s="532"/>
      <c r="MTI41" s="532"/>
      <c r="MTJ41" s="532"/>
      <c r="MTK41" s="532"/>
      <c r="MTL41" s="532"/>
      <c r="MTM41" s="532"/>
      <c r="MTN41" s="532"/>
      <c r="MTO41" s="532"/>
      <c r="MTP41" s="532"/>
      <c r="MTQ41" s="532"/>
      <c r="MTR41" s="532"/>
      <c r="MTS41" s="532"/>
      <c r="MTT41" s="532"/>
      <c r="MTU41" s="532"/>
      <c r="MTV41" s="532"/>
      <c r="MTW41" s="532"/>
      <c r="MTX41" s="532"/>
      <c r="MTY41" s="532"/>
      <c r="MTZ41" s="532"/>
      <c r="MUA41" s="532"/>
      <c r="MUB41" s="532"/>
      <c r="MUC41" s="532"/>
      <c r="MUD41" s="532"/>
      <c r="MUE41" s="532"/>
      <c r="MUF41" s="532"/>
      <c r="MUG41" s="532"/>
      <c r="MUH41" s="532"/>
      <c r="MUI41" s="532"/>
      <c r="MUJ41" s="532"/>
      <c r="MUK41" s="532"/>
      <c r="MUL41" s="532"/>
      <c r="MUM41" s="532"/>
      <c r="MUN41" s="532"/>
      <c r="MUO41" s="532"/>
      <c r="MUP41" s="532"/>
      <c r="MUQ41" s="532"/>
      <c r="MUR41" s="532"/>
      <c r="MUS41" s="532"/>
      <c r="MUT41" s="532"/>
      <c r="MUU41" s="532"/>
      <c r="MUV41" s="532"/>
      <c r="MUW41" s="532"/>
      <c r="MUX41" s="532"/>
      <c r="MUY41" s="532"/>
      <c r="MUZ41" s="532"/>
      <c r="MVA41" s="532"/>
      <c r="MVB41" s="532"/>
      <c r="MVC41" s="532"/>
      <c r="MVD41" s="532"/>
      <c r="MVE41" s="532"/>
      <c r="MVF41" s="532"/>
      <c r="MVG41" s="532"/>
      <c r="MVH41" s="532"/>
      <c r="MVI41" s="532"/>
      <c r="MVJ41" s="532"/>
      <c r="MVK41" s="532"/>
      <c r="MVL41" s="532"/>
      <c r="MVM41" s="532"/>
      <c r="MVN41" s="532"/>
      <c r="MVO41" s="532"/>
      <c r="MVP41" s="532"/>
      <c r="MVQ41" s="532"/>
      <c r="MVR41" s="532"/>
      <c r="MVS41" s="532"/>
      <c r="MVT41" s="532"/>
      <c r="MVU41" s="532"/>
      <c r="MVV41" s="532"/>
      <c r="MVW41" s="532"/>
      <c r="MVX41" s="532"/>
      <c r="MVY41" s="532"/>
      <c r="MVZ41" s="532"/>
      <c r="MWA41" s="532"/>
      <c r="MWB41" s="532"/>
      <c r="MWC41" s="532"/>
      <c r="MWD41" s="532"/>
      <c r="MWE41" s="532"/>
      <c r="MWF41" s="532"/>
      <c r="MWG41" s="532"/>
      <c r="MWH41" s="532"/>
      <c r="MWI41" s="532"/>
      <c r="MWJ41" s="532"/>
      <c r="MWK41" s="532"/>
      <c r="MWL41" s="532"/>
      <c r="MWM41" s="532"/>
      <c r="MWN41" s="532"/>
      <c r="MWO41" s="532"/>
      <c r="MWP41" s="532"/>
      <c r="MWQ41" s="532"/>
      <c r="MWR41" s="532"/>
      <c r="MWS41" s="532"/>
      <c r="MWT41" s="532"/>
      <c r="MWU41" s="532"/>
      <c r="MWV41" s="532"/>
      <c r="MWW41" s="532"/>
      <c r="MWX41" s="532"/>
      <c r="MWY41" s="532"/>
      <c r="MWZ41" s="532"/>
      <c r="MXA41" s="532"/>
      <c r="MXB41" s="532"/>
      <c r="MXC41" s="532"/>
      <c r="MXD41" s="532"/>
      <c r="MXE41" s="532"/>
      <c r="MXF41" s="532"/>
      <c r="MXG41" s="532"/>
      <c r="MXH41" s="532"/>
      <c r="MXI41" s="532"/>
      <c r="MXJ41" s="532"/>
      <c r="MXK41" s="532"/>
      <c r="MXL41" s="532"/>
      <c r="MXM41" s="532"/>
      <c r="MXN41" s="532"/>
      <c r="MXO41" s="532"/>
      <c r="MXP41" s="532"/>
      <c r="MXQ41" s="532"/>
      <c r="MXR41" s="532"/>
      <c r="MXS41" s="532"/>
      <c r="MXT41" s="532"/>
      <c r="MXU41" s="532"/>
      <c r="MXV41" s="532"/>
      <c r="MXW41" s="532"/>
      <c r="MXX41" s="532"/>
      <c r="MXY41" s="532"/>
      <c r="MXZ41" s="532"/>
      <c r="MYA41" s="532"/>
      <c r="MYB41" s="532"/>
      <c r="MYC41" s="532"/>
      <c r="MYD41" s="532"/>
      <c r="MYE41" s="532"/>
      <c r="MYF41" s="532"/>
      <c r="MYG41" s="532"/>
      <c r="MYH41" s="532"/>
      <c r="MYI41" s="532"/>
      <c r="MYJ41" s="532"/>
      <c r="MYK41" s="532"/>
      <c r="MYL41" s="532"/>
      <c r="MYM41" s="532"/>
      <c r="MYN41" s="532"/>
      <c r="MYO41" s="532"/>
      <c r="MYP41" s="532"/>
      <c r="MYQ41" s="532"/>
      <c r="MYR41" s="532"/>
      <c r="MYS41" s="532"/>
      <c r="MYT41" s="532"/>
      <c r="MYU41" s="532"/>
      <c r="MYV41" s="532"/>
      <c r="MYW41" s="532"/>
      <c r="MYX41" s="532"/>
      <c r="MYY41" s="532"/>
      <c r="MYZ41" s="532"/>
      <c r="MZA41" s="532"/>
      <c r="MZB41" s="532"/>
      <c r="MZC41" s="532"/>
      <c r="MZD41" s="532"/>
      <c r="MZE41" s="532"/>
      <c r="MZF41" s="532"/>
      <c r="MZG41" s="532"/>
      <c r="MZH41" s="532"/>
      <c r="MZI41" s="532"/>
      <c r="MZJ41" s="532"/>
      <c r="MZK41" s="532"/>
      <c r="MZL41" s="532"/>
      <c r="MZM41" s="532"/>
      <c r="MZN41" s="532"/>
      <c r="MZO41" s="532"/>
      <c r="MZP41" s="532"/>
      <c r="MZQ41" s="532"/>
      <c r="MZR41" s="532"/>
      <c r="MZS41" s="532"/>
      <c r="MZT41" s="532"/>
      <c r="MZU41" s="532"/>
      <c r="MZV41" s="532"/>
      <c r="MZW41" s="532"/>
      <c r="MZX41" s="532"/>
      <c r="MZY41" s="532"/>
      <c r="MZZ41" s="532"/>
      <c r="NAA41" s="532"/>
      <c r="NAB41" s="532"/>
      <c r="NAC41" s="532"/>
      <c r="NAD41" s="532"/>
      <c r="NAE41" s="532"/>
      <c r="NAF41" s="532"/>
      <c r="NAG41" s="532"/>
      <c r="NAH41" s="532"/>
      <c r="NAI41" s="532"/>
      <c r="NAJ41" s="532"/>
      <c r="NAK41" s="532"/>
      <c r="NAL41" s="532"/>
      <c r="NAM41" s="532"/>
      <c r="NAN41" s="532"/>
      <c r="NAO41" s="532"/>
      <c r="NAP41" s="532"/>
      <c r="NAQ41" s="532"/>
      <c r="NAR41" s="532"/>
      <c r="NAS41" s="532"/>
      <c r="NAT41" s="532"/>
      <c r="NAU41" s="532"/>
      <c r="NAV41" s="532"/>
      <c r="NAW41" s="532"/>
      <c r="NAX41" s="532"/>
      <c r="NAY41" s="532"/>
      <c r="NAZ41" s="532"/>
      <c r="NBA41" s="532"/>
      <c r="NBB41" s="532"/>
      <c r="NBC41" s="532"/>
      <c r="NBD41" s="532"/>
      <c r="NBE41" s="532"/>
      <c r="NBF41" s="532"/>
      <c r="NBG41" s="532"/>
      <c r="NBH41" s="532"/>
      <c r="NBI41" s="532"/>
      <c r="NBJ41" s="532"/>
      <c r="NBK41" s="532"/>
      <c r="NBL41" s="532"/>
      <c r="NBM41" s="532"/>
      <c r="NBN41" s="532"/>
      <c r="NBO41" s="532"/>
      <c r="NBP41" s="532"/>
      <c r="NBQ41" s="532"/>
      <c r="NBR41" s="532"/>
      <c r="NBS41" s="532"/>
      <c r="NBT41" s="532"/>
      <c r="NBU41" s="532"/>
      <c r="NBV41" s="532"/>
      <c r="NBW41" s="532"/>
      <c r="NBX41" s="532"/>
      <c r="NBY41" s="532"/>
      <c r="NBZ41" s="532"/>
      <c r="NCA41" s="532"/>
      <c r="NCB41" s="532"/>
      <c r="NCC41" s="532"/>
      <c r="NCD41" s="532"/>
      <c r="NCE41" s="532"/>
      <c r="NCF41" s="532"/>
      <c r="NCG41" s="532"/>
      <c r="NCH41" s="532"/>
      <c r="NCI41" s="532"/>
      <c r="NCJ41" s="532"/>
      <c r="NCK41" s="532"/>
      <c r="NCL41" s="532"/>
      <c r="NCM41" s="532"/>
      <c r="NCN41" s="532"/>
      <c r="NCO41" s="532"/>
      <c r="NCP41" s="532"/>
      <c r="NCQ41" s="532"/>
      <c r="NCR41" s="532"/>
      <c r="NCS41" s="532"/>
      <c r="NCT41" s="532"/>
      <c r="NCU41" s="532"/>
      <c r="NCV41" s="532"/>
      <c r="NCW41" s="532"/>
      <c r="NCX41" s="532"/>
      <c r="NCY41" s="532"/>
      <c r="NCZ41" s="532"/>
      <c r="NDA41" s="532"/>
      <c r="NDB41" s="532"/>
      <c r="NDC41" s="532"/>
      <c r="NDD41" s="532"/>
      <c r="NDE41" s="532"/>
      <c r="NDF41" s="532"/>
      <c r="NDG41" s="532"/>
      <c r="NDH41" s="532"/>
      <c r="NDI41" s="532"/>
      <c r="NDJ41" s="532"/>
      <c r="NDK41" s="532"/>
      <c r="NDL41" s="532"/>
      <c r="NDM41" s="532"/>
      <c r="NDN41" s="532"/>
      <c r="NDO41" s="532"/>
      <c r="NDP41" s="532"/>
      <c r="NDQ41" s="532"/>
      <c r="NDR41" s="532"/>
      <c r="NDS41" s="532"/>
      <c r="NDT41" s="532"/>
      <c r="NDU41" s="532"/>
      <c r="NDV41" s="532"/>
      <c r="NDW41" s="532"/>
      <c r="NDX41" s="532"/>
      <c r="NDY41" s="532"/>
      <c r="NDZ41" s="532"/>
      <c r="NEA41" s="532"/>
      <c r="NEB41" s="532"/>
      <c r="NEC41" s="532"/>
      <c r="NED41" s="532"/>
      <c r="NEE41" s="532"/>
      <c r="NEF41" s="532"/>
      <c r="NEG41" s="532"/>
      <c r="NEH41" s="532"/>
      <c r="NEI41" s="532"/>
      <c r="NEJ41" s="532"/>
      <c r="NEK41" s="532"/>
      <c r="NEL41" s="532"/>
      <c r="NEM41" s="532"/>
      <c r="NEN41" s="532"/>
      <c r="NEO41" s="532"/>
      <c r="NEP41" s="532"/>
      <c r="NEQ41" s="532"/>
      <c r="NER41" s="532"/>
      <c r="NES41" s="532"/>
      <c r="NET41" s="532"/>
      <c r="NEU41" s="532"/>
      <c r="NEV41" s="532"/>
      <c r="NEW41" s="532"/>
      <c r="NEX41" s="532"/>
      <c r="NEY41" s="532"/>
      <c r="NEZ41" s="532"/>
      <c r="NFA41" s="532"/>
      <c r="NFB41" s="532"/>
      <c r="NFC41" s="532"/>
      <c r="NFD41" s="532"/>
      <c r="NFE41" s="532"/>
      <c r="NFF41" s="532"/>
      <c r="NFG41" s="532"/>
      <c r="NFH41" s="532"/>
      <c r="NFI41" s="532"/>
      <c r="NFJ41" s="532"/>
      <c r="NFK41" s="532"/>
      <c r="NFL41" s="532"/>
      <c r="NFM41" s="532"/>
      <c r="NFN41" s="532"/>
      <c r="NFO41" s="532"/>
      <c r="NFP41" s="532"/>
      <c r="NFQ41" s="532"/>
      <c r="NFR41" s="532"/>
      <c r="NFS41" s="532"/>
      <c r="NFT41" s="532"/>
      <c r="NFU41" s="532"/>
      <c r="NFV41" s="532"/>
      <c r="NFW41" s="532"/>
      <c r="NFX41" s="532"/>
      <c r="NFY41" s="532"/>
      <c r="NFZ41" s="532"/>
      <c r="NGA41" s="532"/>
      <c r="NGB41" s="532"/>
      <c r="NGC41" s="532"/>
      <c r="NGD41" s="532"/>
      <c r="NGE41" s="532"/>
      <c r="NGF41" s="532"/>
      <c r="NGG41" s="532"/>
      <c r="NGH41" s="532"/>
      <c r="NGI41" s="532"/>
      <c r="NGJ41" s="532"/>
      <c r="NGK41" s="532"/>
      <c r="NGL41" s="532"/>
      <c r="NGM41" s="532"/>
      <c r="NGN41" s="532"/>
      <c r="NGO41" s="532"/>
      <c r="NGP41" s="532"/>
      <c r="NGQ41" s="532"/>
      <c r="NGR41" s="532"/>
      <c r="NGS41" s="532"/>
      <c r="NGT41" s="532"/>
      <c r="NGU41" s="532"/>
      <c r="NGV41" s="532"/>
      <c r="NGW41" s="532"/>
      <c r="NGX41" s="532"/>
      <c r="NGY41" s="532"/>
      <c r="NGZ41" s="532"/>
      <c r="NHA41" s="532"/>
      <c r="NHB41" s="532"/>
      <c r="NHC41" s="532"/>
      <c r="NHD41" s="532"/>
      <c r="NHE41" s="532"/>
      <c r="NHF41" s="532"/>
      <c r="NHG41" s="532"/>
      <c r="NHH41" s="532"/>
      <c r="NHI41" s="532"/>
      <c r="NHJ41" s="532"/>
      <c r="NHK41" s="532"/>
      <c r="NHL41" s="532"/>
      <c r="NHM41" s="532"/>
      <c r="NHN41" s="532"/>
      <c r="NHO41" s="532"/>
      <c r="NHP41" s="532"/>
      <c r="NHQ41" s="532"/>
      <c r="NHR41" s="532"/>
      <c r="NHS41" s="532"/>
      <c r="NHT41" s="532"/>
      <c r="NHU41" s="532"/>
      <c r="NHV41" s="532"/>
      <c r="NHW41" s="532"/>
      <c r="NHX41" s="532"/>
      <c r="NHY41" s="532"/>
      <c r="NHZ41" s="532"/>
      <c r="NIA41" s="532"/>
      <c r="NIB41" s="532"/>
      <c r="NIC41" s="532"/>
      <c r="NID41" s="532"/>
      <c r="NIE41" s="532"/>
      <c r="NIF41" s="532"/>
      <c r="NIG41" s="532"/>
      <c r="NIH41" s="532"/>
      <c r="NII41" s="532"/>
      <c r="NIJ41" s="532"/>
      <c r="NIK41" s="532"/>
      <c r="NIL41" s="532"/>
      <c r="NIM41" s="532"/>
      <c r="NIN41" s="532"/>
      <c r="NIO41" s="532"/>
      <c r="NIP41" s="532"/>
      <c r="NIQ41" s="532"/>
      <c r="NIR41" s="532"/>
      <c r="NIS41" s="532"/>
      <c r="NIT41" s="532"/>
      <c r="NIU41" s="532"/>
      <c r="NIV41" s="532"/>
      <c r="NIW41" s="532"/>
      <c r="NIX41" s="532"/>
      <c r="NIY41" s="532"/>
      <c r="NIZ41" s="532"/>
      <c r="NJA41" s="532"/>
      <c r="NJB41" s="532"/>
      <c r="NJC41" s="532"/>
      <c r="NJD41" s="532"/>
      <c r="NJE41" s="532"/>
      <c r="NJF41" s="532"/>
      <c r="NJG41" s="532"/>
      <c r="NJH41" s="532"/>
      <c r="NJI41" s="532"/>
      <c r="NJJ41" s="532"/>
      <c r="NJK41" s="532"/>
      <c r="NJL41" s="532"/>
      <c r="NJM41" s="532"/>
      <c r="NJN41" s="532"/>
      <c r="NJO41" s="532"/>
      <c r="NJP41" s="532"/>
      <c r="NJQ41" s="532"/>
      <c r="NJR41" s="532"/>
      <c r="NJS41" s="532"/>
      <c r="NJT41" s="532"/>
      <c r="NJU41" s="532"/>
      <c r="NJV41" s="532"/>
      <c r="NJW41" s="532"/>
      <c r="NJX41" s="532"/>
      <c r="NJY41" s="532"/>
      <c r="NJZ41" s="532"/>
      <c r="NKA41" s="532"/>
      <c r="NKB41" s="532"/>
      <c r="NKC41" s="532"/>
      <c r="NKD41" s="532"/>
      <c r="NKE41" s="532"/>
      <c r="NKF41" s="532"/>
      <c r="NKG41" s="532"/>
      <c r="NKH41" s="532"/>
      <c r="NKI41" s="532"/>
      <c r="NKJ41" s="532"/>
      <c r="NKK41" s="532"/>
      <c r="NKL41" s="532"/>
      <c r="NKM41" s="532"/>
      <c r="NKN41" s="532"/>
      <c r="NKO41" s="532"/>
      <c r="NKP41" s="532"/>
      <c r="NKQ41" s="532"/>
      <c r="NKR41" s="532"/>
      <c r="NKS41" s="532"/>
      <c r="NKT41" s="532"/>
      <c r="NKU41" s="532"/>
      <c r="NKV41" s="532"/>
      <c r="NKW41" s="532"/>
      <c r="NKX41" s="532"/>
      <c r="NKY41" s="532"/>
      <c r="NKZ41" s="532"/>
      <c r="NLA41" s="532"/>
      <c r="NLB41" s="532"/>
      <c r="NLC41" s="532"/>
      <c r="NLD41" s="532"/>
      <c r="NLE41" s="532"/>
      <c r="NLF41" s="532"/>
      <c r="NLG41" s="532"/>
      <c r="NLH41" s="532"/>
      <c r="NLI41" s="532"/>
      <c r="NLJ41" s="532"/>
      <c r="NLK41" s="532"/>
      <c r="NLL41" s="532"/>
      <c r="NLM41" s="532"/>
      <c r="NLN41" s="532"/>
      <c r="NLO41" s="532"/>
      <c r="NLP41" s="532"/>
      <c r="NLQ41" s="532"/>
      <c r="NLR41" s="532"/>
      <c r="NLS41" s="532"/>
      <c r="NLT41" s="532"/>
      <c r="NLU41" s="532"/>
      <c r="NLV41" s="532"/>
      <c r="NLW41" s="532"/>
      <c r="NLX41" s="532"/>
      <c r="NLY41" s="532"/>
      <c r="NLZ41" s="532"/>
      <c r="NMA41" s="532"/>
      <c r="NMB41" s="532"/>
      <c r="NMC41" s="532"/>
      <c r="NMD41" s="532"/>
      <c r="NME41" s="532"/>
      <c r="NMF41" s="532"/>
      <c r="NMG41" s="532"/>
      <c r="NMH41" s="532"/>
      <c r="NMI41" s="532"/>
      <c r="NMJ41" s="532"/>
      <c r="NMK41" s="532"/>
      <c r="NML41" s="532"/>
      <c r="NMM41" s="532"/>
      <c r="NMN41" s="532"/>
      <c r="NMO41" s="532"/>
      <c r="NMP41" s="532"/>
      <c r="NMQ41" s="532"/>
      <c r="NMR41" s="532"/>
      <c r="NMS41" s="532"/>
      <c r="NMT41" s="532"/>
      <c r="NMU41" s="532"/>
      <c r="NMV41" s="532"/>
      <c r="NMW41" s="532"/>
      <c r="NMX41" s="532"/>
      <c r="NMY41" s="532"/>
      <c r="NMZ41" s="532"/>
      <c r="NNA41" s="532"/>
      <c r="NNB41" s="532"/>
      <c r="NNC41" s="532"/>
      <c r="NND41" s="532"/>
      <c r="NNE41" s="532"/>
      <c r="NNF41" s="532"/>
      <c r="NNG41" s="532"/>
      <c r="NNH41" s="532"/>
      <c r="NNI41" s="532"/>
      <c r="NNJ41" s="532"/>
      <c r="NNK41" s="532"/>
      <c r="NNL41" s="532"/>
      <c r="NNM41" s="532"/>
      <c r="NNN41" s="532"/>
      <c r="NNO41" s="532"/>
      <c r="NNP41" s="532"/>
      <c r="NNQ41" s="532"/>
      <c r="NNR41" s="532"/>
      <c r="NNS41" s="532"/>
      <c r="NNT41" s="532"/>
      <c r="NNU41" s="532"/>
      <c r="NNV41" s="532"/>
      <c r="NNW41" s="532"/>
      <c r="NNX41" s="532"/>
      <c r="NNY41" s="532"/>
      <c r="NNZ41" s="532"/>
      <c r="NOA41" s="532"/>
      <c r="NOB41" s="532"/>
      <c r="NOC41" s="532"/>
      <c r="NOD41" s="532"/>
      <c r="NOE41" s="532"/>
      <c r="NOF41" s="532"/>
      <c r="NOG41" s="532"/>
      <c r="NOH41" s="532"/>
      <c r="NOI41" s="532"/>
      <c r="NOJ41" s="532"/>
      <c r="NOK41" s="532"/>
      <c r="NOL41" s="532"/>
      <c r="NOM41" s="532"/>
      <c r="NON41" s="532"/>
      <c r="NOO41" s="532"/>
      <c r="NOP41" s="532"/>
      <c r="NOQ41" s="532"/>
      <c r="NOR41" s="532"/>
      <c r="NOS41" s="532"/>
      <c r="NOT41" s="532"/>
      <c r="NOU41" s="532"/>
      <c r="NOV41" s="532"/>
      <c r="NOW41" s="532"/>
      <c r="NOX41" s="532"/>
      <c r="NOY41" s="532"/>
      <c r="NOZ41" s="532"/>
      <c r="NPA41" s="532"/>
      <c r="NPB41" s="532"/>
      <c r="NPC41" s="532"/>
      <c r="NPD41" s="532"/>
      <c r="NPE41" s="532"/>
      <c r="NPF41" s="532"/>
      <c r="NPG41" s="532"/>
      <c r="NPH41" s="532"/>
      <c r="NPI41" s="532"/>
      <c r="NPJ41" s="532"/>
      <c r="NPK41" s="532"/>
      <c r="NPL41" s="532"/>
      <c r="NPM41" s="532"/>
      <c r="NPN41" s="532"/>
      <c r="NPO41" s="532"/>
      <c r="NPP41" s="532"/>
      <c r="NPQ41" s="532"/>
      <c r="NPR41" s="532"/>
      <c r="NPS41" s="532"/>
      <c r="NPT41" s="532"/>
      <c r="NPU41" s="532"/>
      <c r="NPV41" s="532"/>
      <c r="NPW41" s="532"/>
      <c r="NPX41" s="532"/>
      <c r="NPY41" s="532"/>
      <c r="NPZ41" s="532"/>
      <c r="NQA41" s="532"/>
      <c r="NQB41" s="532"/>
      <c r="NQC41" s="532"/>
      <c r="NQD41" s="532"/>
      <c r="NQE41" s="532"/>
      <c r="NQF41" s="532"/>
      <c r="NQG41" s="532"/>
      <c r="NQH41" s="532"/>
      <c r="NQI41" s="532"/>
      <c r="NQJ41" s="532"/>
      <c r="NQK41" s="532"/>
      <c r="NQL41" s="532"/>
      <c r="NQM41" s="532"/>
      <c r="NQN41" s="532"/>
      <c r="NQO41" s="532"/>
      <c r="NQP41" s="532"/>
      <c r="NQQ41" s="532"/>
      <c r="NQR41" s="532"/>
      <c r="NQS41" s="532"/>
      <c r="NQT41" s="532"/>
      <c r="NQU41" s="532"/>
      <c r="NQV41" s="532"/>
      <c r="NQW41" s="532"/>
      <c r="NQX41" s="532"/>
      <c r="NQY41" s="532"/>
      <c r="NQZ41" s="532"/>
      <c r="NRA41" s="532"/>
      <c r="NRB41" s="532"/>
      <c r="NRC41" s="532"/>
      <c r="NRD41" s="532"/>
      <c r="NRE41" s="532"/>
      <c r="NRF41" s="532"/>
      <c r="NRG41" s="532"/>
      <c r="NRH41" s="532"/>
      <c r="NRI41" s="532"/>
      <c r="NRJ41" s="532"/>
      <c r="NRK41" s="532"/>
      <c r="NRL41" s="532"/>
      <c r="NRM41" s="532"/>
      <c r="NRN41" s="532"/>
      <c r="NRO41" s="532"/>
      <c r="NRP41" s="532"/>
      <c r="NRQ41" s="532"/>
      <c r="NRR41" s="532"/>
      <c r="NRS41" s="532"/>
      <c r="NRT41" s="532"/>
      <c r="NRU41" s="532"/>
      <c r="NRV41" s="532"/>
      <c r="NRW41" s="532"/>
      <c r="NRX41" s="532"/>
      <c r="NRY41" s="532"/>
      <c r="NRZ41" s="532"/>
      <c r="NSA41" s="532"/>
      <c r="NSB41" s="532"/>
      <c r="NSC41" s="532"/>
      <c r="NSD41" s="532"/>
      <c r="NSE41" s="532"/>
      <c r="NSF41" s="532"/>
      <c r="NSG41" s="532"/>
      <c r="NSH41" s="532"/>
      <c r="NSI41" s="532"/>
      <c r="NSJ41" s="532"/>
      <c r="NSK41" s="532"/>
      <c r="NSL41" s="532"/>
      <c r="NSM41" s="532"/>
      <c r="NSN41" s="532"/>
      <c r="NSO41" s="532"/>
      <c r="NSP41" s="532"/>
      <c r="NSQ41" s="532"/>
      <c r="NSR41" s="532"/>
      <c r="NSS41" s="532"/>
      <c r="NST41" s="532"/>
      <c r="NSU41" s="532"/>
      <c r="NSV41" s="532"/>
      <c r="NSW41" s="532"/>
      <c r="NSX41" s="532"/>
      <c r="NSY41" s="532"/>
      <c r="NSZ41" s="532"/>
      <c r="NTA41" s="532"/>
      <c r="NTB41" s="532"/>
      <c r="NTC41" s="532"/>
      <c r="NTD41" s="532"/>
      <c r="NTE41" s="532"/>
      <c r="NTF41" s="532"/>
      <c r="NTG41" s="532"/>
      <c r="NTH41" s="532"/>
      <c r="NTI41" s="532"/>
      <c r="NTJ41" s="532"/>
      <c r="NTK41" s="532"/>
      <c r="NTL41" s="532"/>
      <c r="NTM41" s="532"/>
      <c r="NTN41" s="532"/>
      <c r="NTO41" s="532"/>
      <c r="NTP41" s="532"/>
      <c r="NTQ41" s="532"/>
      <c r="NTR41" s="532"/>
      <c r="NTS41" s="532"/>
      <c r="NTT41" s="532"/>
      <c r="NTU41" s="532"/>
      <c r="NTV41" s="532"/>
      <c r="NTW41" s="532"/>
      <c r="NTX41" s="532"/>
      <c r="NTY41" s="532"/>
      <c r="NTZ41" s="532"/>
      <c r="NUA41" s="532"/>
      <c r="NUB41" s="532"/>
      <c r="NUC41" s="532"/>
      <c r="NUD41" s="532"/>
      <c r="NUE41" s="532"/>
      <c r="NUF41" s="532"/>
      <c r="NUG41" s="532"/>
      <c r="NUH41" s="532"/>
      <c r="NUI41" s="532"/>
      <c r="NUJ41" s="532"/>
      <c r="NUK41" s="532"/>
      <c r="NUL41" s="532"/>
      <c r="NUM41" s="532"/>
      <c r="NUN41" s="532"/>
      <c r="NUO41" s="532"/>
      <c r="NUP41" s="532"/>
      <c r="NUQ41" s="532"/>
      <c r="NUR41" s="532"/>
      <c r="NUS41" s="532"/>
      <c r="NUT41" s="532"/>
      <c r="NUU41" s="532"/>
      <c r="NUV41" s="532"/>
      <c r="NUW41" s="532"/>
      <c r="NUX41" s="532"/>
      <c r="NUY41" s="532"/>
      <c r="NUZ41" s="532"/>
      <c r="NVA41" s="532"/>
      <c r="NVB41" s="532"/>
      <c r="NVC41" s="532"/>
      <c r="NVD41" s="532"/>
      <c r="NVE41" s="532"/>
      <c r="NVF41" s="532"/>
      <c r="NVG41" s="532"/>
      <c r="NVH41" s="532"/>
      <c r="NVI41" s="532"/>
      <c r="NVJ41" s="532"/>
      <c r="NVK41" s="532"/>
      <c r="NVL41" s="532"/>
      <c r="NVM41" s="532"/>
      <c r="NVN41" s="532"/>
      <c r="NVO41" s="532"/>
      <c r="NVP41" s="532"/>
      <c r="NVQ41" s="532"/>
      <c r="NVR41" s="532"/>
      <c r="NVS41" s="532"/>
      <c r="NVT41" s="532"/>
      <c r="NVU41" s="532"/>
      <c r="NVV41" s="532"/>
      <c r="NVW41" s="532"/>
      <c r="NVX41" s="532"/>
      <c r="NVY41" s="532"/>
      <c r="NVZ41" s="532"/>
      <c r="NWA41" s="532"/>
      <c r="NWB41" s="532"/>
      <c r="NWC41" s="532"/>
      <c r="NWD41" s="532"/>
      <c r="NWE41" s="532"/>
      <c r="NWF41" s="532"/>
      <c r="NWG41" s="532"/>
      <c r="NWH41" s="532"/>
      <c r="NWI41" s="532"/>
      <c r="NWJ41" s="532"/>
      <c r="NWK41" s="532"/>
      <c r="NWL41" s="532"/>
      <c r="NWM41" s="532"/>
      <c r="NWN41" s="532"/>
      <c r="NWO41" s="532"/>
      <c r="NWP41" s="532"/>
      <c r="NWQ41" s="532"/>
      <c r="NWR41" s="532"/>
      <c r="NWS41" s="532"/>
      <c r="NWT41" s="532"/>
      <c r="NWU41" s="532"/>
      <c r="NWV41" s="532"/>
      <c r="NWW41" s="532"/>
      <c r="NWX41" s="532"/>
      <c r="NWY41" s="532"/>
      <c r="NWZ41" s="532"/>
      <c r="NXA41" s="532"/>
      <c r="NXB41" s="532"/>
      <c r="NXC41" s="532"/>
      <c r="NXD41" s="532"/>
      <c r="NXE41" s="532"/>
      <c r="NXF41" s="532"/>
      <c r="NXG41" s="532"/>
      <c r="NXH41" s="532"/>
      <c r="NXI41" s="532"/>
      <c r="NXJ41" s="532"/>
      <c r="NXK41" s="532"/>
      <c r="NXL41" s="532"/>
      <c r="NXM41" s="532"/>
      <c r="NXN41" s="532"/>
      <c r="NXO41" s="532"/>
      <c r="NXP41" s="532"/>
      <c r="NXQ41" s="532"/>
      <c r="NXR41" s="532"/>
      <c r="NXS41" s="532"/>
      <c r="NXT41" s="532"/>
      <c r="NXU41" s="532"/>
      <c r="NXV41" s="532"/>
      <c r="NXW41" s="532"/>
      <c r="NXX41" s="532"/>
      <c r="NXY41" s="532"/>
      <c r="NXZ41" s="532"/>
      <c r="NYA41" s="532"/>
      <c r="NYB41" s="532"/>
      <c r="NYC41" s="532"/>
      <c r="NYD41" s="532"/>
      <c r="NYE41" s="532"/>
      <c r="NYF41" s="532"/>
      <c r="NYG41" s="532"/>
      <c r="NYH41" s="532"/>
      <c r="NYI41" s="532"/>
      <c r="NYJ41" s="532"/>
      <c r="NYK41" s="532"/>
      <c r="NYL41" s="532"/>
      <c r="NYM41" s="532"/>
      <c r="NYN41" s="532"/>
      <c r="NYO41" s="532"/>
      <c r="NYP41" s="532"/>
      <c r="NYQ41" s="532"/>
      <c r="NYR41" s="532"/>
      <c r="NYS41" s="532"/>
      <c r="NYT41" s="532"/>
      <c r="NYU41" s="532"/>
      <c r="NYV41" s="532"/>
      <c r="NYW41" s="532"/>
      <c r="NYX41" s="532"/>
      <c r="NYY41" s="532"/>
      <c r="NYZ41" s="532"/>
      <c r="NZA41" s="532"/>
      <c r="NZB41" s="532"/>
      <c r="NZC41" s="532"/>
      <c r="NZD41" s="532"/>
      <c r="NZE41" s="532"/>
      <c r="NZF41" s="532"/>
      <c r="NZG41" s="532"/>
      <c r="NZH41" s="532"/>
      <c r="NZI41" s="532"/>
      <c r="NZJ41" s="532"/>
      <c r="NZK41" s="532"/>
      <c r="NZL41" s="532"/>
      <c r="NZM41" s="532"/>
      <c r="NZN41" s="532"/>
      <c r="NZO41" s="532"/>
      <c r="NZP41" s="532"/>
      <c r="NZQ41" s="532"/>
      <c r="NZR41" s="532"/>
      <c r="NZS41" s="532"/>
      <c r="NZT41" s="532"/>
      <c r="NZU41" s="532"/>
      <c r="NZV41" s="532"/>
      <c r="NZW41" s="532"/>
      <c r="NZX41" s="532"/>
      <c r="NZY41" s="532"/>
      <c r="NZZ41" s="532"/>
      <c r="OAA41" s="532"/>
      <c r="OAB41" s="532"/>
      <c r="OAC41" s="532"/>
      <c r="OAD41" s="532"/>
      <c r="OAE41" s="532"/>
      <c r="OAF41" s="532"/>
      <c r="OAG41" s="532"/>
      <c r="OAH41" s="532"/>
      <c r="OAI41" s="532"/>
      <c r="OAJ41" s="532"/>
      <c r="OAK41" s="532"/>
      <c r="OAL41" s="532"/>
      <c r="OAM41" s="532"/>
      <c r="OAN41" s="532"/>
      <c r="OAO41" s="532"/>
      <c r="OAP41" s="532"/>
      <c r="OAQ41" s="532"/>
      <c r="OAR41" s="532"/>
      <c r="OAS41" s="532"/>
      <c r="OAT41" s="532"/>
      <c r="OAU41" s="532"/>
      <c r="OAV41" s="532"/>
      <c r="OAW41" s="532"/>
      <c r="OAX41" s="532"/>
      <c r="OAY41" s="532"/>
      <c r="OAZ41" s="532"/>
      <c r="OBA41" s="532"/>
      <c r="OBB41" s="532"/>
      <c r="OBC41" s="532"/>
      <c r="OBD41" s="532"/>
      <c r="OBE41" s="532"/>
      <c r="OBF41" s="532"/>
      <c r="OBG41" s="532"/>
      <c r="OBH41" s="532"/>
      <c r="OBI41" s="532"/>
      <c r="OBJ41" s="532"/>
      <c r="OBK41" s="532"/>
      <c r="OBL41" s="532"/>
      <c r="OBM41" s="532"/>
      <c r="OBN41" s="532"/>
      <c r="OBO41" s="532"/>
      <c r="OBP41" s="532"/>
      <c r="OBQ41" s="532"/>
      <c r="OBR41" s="532"/>
      <c r="OBS41" s="532"/>
      <c r="OBT41" s="532"/>
      <c r="OBU41" s="532"/>
      <c r="OBV41" s="532"/>
      <c r="OBW41" s="532"/>
      <c r="OBX41" s="532"/>
      <c r="OBY41" s="532"/>
      <c r="OBZ41" s="532"/>
      <c r="OCA41" s="532"/>
      <c r="OCB41" s="532"/>
      <c r="OCC41" s="532"/>
      <c r="OCD41" s="532"/>
      <c r="OCE41" s="532"/>
      <c r="OCF41" s="532"/>
      <c r="OCG41" s="532"/>
      <c r="OCH41" s="532"/>
      <c r="OCI41" s="532"/>
      <c r="OCJ41" s="532"/>
      <c r="OCK41" s="532"/>
      <c r="OCL41" s="532"/>
      <c r="OCM41" s="532"/>
      <c r="OCN41" s="532"/>
      <c r="OCO41" s="532"/>
      <c r="OCP41" s="532"/>
      <c r="OCQ41" s="532"/>
      <c r="OCR41" s="532"/>
      <c r="OCS41" s="532"/>
      <c r="OCT41" s="532"/>
      <c r="OCU41" s="532"/>
      <c r="OCV41" s="532"/>
      <c r="OCW41" s="532"/>
      <c r="OCX41" s="532"/>
      <c r="OCY41" s="532"/>
      <c r="OCZ41" s="532"/>
      <c r="ODA41" s="532"/>
      <c r="ODB41" s="532"/>
      <c r="ODC41" s="532"/>
      <c r="ODD41" s="532"/>
      <c r="ODE41" s="532"/>
      <c r="ODF41" s="532"/>
      <c r="ODG41" s="532"/>
      <c r="ODH41" s="532"/>
      <c r="ODI41" s="532"/>
      <c r="ODJ41" s="532"/>
      <c r="ODK41" s="532"/>
      <c r="ODL41" s="532"/>
      <c r="ODM41" s="532"/>
      <c r="ODN41" s="532"/>
      <c r="ODO41" s="532"/>
      <c r="ODP41" s="532"/>
      <c r="ODQ41" s="532"/>
      <c r="ODR41" s="532"/>
      <c r="ODS41" s="532"/>
      <c r="ODT41" s="532"/>
      <c r="ODU41" s="532"/>
      <c r="ODV41" s="532"/>
      <c r="ODW41" s="532"/>
      <c r="ODX41" s="532"/>
      <c r="ODY41" s="532"/>
      <c r="ODZ41" s="532"/>
      <c r="OEA41" s="532"/>
      <c r="OEB41" s="532"/>
      <c r="OEC41" s="532"/>
      <c r="OED41" s="532"/>
      <c r="OEE41" s="532"/>
      <c r="OEF41" s="532"/>
      <c r="OEG41" s="532"/>
      <c r="OEH41" s="532"/>
      <c r="OEI41" s="532"/>
      <c r="OEJ41" s="532"/>
      <c r="OEK41" s="532"/>
      <c r="OEL41" s="532"/>
      <c r="OEM41" s="532"/>
      <c r="OEN41" s="532"/>
      <c r="OEO41" s="532"/>
      <c r="OEP41" s="532"/>
      <c r="OEQ41" s="532"/>
      <c r="OER41" s="532"/>
      <c r="OES41" s="532"/>
      <c r="OET41" s="532"/>
      <c r="OEU41" s="532"/>
      <c r="OEV41" s="532"/>
      <c r="OEW41" s="532"/>
      <c r="OEX41" s="532"/>
      <c r="OEY41" s="532"/>
      <c r="OEZ41" s="532"/>
      <c r="OFA41" s="532"/>
      <c r="OFB41" s="532"/>
      <c r="OFC41" s="532"/>
      <c r="OFD41" s="532"/>
      <c r="OFE41" s="532"/>
      <c r="OFF41" s="532"/>
      <c r="OFG41" s="532"/>
      <c r="OFH41" s="532"/>
      <c r="OFI41" s="532"/>
      <c r="OFJ41" s="532"/>
      <c r="OFK41" s="532"/>
      <c r="OFL41" s="532"/>
      <c r="OFM41" s="532"/>
      <c r="OFN41" s="532"/>
      <c r="OFO41" s="532"/>
      <c r="OFP41" s="532"/>
      <c r="OFQ41" s="532"/>
      <c r="OFR41" s="532"/>
      <c r="OFS41" s="532"/>
      <c r="OFT41" s="532"/>
      <c r="OFU41" s="532"/>
      <c r="OFV41" s="532"/>
      <c r="OFW41" s="532"/>
      <c r="OFX41" s="532"/>
      <c r="OFY41" s="532"/>
      <c r="OFZ41" s="532"/>
      <c r="OGA41" s="532"/>
      <c r="OGB41" s="532"/>
      <c r="OGC41" s="532"/>
      <c r="OGD41" s="532"/>
      <c r="OGE41" s="532"/>
      <c r="OGF41" s="532"/>
      <c r="OGG41" s="532"/>
      <c r="OGH41" s="532"/>
      <c r="OGI41" s="532"/>
      <c r="OGJ41" s="532"/>
      <c r="OGK41" s="532"/>
      <c r="OGL41" s="532"/>
      <c r="OGM41" s="532"/>
      <c r="OGN41" s="532"/>
      <c r="OGO41" s="532"/>
      <c r="OGP41" s="532"/>
      <c r="OGQ41" s="532"/>
      <c r="OGR41" s="532"/>
      <c r="OGS41" s="532"/>
      <c r="OGT41" s="532"/>
      <c r="OGU41" s="532"/>
      <c r="OGV41" s="532"/>
      <c r="OGW41" s="532"/>
      <c r="OGX41" s="532"/>
      <c r="OGY41" s="532"/>
      <c r="OGZ41" s="532"/>
      <c r="OHA41" s="532"/>
      <c r="OHB41" s="532"/>
      <c r="OHC41" s="532"/>
      <c r="OHD41" s="532"/>
      <c r="OHE41" s="532"/>
      <c r="OHF41" s="532"/>
      <c r="OHG41" s="532"/>
      <c r="OHH41" s="532"/>
      <c r="OHI41" s="532"/>
      <c r="OHJ41" s="532"/>
      <c r="OHK41" s="532"/>
      <c r="OHL41" s="532"/>
      <c r="OHM41" s="532"/>
      <c r="OHN41" s="532"/>
      <c r="OHO41" s="532"/>
      <c r="OHP41" s="532"/>
      <c r="OHQ41" s="532"/>
      <c r="OHR41" s="532"/>
      <c r="OHS41" s="532"/>
      <c r="OHT41" s="532"/>
      <c r="OHU41" s="532"/>
      <c r="OHV41" s="532"/>
      <c r="OHW41" s="532"/>
      <c r="OHX41" s="532"/>
      <c r="OHY41" s="532"/>
      <c r="OHZ41" s="532"/>
      <c r="OIA41" s="532"/>
      <c r="OIB41" s="532"/>
      <c r="OIC41" s="532"/>
      <c r="OID41" s="532"/>
      <c r="OIE41" s="532"/>
      <c r="OIF41" s="532"/>
      <c r="OIG41" s="532"/>
      <c r="OIH41" s="532"/>
      <c r="OII41" s="532"/>
      <c r="OIJ41" s="532"/>
      <c r="OIK41" s="532"/>
      <c r="OIL41" s="532"/>
      <c r="OIM41" s="532"/>
      <c r="OIN41" s="532"/>
      <c r="OIO41" s="532"/>
      <c r="OIP41" s="532"/>
      <c r="OIQ41" s="532"/>
      <c r="OIR41" s="532"/>
      <c r="OIS41" s="532"/>
      <c r="OIT41" s="532"/>
      <c r="OIU41" s="532"/>
      <c r="OIV41" s="532"/>
      <c r="OIW41" s="532"/>
      <c r="OIX41" s="532"/>
      <c r="OIY41" s="532"/>
      <c r="OIZ41" s="532"/>
      <c r="OJA41" s="532"/>
      <c r="OJB41" s="532"/>
      <c r="OJC41" s="532"/>
      <c r="OJD41" s="532"/>
      <c r="OJE41" s="532"/>
      <c r="OJF41" s="532"/>
      <c r="OJG41" s="532"/>
      <c r="OJH41" s="532"/>
      <c r="OJI41" s="532"/>
      <c r="OJJ41" s="532"/>
      <c r="OJK41" s="532"/>
      <c r="OJL41" s="532"/>
      <c r="OJM41" s="532"/>
      <c r="OJN41" s="532"/>
      <c r="OJO41" s="532"/>
      <c r="OJP41" s="532"/>
      <c r="OJQ41" s="532"/>
      <c r="OJR41" s="532"/>
      <c r="OJS41" s="532"/>
      <c r="OJT41" s="532"/>
      <c r="OJU41" s="532"/>
      <c r="OJV41" s="532"/>
      <c r="OJW41" s="532"/>
      <c r="OJX41" s="532"/>
      <c r="OJY41" s="532"/>
      <c r="OJZ41" s="532"/>
      <c r="OKA41" s="532"/>
      <c r="OKB41" s="532"/>
      <c r="OKC41" s="532"/>
      <c r="OKD41" s="532"/>
      <c r="OKE41" s="532"/>
      <c r="OKF41" s="532"/>
      <c r="OKG41" s="532"/>
      <c r="OKH41" s="532"/>
      <c r="OKI41" s="532"/>
      <c r="OKJ41" s="532"/>
      <c r="OKK41" s="532"/>
      <c r="OKL41" s="532"/>
      <c r="OKM41" s="532"/>
      <c r="OKN41" s="532"/>
      <c r="OKO41" s="532"/>
      <c r="OKP41" s="532"/>
      <c r="OKQ41" s="532"/>
      <c r="OKR41" s="532"/>
      <c r="OKS41" s="532"/>
      <c r="OKT41" s="532"/>
      <c r="OKU41" s="532"/>
      <c r="OKV41" s="532"/>
      <c r="OKW41" s="532"/>
      <c r="OKX41" s="532"/>
      <c r="OKY41" s="532"/>
      <c r="OKZ41" s="532"/>
      <c r="OLA41" s="532"/>
      <c r="OLB41" s="532"/>
      <c r="OLC41" s="532"/>
      <c r="OLD41" s="532"/>
      <c r="OLE41" s="532"/>
      <c r="OLF41" s="532"/>
      <c r="OLG41" s="532"/>
      <c r="OLH41" s="532"/>
      <c r="OLI41" s="532"/>
      <c r="OLJ41" s="532"/>
      <c r="OLK41" s="532"/>
      <c r="OLL41" s="532"/>
      <c r="OLM41" s="532"/>
      <c r="OLN41" s="532"/>
      <c r="OLO41" s="532"/>
      <c r="OLP41" s="532"/>
      <c r="OLQ41" s="532"/>
      <c r="OLR41" s="532"/>
      <c r="OLS41" s="532"/>
      <c r="OLT41" s="532"/>
      <c r="OLU41" s="532"/>
      <c r="OLV41" s="532"/>
      <c r="OLW41" s="532"/>
      <c r="OLX41" s="532"/>
      <c r="OLY41" s="532"/>
      <c r="OLZ41" s="532"/>
      <c r="OMA41" s="532"/>
      <c r="OMB41" s="532"/>
      <c r="OMC41" s="532"/>
      <c r="OMD41" s="532"/>
      <c r="OME41" s="532"/>
      <c r="OMF41" s="532"/>
      <c r="OMG41" s="532"/>
      <c r="OMH41" s="532"/>
      <c r="OMI41" s="532"/>
      <c r="OMJ41" s="532"/>
      <c r="OMK41" s="532"/>
      <c r="OML41" s="532"/>
      <c r="OMM41" s="532"/>
      <c r="OMN41" s="532"/>
      <c r="OMO41" s="532"/>
      <c r="OMP41" s="532"/>
      <c r="OMQ41" s="532"/>
      <c r="OMR41" s="532"/>
      <c r="OMS41" s="532"/>
      <c r="OMT41" s="532"/>
      <c r="OMU41" s="532"/>
      <c r="OMV41" s="532"/>
      <c r="OMW41" s="532"/>
      <c r="OMX41" s="532"/>
      <c r="OMY41" s="532"/>
      <c r="OMZ41" s="532"/>
      <c r="ONA41" s="532"/>
      <c r="ONB41" s="532"/>
      <c r="ONC41" s="532"/>
      <c r="OND41" s="532"/>
      <c r="ONE41" s="532"/>
      <c r="ONF41" s="532"/>
      <c r="ONG41" s="532"/>
      <c r="ONH41" s="532"/>
      <c r="ONI41" s="532"/>
      <c r="ONJ41" s="532"/>
      <c r="ONK41" s="532"/>
      <c r="ONL41" s="532"/>
      <c r="ONM41" s="532"/>
      <c r="ONN41" s="532"/>
      <c r="ONO41" s="532"/>
      <c r="ONP41" s="532"/>
      <c r="ONQ41" s="532"/>
      <c r="ONR41" s="532"/>
      <c r="ONS41" s="532"/>
      <c r="ONT41" s="532"/>
      <c r="ONU41" s="532"/>
      <c r="ONV41" s="532"/>
      <c r="ONW41" s="532"/>
      <c r="ONX41" s="532"/>
      <c r="ONY41" s="532"/>
      <c r="ONZ41" s="532"/>
      <c r="OOA41" s="532"/>
      <c r="OOB41" s="532"/>
      <c r="OOC41" s="532"/>
      <c r="OOD41" s="532"/>
      <c r="OOE41" s="532"/>
      <c r="OOF41" s="532"/>
      <c r="OOG41" s="532"/>
      <c r="OOH41" s="532"/>
      <c r="OOI41" s="532"/>
      <c r="OOJ41" s="532"/>
      <c r="OOK41" s="532"/>
      <c r="OOL41" s="532"/>
      <c r="OOM41" s="532"/>
      <c r="OON41" s="532"/>
      <c r="OOO41" s="532"/>
      <c r="OOP41" s="532"/>
      <c r="OOQ41" s="532"/>
      <c r="OOR41" s="532"/>
      <c r="OOS41" s="532"/>
      <c r="OOT41" s="532"/>
      <c r="OOU41" s="532"/>
      <c r="OOV41" s="532"/>
      <c r="OOW41" s="532"/>
      <c r="OOX41" s="532"/>
      <c r="OOY41" s="532"/>
      <c r="OOZ41" s="532"/>
      <c r="OPA41" s="532"/>
      <c r="OPB41" s="532"/>
      <c r="OPC41" s="532"/>
      <c r="OPD41" s="532"/>
      <c r="OPE41" s="532"/>
      <c r="OPF41" s="532"/>
      <c r="OPG41" s="532"/>
      <c r="OPH41" s="532"/>
      <c r="OPI41" s="532"/>
      <c r="OPJ41" s="532"/>
      <c r="OPK41" s="532"/>
      <c r="OPL41" s="532"/>
      <c r="OPM41" s="532"/>
      <c r="OPN41" s="532"/>
      <c r="OPO41" s="532"/>
      <c r="OPP41" s="532"/>
      <c r="OPQ41" s="532"/>
      <c r="OPR41" s="532"/>
      <c r="OPS41" s="532"/>
      <c r="OPT41" s="532"/>
      <c r="OPU41" s="532"/>
      <c r="OPV41" s="532"/>
      <c r="OPW41" s="532"/>
      <c r="OPX41" s="532"/>
      <c r="OPY41" s="532"/>
      <c r="OPZ41" s="532"/>
      <c r="OQA41" s="532"/>
      <c r="OQB41" s="532"/>
      <c r="OQC41" s="532"/>
      <c r="OQD41" s="532"/>
      <c r="OQE41" s="532"/>
      <c r="OQF41" s="532"/>
      <c r="OQG41" s="532"/>
      <c r="OQH41" s="532"/>
      <c r="OQI41" s="532"/>
      <c r="OQJ41" s="532"/>
      <c r="OQK41" s="532"/>
      <c r="OQL41" s="532"/>
      <c r="OQM41" s="532"/>
      <c r="OQN41" s="532"/>
      <c r="OQO41" s="532"/>
      <c r="OQP41" s="532"/>
      <c r="OQQ41" s="532"/>
      <c r="OQR41" s="532"/>
      <c r="OQS41" s="532"/>
      <c r="OQT41" s="532"/>
      <c r="OQU41" s="532"/>
      <c r="OQV41" s="532"/>
      <c r="OQW41" s="532"/>
      <c r="OQX41" s="532"/>
      <c r="OQY41" s="532"/>
      <c r="OQZ41" s="532"/>
      <c r="ORA41" s="532"/>
      <c r="ORB41" s="532"/>
      <c r="ORC41" s="532"/>
      <c r="ORD41" s="532"/>
      <c r="ORE41" s="532"/>
      <c r="ORF41" s="532"/>
      <c r="ORG41" s="532"/>
      <c r="ORH41" s="532"/>
      <c r="ORI41" s="532"/>
      <c r="ORJ41" s="532"/>
      <c r="ORK41" s="532"/>
      <c r="ORL41" s="532"/>
      <c r="ORM41" s="532"/>
      <c r="ORN41" s="532"/>
      <c r="ORO41" s="532"/>
      <c r="ORP41" s="532"/>
      <c r="ORQ41" s="532"/>
      <c r="ORR41" s="532"/>
      <c r="ORS41" s="532"/>
      <c r="ORT41" s="532"/>
      <c r="ORU41" s="532"/>
      <c r="ORV41" s="532"/>
      <c r="ORW41" s="532"/>
      <c r="ORX41" s="532"/>
      <c r="ORY41" s="532"/>
      <c r="ORZ41" s="532"/>
      <c r="OSA41" s="532"/>
      <c r="OSB41" s="532"/>
      <c r="OSC41" s="532"/>
      <c r="OSD41" s="532"/>
      <c r="OSE41" s="532"/>
      <c r="OSF41" s="532"/>
      <c r="OSG41" s="532"/>
      <c r="OSH41" s="532"/>
      <c r="OSI41" s="532"/>
      <c r="OSJ41" s="532"/>
      <c r="OSK41" s="532"/>
      <c r="OSL41" s="532"/>
      <c r="OSM41" s="532"/>
      <c r="OSN41" s="532"/>
      <c r="OSO41" s="532"/>
      <c r="OSP41" s="532"/>
      <c r="OSQ41" s="532"/>
      <c r="OSR41" s="532"/>
      <c r="OSS41" s="532"/>
      <c r="OST41" s="532"/>
      <c r="OSU41" s="532"/>
      <c r="OSV41" s="532"/>
      <c r="OSW41" s="532"/>
      <c r="OSX41" s="532"/>
      <c r="OSY41" s="532"/>
      <c r="OSZ41" s="532"/>
      <c r="OTA41" s="532"/>
      <c r="OTB41" s="532"/>
      <c r="OTC41" s="532"/>
      <c r="OTD41" s="532"/>
      <c r="OTE41" s="532"/>
      <c r="OTF41" s="532"/>
      <c r="OTG41" s="532"/>
      <c r="OTH41" s="532"/>
      <c r="OTI41" s="532"/>
      <c r="OTJ41" s="532"/>
      <c r="OTK41" s="532"/>
      <c r="OTL41" s="532"/>
      <c r="OTM41" s="532"/>
      <c r="OTN41" s="532"/>
      <c r="OTO41" s="532"/>
      <c r="OTP41" s="532"/>
      <c r="OTQ41" s="532"/>
      <c r="OTR41" s="532"/>
      <c r="OTS41" s="532"/>
      <c r="OTT41" s="532"/>
      <c r="OTU41" s="532"/>
      <c r="OTV41" s="532"/>
      <c r="OTW41" s="532"/>
      <c r="OTX41" s="532"/>
      <c r="OTY41" s="532"/>
      <c r="OTZ41" s="532"/>
      <c r="OUA41" s="532"/>
      <c r="OUB41" s="532"/>
      <c r="OUC41" s="532"/>
      <c r="OUD41" s="532"/>
      <c r="OUE41" s="532"/>
      <c r="OUF41" s="532"/>
      <c r="OUG41" s="532"/>
      <c r="OUH41" s="532"/>
      <c r="OUI41" s="532"/>
      <c r="OUJ41" s="532"/>
      <c r="OUK41" s="532"/>
      <c r="OUL41" s="532"/>
      <c r="OUM41" s="532"/>
      <c r="OUN41" s="532"/>
      <c r="OUO41" s="532"/>
      <c r="OUP41" s="532"/>
      <c r="OUQ41" s="532"/>
      <c r="OUR41" s="532"/>
      <c r="OUS41" s="532"/>
      <c r="OUT41" s="532"/>
      <c r="OUU41" s="532"/>
      <c r="OUV41" s="532"/>
      <c r="OUW41" s="532"/>
      <c r="OUX41" s="532"/>
      <c r="OUY41" s="532"/>
      <c r="OUZ41" s="532"/>
      <c r="OVA41" s="532"/>
      <c r="OVB41" s="532"/>
      <c r="OVC41" s="532"/>
      <c r="OVD41" s="532"/>
      <c r="OVE41" s="532"/>
      <c r="OVF41" s="532"/>
      <c r="OVG41" s="532"/>
      <c r="OVH41" s="532"/>
      <c r="OVI41" s="532"/>
      <c r="OVJ41" s="532"/>
      <c r="OVK41" s="532"/>
      <c r="OVL41" s="532"/>
      <c r="OVM41" s="532"/>
      <c r="OVN41" s="532"/>
      <c r="OVO41" s="532"/>
      <c r="OVP41" s="532"/>
      <c r="OVQ41" s="532"/>
      <c r="OVR41" s="532"/>
      <c r="OVS41" s="532"/>
      <c r="OVT41" s="532"/>
      <c r="OVU41" s="532"/>
      <c r="OVV41" s="532"/>
      <c r="OVW41" s="532"/>
      <c r="OVX41" s="532"/>
      <c r="OVY41" s="532"/>
      <c r="OVZ41" s="532"/>
      <c r="OWA41" s="532"/>
      <c r="OWB41" s="532"/>
      <c r="OWC41" s="532"/>
      <c r="OWD41" s="532"/>
      <c r="OWE41" s="532"/>
      <c r="OWF41" s="532"/>
      <c r="OWG41" s="532"/>
      <c r="OWH41" s="532"/>
      <c r="OWI41" s="532"/>
      <c r="OWJ41" s="532"/>
      <c r="OWK41" s="532"/>
      <c r="OWL41" s="532"/>
      <c r="OWM41" s="532"/>
      <c r="OWN41" s="532"/>
      <c r="OWO41" s="532"/>
      <c r="OWP41" s="532"/>
      <c r="OWQ41" s="532"/>
      <c r="OWR41" s="532"/>
      <c r="OWS41" s="532"/>
      <c r="OWT41" s="532"/>
      <c r="OWU41" s="532"/>
      <c r="OWV41" s="532"/>
      <c r="OWW41" s="532"/>
      <c r="OWX41" s="532"/>
      <c r="OWY41" s="532"/>
      <c r="OWZ41" s="532"/>
      <c r="OXA41" s="532"/>
      <c r="OXB41" s="532"/>
      <c r="OXC41" s="532"/>
      <c r="OXD41" s="532"/>
      <c r="OXE41" s="532"/>
      <c r="OXF41" s="532"/>
      <c r="OXG41" s="532"/>
      <c r="OXH41" s="532"/>
      <c r="OXI41" s="532"/>
      <c r="OXJ41" s="532"/>
      <c r="OXK41" s="532"/>
      <c r="OXL41" s="532"/>
      <c r="OXM41" s="532"/>
      <c r="OXN41" s="532"/>
      <c r="OXO41" s="532"/>
      <c r="OXP41" s="532"/>
      <c r="OXQ41" s="532"/>
      <c r="OXR41" s="532"/>
      <c r="OXS41" s="532"/>
      <c r="OXT41" s="532"/>
      <c r="OXU41" s="532"/>
      <c r="OXV41" s="532"/>
      <c r="OXW41" s="532"/>
      <c r="OXX41" s="532"/>
      <c r="OXY41" s="532"/>
      <c r="OXZ41" s="532"/>
      <c r="OYA41" s="532"/>
      <c r="OYB41" s="532"/>
      <c r="OYC41" s="532"/>
      <c r="OYD41" s="532"/>
      <c r="OYE41" s="532"/>
      <c r="OYF41" s="532"/>
      <c r="OYG41" s="532"/>
      <c r="OYH41" s="532"/>
      <c r="OYI41" s="532"/>
      <c r="OYJ41" s="532"/>
      <c r="OYK41" s="532"/>
      <c r="OYL41" s="532"/>
      <c r="OYM41" s="532"/>
      <c r="OYN41" s="532"/>
      <c r="OYO41" s="532"/>
      <c r="OYP41" s="532"/>
      <c r="OYQ41" s="532"/>
      <c r="OYR41" s="532"/>
      <c r="OYS41" s="532"/>
      <c r="OYT41" s="532"/>
      <c r="OYU41" s="532"/>
      <c r="OYV41" s="532"/>
      <c r="OYW41" s="532"/>
      <c r="OYX41" s="532"/>
      <c r="OYY41" s="532"/>
      <c r="OYZ41" s="532"/>
      <c r="OZA41" s="532"/>
      <c r="OZB41" s="532"/>
      <c r="OZC41" s="532"/>
      <c r="OZD41" s="532"/>
      <c r="OZE41" s="532"/>
      <c r="OZF41" s="532"/>
      <c r="OZG41" s="532"/>
      <c r="OZH41" s="532"/>
      <c r="OZI41" s="532"/>
      <c r="OZJ41" s="532"/>
      <c r="OZK41" s="532"/>
      <c r="OZL41" s="532"/>
      <c r="OZM41" s="532"/>
      <c r="OZN41" s="532"/>
      <c r="OZO41" s="532"/>
      <c r="OZP41" s="532"/>
      <c r="OZQ41" s="532"/>
      <c r="OZR41" s="532"/>
      <c r="OZS41" s="532"/>
      <c r="OZT41" s="532"/>
      <c r="OZU41" s="532"/>
      <c r="OZV41" s="532"/>
      <c r="OZW41" s="532"/>
      <c r="OZX41" s="532"/>
      <c r="OZY41" s="532"/>
      <c r="OZZ41" s="532"/>
      <c r="PAA41" s="532"/>
      <c r="PAB41" s="532"/>
      <c r="PAC41" s="532"/>
      <c r="PAD41" s="532"/>
      <c r="PAE41" s="532"/>
      <c r="PAF41" s="532"/>
      <c r="PAG41" s="532"/>
      <c r="PAH41" s="532"/>
      <c r="PAI41" s="532"/>
      <c r="PAJ41" s="532"/>
      <c r="PAK41" s="532"/>
      <c r="PAL41" s="532"/>
      <c r="PAM41" s="532"/>
      <c r="PAN41" s="532"/>
      <c r="PAO41" s="532"/>
      <c r="PAP41" s="532"/>
      <c r="PAQ41" s="532"/>
      <c r="PAR41" s="532"/>
      <c r="PAS41" s="532"/>
      <c r="PAT41" s="532"/>
      <c r="PAU41" s="532"/>
      <c r="PAV41" s="532"/>
      <c r="PAW41" s="532"/>
      <c r="PAX41" s="532"/>
      <c r="PAY41" s="532"/>
      <c r="PAZ41" s="532"/>
      <c r="PBA41" s="532"/>
      <c r="PBB41" s="532"/>
      <c r="PBC41" s="532"/>
      <c r="PBD41" s="532"/>
      <c r="PBE41" s="532"/>
      <c r="PBF41" s="532"/>
      <c r="PBG41" s="532"/>
      <c r="PBH41" s="532"/>
      <c r="PBI41" s="532"/>
      <c r="PBJ41" s="532"/>
      <c r="PBK41" s="532"/>
      <c r="PBL41" s="532"/>
      <c r="PBM41" s="532"/>
      <c r="PBN41" s="532"/>
      <c r="PBO41" s="532"/>
      <c r="PBP41" s="532"/>
      <c r="PBQ41" s="532"/>
      <c r="PBR41" s="532"/>
      <c r="PBS41" s="532"/>
      <c r="PBT41" s="532"/>
      <c r="PBU41" s="532"/>
      <c r="PBV41" s="532"/>
      <c r="PBW41" s="532"/>
      <c r="PBX41" s="532"/>
      <c r="PBY41" s="532"/>
      <c r="PBZ41" s="532"/>
      <c r="PCA41" s="532"/>
      <c r="PCB41" s="532"/>
      <c r="PCC41" s="532"/>
      <c r="PCD41" s="532"/>
      <c r="PCE41" s="532"/>
      <c r="PCF41" s="532"/>
      <c r="PCG41" s="532"/>
      <c r="PCH41" s="532"/>
      <c r="PCI41" s="532"/>
      <c r="PCJ41" s="532"/>
      <c r="PCK41" s="532"/>
      <c r="PCL41" s="532"/>
      <c r="PCM41" s="532"/>
      <c r="PCN41" s="532"/>
      <c r="PCO41" s="532"/>
      <c r="PCP41" s="532"/>
      <c r="PCQ41" s="532"/>
      <c r="PCR41" s="532"/>
      <c r="PCS41" s="532"/>
      <c r="PCT41" s="532"/>
      <c r="PCU41" s="532"/>
      <c r="PCV41" s="532"/>
      <c r="PCW41" s="532"/>
      <c r="PCX41" s="532"/>
      <c r="PCY41" s="532"/>
      <c r="PCZ41" s="532"/>
      <c r="PDA41" s="532"/>
      <c r="PDB41" s="532"/>
      <c r="PDC41" s="532"/>
      <c r="PDD41" s="532"/>
      <c r="PDE41" s="532"/>
      <c r="PDF41" s="532"/>
      <c r="PDG41" s="532"/>
      <c r="PDH41" s="532"/>
      <c r="PDI41" s="532"/>
      <c r="PDJ41" s="532"/>
      <c r="PDK41" s="532"/>
      <c r="PDL41" s="532"/>
      <c r="PDM41" s="532"/>
      <c r="PDN41" s="532"/>
      <c r="PDO41" s="532"/>
      <c r="PDP41" s="532"/>
      <c r="PDQ41" s="532"/>
      <c r="PDR41" s="532"/>
      <c r="PDS41" s="532"/>
      <c r="PDT41" s="532"/>
      <c r="PDU41" s="532"/>
      <c r="PDV41" s="532"/>
      <c r="PDW41" s="532"/>
      <c r="PDX41" s="532"/>
      <c r="PDY41" s="532"/>
      <c r="PDZ41" s="532"/>
      <c r="PEA41" s="532"/>
      <c r="PEB41" s="532"/>
      <c r="PEC41" s="532"/>
      <c r="PED41" s="532"/>
      <c r="PEE41" s="532"/>
      <c r="PEF41" s="532"/>
      <c r="PEG41" s="532"/>
      <c r="PEH41" s="532"/>
      <c r="PEI41" s="532"/>
      <c r="PEJ41" s="532"/>
      <c r="PEK41" s="532"/>
      <c r="PEL41" s="532"/>
      <c r="PEM41" s="532"/>
      <c r="PEN41" s="532"/>
      <c r="PEO41" s="532"/>
      <c r="PEP41" s="532"/>
      <c r="PEQ41" s="532"/>
      <c r="PER41" s="532"/>
      <c r="PES41" s="532"/>
      <c r="PET41" s="532"/>
      <c r="PEU41" s="532"/>
      <c r="PEV41" s="532"/>
      <c r="PEW41" s="532"/>
      <c r="PEX41" s="532"/>
      <c r="PEY41" s="532"/>
      <c r="PEZ41" s="532"/>
      <c r="PFA41" s="532"/>
      <c r="PFB41" s="532"/>
      <c r="PFC41" s="532"/>
      <c r="PFD41" s="532"/>
      <c r="PFE41" s="532"/>
      <c r="PFF41" s="532"/>
      <c r="PFG41" s="532"/>
      <c r="PFH41" s="532"/>
      <c r="PFI41" s="532"/>
      <c r="PFJ41" s="532"/>
      <c r="PFK41" s="532"/>
      <c r="PFL41" s="532"/>
      <c r="PFM41" s="532"/>
      <c r="PFN41" s="532"/>
      <c r="PFO41" s="532"/>
      <c r="PFP41" s="532"/>
      <c r="PFQ41" s="532"/>
      <c r="PFR41" s="532"/>
      <c r="PFS41" s="532"/>
      <c r="PFT41" s="532"/>
      <c r="PFU41" s="532"/>
      <c r="PFV41" s="532"/>
      <c r="PFW41" s="532"/>
      <c r="PFX41" s="532"/>
      <c r="PFY41" s="532"/>
      <c r="PFZ41" s="532"/>
      <c r="PGA41" s="532"/>
      <c r="PGB41" s="532"/>
      <c r="PGC41" s="532"/>
      <c r="PGD41" s="532"/>
      <c r="PGE41" s="532"/>
      <c r="PGF41" s="532"/>
      <c r="PGG41" s="532"/>
      <c r="PGH41" s="532"/>
      <c r="PGI41" s="532"/>
      <c r="PGJ41" s="532"/>
      <c r="PGK41" s="532"/>
      <c r="PGL41" s="532"/>
      <c r="PGM41" s="532"/>
      <c r="PGN41" s="532"/>
      <c r="PGO41" s="532"/>
      <c r="PGP41" s="532"/>
      <c r="PGQ41" s="532"/>
      <c r="PGR41" s="532"/>
      <c r="PGS41" s="532"/>
      <c r="PGT41" s="532"/>
      <c r="PGU41" s="532"/>
      <c r="PGV41" s="532"/>
      <c r="PGW41" s="532"/>
      <c r="PGX41" s="532"/>
      <c r="PGY41" s="532"/>
      <c r="PGZ41" s="532"/>
      <c r="PHA41" s="532"/>
      <c r="PHB41" s="532"/>
      <c r="PHC41" s="532"/>
      <c r="PHD41" s="532"/>
      <c r="PHE41" s="532"/>
      <c r="PHF41" s="532"/>
      <c r="PHG41" s="532"/>
      <c r="PHH41" s="532"/>
      <c r="PHI41" s="532"/>
      <c r="PHJ41" s="532"/>
      <c r="PHK41" s="532"/>
      <c r="PHL41" s="532"/>
      <c r="PHM41" s="532"/>
      <c r="PHN41" s="532"/>
      <c r="PHO41" s="532"/>
      <c r="PHP41" s="532"/>
      <c r="PHQ41" s="532"/>
      <c r="PHR41" s="532"/>
      <c r="PHS41" s="532"/>
      <c r="PHT41" s="532"/>
      <c r="PHU41" s="532"/>
      <c r="PHV41" s="532"/>
      <c r="PHW41" s="532"/>
      <c r="PHX41" s="532"/>
      <c r="PHY41" s="532"/>
      <c r="PHZ41" s="532"/>
      <c r="PIA41" s="532"/>
      <c r="PIB41" s="532"/>
      <c r="PIC41" s="532"/>
      <c r="PID41" s="532"/>
      <c r="PIE41" s="532"/>
      <c r="PIF41" s="532"/>
      <c r="PIG41" s="532"/>
      <c r="PIH41" s="532"/>
      <c r="PII41" s="532"/>
      <c r="PIJ41" s="532"/>
      <c r="PIK41" s="532"/>
      <c r="PIL41" s="532"/>
      <c r="PIM41" s="532"/>
      <c r="PIN41" s="532"/>
      <c r="PIO41" s="532"/>
      <c r="PIP41" s="532"/>
      <c r="PIQ41" s="532"/>
      <c r="PIR41" s="532"/>
      <c r="PIS41" s="532"/>
      <c r="PIT41" s="532"/>
      <c r="PIU41" s="532"/>
      <c r="PIV41" s="532"/>
      <c r="PIW41" s="532"/>
      <c r="PIX41" s="532"/>
      <c r="PIY41" s="532"/>
      <c r="PIZ41" s="532"/>
      <c r="PJA41" s="532"/>
      <c r="PJB41" s="532"/>
      <c r="PJC41" s="532"/>
      <c r="PJD41" s="532"/>
      <c r="PJE41" s="532"/>
      <c r="PJF41" s="532"/>
      <c r="PJG41" s="532"/>
      <c r="PJH41" s="532"/>
      <c r="PJI41" s="532"/>
      <c r="PJJ41" s="532"/>
      <c r="PJK41" s="532"/>
      <c r="PJL41" s="532"/>
      <c r="PJM41" s="532"/>
      <c r="PJN41" s="532"/>
      <c r="PJO41" s="532"/>
      <c r="PJP41" s="532"/>
      <c r="PJQ41" s="532"/>
      <c r="PJR41" s="532"/>
      <c r="PJS41" s="532"/>
      <c r="PJT41" s="532"/>
      <c r="PJU41" s="532"/>
      <c r="PJV41" s="532"/>
      <c r="PJW41" s="532"/>
      <c r="PJX41" s="532"/>
      <c r="PJY41" s="532"/>
      <c r="PJZ41" s="532"/>
      <c r="PKA41" s="532"/>
      <c r="PKB41" s="532"/>
      <c r="PKC41" s="532"/>
      <c r="PKD41" s="532"/>
      <c r="PKE41" s="532"/>
      <c r="PKF41" s="532"/>
      <c r="PKG41" s="532"/>
      <c r="PKH41" s="532"/>
      <c r="PKI41" s="532"/>
      <c r="PKJ41" s="532"/>
      <c r="PKK41" s="532"/>
      <c r="PKL41" s="532"/>
      <c r="PKM41" s="532"/>
      <c r="PKN41" s="532"/>
      <c r="PKO41" s="532"/>
      <c r="PKP41" s="532"/>
      <c r="PKQ41" s="532"/>
      <c r="PKR41" s="532"/>
      <c r="PKS41" s="532"/>
      <c r="PKT41" s="532"/>
      <c r="PKU41" s="532"/>
      <c r="PKV41" s="532"/>
      <c r="PKW41" s="532"/>
      <c r="PKX41" s="532"/>
      <c r="PKY41" s="532"/>
      <c r="PKZ41" s="532"/>
      <c r="PLA41" s="532"/>
      <c r="PLB41" s="532"/>
      <c r="PLC41" s="532"/>
      <c r="PLD41" s="532"/>
      <c r="PLE41" s="532"/>
      <c r="PLF41" s="532"/>
      <c r="PLG41" s="532"/>
      <c r="PLH41" s="532"/>
      <c r="PLI41" s="532"/>
      <c r="PLJ41" s="532"/>
      <c r="PLK41" s="532"/>
      <c r="PLL41" s="532"/>
      <c r="PLM41" s="532"/>
      <c r="PLN41" s="532"/>
      <c r="PLO41" s="532"/>
      <c r="PLP41" s="532"/>
      <c r="PLQ41" s="532"/>
      <c r="PLR41" s="532"/>
      <c r="PLS41" s="532"/>
      <c r="PLT41" s="532"/>
      <c r="PLU41" s="532"/>
      <c r="PLV41" s="532"/>
      <c r="PLW41" s="532"/>
      <c r="PLX41" s="532"/>
      <c r="PLY41" s="532"/>
      <c r="PLZ41" s="532"/>
      <c r="PMA41" s="532"/>
      <c r="PMB41" s="532"/>
      <c r="PMC41" s="532"/>
      <c r="PMD41" s="532"/>
      <c r="PME41" s="532"/>
      <c r="PMF41" s="532"/>
      <c r="PMG41" s="532"/>
      <c r="PMH41" s="532"/>
      <c r="PMI41" s="532"/>
      <c r="PMJ41" s="532"/>
      <c r="PMK41" s="532"/>
      <c r="PML41" s="532"/>
      <c r="PMM41" s="532"/>
      <c r="PMN41" s="532"/>
      <c r="PMO41" s="532"/>
      <c r="PMP41" s="532"/>
      <c r="PMQ41" s="532"/>
      <c r="PMR41" s="532"/>
      <c r="PMS41" s="532"/>
      <c r="PMT41" s="532"/>
      <c r="PMU41" s="532"/>
      <c r="PMV41" s="532"/>
      <c r="PMW41" s="532"/>
      <c r="PMX41" s="532"/>
      <c r="PMY41" s="532"/>
      <c r="PMZ41" s="532"/>
      <c r="PNA41" s="532"/>
      <c r="PNB41" s="532"/>
      <c r="PNC41" s="532"/>
      <c r="PND41" s="532"/>
      <c r="PNE41" s="532"/>
      <c r="PNF41" s="532"/>
      <c r="PNG41" s="532"/>
      <c r="PNH41" s="532"/>
      <c r="PNI41" s="532"/>
      <c r="PNJ41" s="532"/>
      <c r="PNK41" s="532"/>
      <c r="PNL41" s="532"/>
      <c r="PNM41" s="532"/>
      <c r="PNN41" s="532"/>
      <c r="PNO41" s="532"/>
      <c r="PNP41" s="532"/>
      <c r="PNQ41" s="532"/>
      <c r="PNR41" s="532"/>
      <c r="PNS41" s="532"/>
      <c r="PNT41" s="532"/>
      <c r="PNU41" s="532"/>
      <c r="PNV41" s="532"/>
      <c r="PNW41" s="532"/>
      <c r="PNX41" s="532"/>
      <c r="PNY41" s="532"/>
      <c r="PNZ41" s="532"/>
      <c r="POA41" s="532"/>
      <c r="POB41" s="532"/>
      <c r="POC41" s="532"/>
      <c r="POD41" s="532"/>
      <c r="POE41" s="532"/>
      <c r="POF41" s="532"/>
      <c r="POG41" s="532"/>
      <c r="POH41" s="532"/>
      <c r="POI41" s="532"/>
      <c r="POJ41" s="532"/>
      <c r="POK41" s="532"/>
      <c r="POL41" s="532"/>
      <c r="POM41" s="532"/>
      <c r="PON41" s="532"/>
      <c r="POO41" s="532"/>
      <c r="POP41" s="532"/>
      <c r="POQ41" s="532"/>
      <c r="POR41" s="532"/>
      <c r="POS41" s="532"/>
      <c r="POT41" s="532"/>
      <c r="POU41" s="532"/>
      <c r="POV41" s="532"/>
      <c r="POW41" s="532"/>
      <c r="POX41" s="532"/>
      <c r="POY41" s="532"/>
      <c r="POZ41" s="532"/>
      <c r="PPA41" s="532"/>
      <c r="PPB41" s="532"/>
      <c r="PPC41" s="532"/>
      <c r="PPD41" s="532"/>
      <c r="PPE41" s="532"/>
      <c r="PPF41" s="532"/>
      <c r="PPG41" s="532"/>
      <c r="PPH41" s="532"/>
      <c r="PPI41" s="532"/>
      <c r="PPJ41" s="532"/>
      <c r="PPK41" s="532"/>
      <c r="PPL41" s="532"/>
      <c r="PPM41" s="532"/>
      <c r="PPN41" s="532"/>
      <c r="PPO41" s="532"/>
      <c r="PPP41" s="532"/>
      <c r="PPQ41" s="532"/>
      <c r="PPR41" s="532"/>
      <c r="PPS41" s="532"/>
      <c r="PPT41" s="532"/>
      <c r="PPU41" s="532"/>
      <c r="PPV41" s="532"/>
      <c r="PPW41" s="532"/>
      <c r="PPX41" s="532"/>
      <c r="PPY41" s="532"/>
      <c r="PPZ41" s="532"/>
      <c r="PQA41" s="532"/>
      <c r="PQB41" s="532"/>
      <c r="PQC41" s="532"/>
      <c r="PQD41" s="532"/>
      <c r="PQE41" s="532"/>
      <c r="PQF41" s="532"/>
      <c r="PQG41" s="532"/>
      <c r="PQH41" s="532"/>
      <c r="PQI41" s="532"/>
      <c r="PQJ41" s="532"/>
      <c r="PQK41" s="532"/>
      <c r="PQL41" s="532"/>
      <c r="PQM41" s="532"/>
      <c r="PQN41" s="532"/>
      <c r="PQO41" s="532"/>
      <c r="PQP41" s="532"/>
      <c r="PQQ41" s="532"/>
      <c r="PQR41" s="532"/>
      <c r="PQS41" s="532"/>
      <c r="PQT41" s="532"/>
      <c r="PQU41" s="532"/>
      <c r="PQV41" s="532"/>
      <c r="PQW41" s="532"/>
      <c r="PQX41" s="532"/>
      <c r="PQY41" s="532"/>
      <c r="PQZ41" s="532"/>
      <c r="PRA41" s="532"/>
      <c r="PRB41" s="532"/>
      <c r="PRC41" s="532"/>
      <c r="PRD41" s="532"/>
      <c r="PRE41" s="532"/>
      <c r="PRF41" s="532"/>
      <c r="PRG41" s="532"/>
      <c r="PRH41" s="532"/>
      <c r="PRI41" s="532"/>
      <c r="PRJ41" s="532"/>
      <c r="PRK41" s="532"/>
      <c r="PRL41" s="532"/>
      <c r="PRM41" s="532"/>
      <c r="PRN41" s="532"/>
      <c r="PRO41" s="532"/>
      <c r="PRP41" s="532"/>
      <c r="PRQ41" s="532"/>
      <c r="PRR41" s="532"/>
      <c r="PRS41" s="532"/>
      <c r="PRT41" s="532"/>
      <c r="PRU41" s="532"/>
      <c r="PRV41" s="532"/>
      <c r="PRW41" s="532"/>
      <c r="PRX41" s="532"/>
      <c r="PRY41" s="532"/>
      <c r="PRZ41" s="532"/>
      <c r="PSA41" s="532"/>
      <c r="PSB41" s="532"/>
      <c r="PSC41" s="532"/>
      <c r="PSD41" s="532"/>
      <c r="PSE41" s="532"/>
      <c r="PSF41" s="532"/>
      <c r="PSG41" s="532"/>
      <c r="PSH41" s="532"/>
      <c r="PSI41" s="532"/>
      <c r="PSJ41" s="532"/>
      <c r="PSK41" s="532"/>
      <c r="PSL41" s="532"/>
      <c r="PSM41" s="532"/>
      <c r="PSN41" s="532"/>
      <c r="PSO41" s="532"/>
      <c r="PSP41" s="532"/>
      <c r="PSQ41" s="532"/>
      <c r="PSR41" s="532"/>
      <c r="PSS41" s="532"/>
      <c r="PST41" s="532"/>
      <c r="PSU41" s="532"/>
      <c r="PSV41" s="532"/>
      <c r="PSW41" s="532"/>
      <c r="PSX41" s="532"/>
      <c r="PSY41" s="532"/>
      <c r="PSZ41" s="532"/>
      <c r="PTA41" s="532"/>
      <c r="PTB41" s="532"/>
      <c r="PTC41" s="532"/>
      <c r="PTD41" s="532"/>
      <c r="PTE41" s="532"/>
      <c r="PTF41" s="532"/>
      <c r="PTG41" s="532"/>
      <c r="PTH41" s="532"/>
      <c r="PTI41" s="532"/>
      <c r="PTJ41" s="532"/>
      <c r="PTK41" s="532"/>
      <c r="PTL41" s="532"/>
      <c r="PTM41" s="532"/>
      <c r="PTN41" s="532"/>
      <c r="PTO41" s="532"/>
      <c r="PTP41" s="532"/>
      <c r="PTQ41" s="532"/>
      <c r="PTR41" s="532"/>
      <c r="PTS41" s="532"/>
      <c r="PTT41" s="532"/>
      <c r="PTU41" s="532"/>
      <c r="PTV41" s="532"/>
      <c r="PTW41" s="532"/>
      <c r="PTX41" s="532"/>
      <c r="PTY41" s="532"/>
      <c r="PTZ41" s="532"/>
      <c r="PUA41" s="532"/>
      <c r="PUB41" s="532"/>
      <c r="PUC41" s="532"/>
      <c r="PUD41" s="532"/>
      <c r="PUE41" s="532"/>
      <c r="PUF41" s="532"/>
      <c r="PUG41" s="532"/>
      <c r="PUH41" s="532"/>
      <c r="PUI41" s="532"/>
      <c r="PUJ41" s="532"/>
      <c r="PUK41" s="532"/>
      <c r="PUL41" s="532"/>
      <c r="PUM41" s="532"/>
      <c r="PUN41" s="532"/>
      <c r="PUO41" s="532"/>
      <c r="PUP41" s="532"/>
      <c r="PUQ41" s="532"/>
      <c r="PUR41" s="532"/>
      <c r="PUS41" s="532"/>
      <c r="PUT41" s="532"/>
      <c r="PUU41" s="532"/>
      <c r="PUV41" s="532"/>
      <c r="PUW41" s="532"/>
      <c r="PUX41" s="532"/>
      <c r="PUY41" s="532"/>
      <c r="PUZ41" s="532"/>
      <c r="PVA41" s="532"/>
      <c r="PVB41" s="532"/>
      <c r="PVC41" s="532"/>
      <c r="PVD41" s="532"/>
      <c r="PVE41" s="532"/>
      <c r="PVF41" s="532"/>
      <c r="PVG41" s="532"/>
      <c r="PVH41" s="532"/>
      <c r="PVI41" s="532"/>
      <c r="PVJ41" s="532"/>
      <c r="PVK41" s="532"/>
      <c r="PVL41" s="532"/>
      <c r="PVM41" s="532"/>
      <c r="PVN41" s="532"/>
      <c r="PVO41" s="532"/>
      <c r="PVP41" s="532"/>
      <c r="PVQ41" s="532"/>
      <c r="PVR41" s="532"/>
      <c r="PVS41" s="532"/>
      <c r="PVT41" s="532"/>
      <c r="PVU41" s="532"/>
      <c r="PVV41" s="532"/>
      <c r="PVW41" s="532"/>
      <c r="PVX41" s="532"/>
      <c r="PVY41" s="532"/>
      <c r="PVZ41" s="532"/>
      <c r="PWA41" s="532"/>
      <c r="PWB41" s="532"/>
      <c r="PWC41" s="532"/>
      <c r="PWD41" s="532"/>
      <c r="PWE41" s="532"/>
      <c r="PWF41" s="532"/>
      <c r="PWG41" s="532"/>
      <c r="PWH41" s="532"/>
      <c r="PWI41" s="532"/>
      <c r="PWJ41" s="532"/>
      <c r="PWK41" s="532"/>
      <c r="PWL41" s="532"/>
      <c r="PWM41" s="532"/>
      <c r="PWN41" s="532"/>
      <c r="PWO41" s="532"/>
      <c r="PWP41" s="532"/>
      <c r="PWQ41" s="532"/>
      <c r="PWR41" s="532"/>
      <c r="PWS41" s="532"/>
      <c r="PWT41" s="532"/>
      <c r="PWU41" s="532"/>
      <c r="PWV41" s="532"/>
      <c r="PWW41" s="532"/>
      <c r="PWX41" s="532"/>
      <c r="PWY41" s="532"/>
      <c r="PWZ41" s="532"/>
      <c r="PXA41" s="532"/>
      <c r="PXB41" s="532"/>
      <c r="PXC41" s="532"/>
      <c r="PXD41" s="532"/>
      <c r="PXE41" s="532"/>
      <c r="PXF41" s="532"/>
      <c r="PXG41" s="532"/>
      <c r="PXH41" s="532"/>
      <c r="PXI41" s="532"/>
      <c r="PXJ41" s="532"/>
      <c r="PXK41" s="532"/>
      <c r="PXL41" s="532"/>
      <c r="PXM41" s="532"/>
      <c r="PXN41" s="532"/>
      <c r="PXO41" s="532"/>
      <c r="PXP41" s="532"/>
      <c r="PXQ41" s="532"/>
      <c r="PXR41" s="532"/>
      <c r="PXS41" s="532"/>
      <c r="PXT41" s="532"/>
      <c r="PXU41" s="532"/>
      <c r="PXV41" s="532"/>
      <c r="PXW41" s="532"/>
      <c r="PXX41" s="532"/>
      <c r="PXY41" s="532"/>
      <c r="PXZ41" s="532"/>
      <c r="PYA41" s="532"/>
      <c r="PYB41" s="532"/>
      <c r="PYC41" s="532"/>
      <c r="PYD41" s="532"/>
      <c r="PYE41" s="532"/>
      <c r="PYF41" s="532"/>
      <c r="PYG41" s="532"/>
      <c r="PYH41" s="532"/>
      <c r="PYI41" s="532"/>
      <c r="PYJ41" s="532"/>
      <c r="PYK41" s="532"/>
      <c r="PYL41" s="532"/>
      <c r="PYM41" s="532"/>
      <c r="PYN41" s="532"/>
      <c r="PYO41" s="532"/>
      <c r="PYP41" s="532"/>
      <c r="PYQ41" s="532"/>
      <c r="PYR41" s="532"/>
      <c r="PYS41" s="532"/>
      <c r="PYT41" s="532"/>
      <c r="PYU41" s="532"/>
      <c r="PYV41" s="532"/>
      <c r="PYW41" s="532"/>
      <c r="PYX41" s="532"/>
      <c r="PYY41" s="532"/>
      <c r="PYZ41" s="532"/>
      <c r="PZA41" s="532"/>
      <c r="PZB41" s="532"/>
      <c r="PZC41" s="532"/>
      <c r="PZD41" s="532"/>
      <c r="PZE41" s="532"/>
      <c r="PZF41" s="532"/>
      <c r="PZG41" s="532"/>
      <c r="PZH41" s="532"/>
      <c r="PZI41" s="532"/>
      <c r="PZJ41" s="532"/>
      <c r="PZK41" s="532"/>
      <c r="PZL41" s="532"/>
      <c r="PZM41" s="532"/>
      <c r="PZN41" s="532"/>
      <c r="PZO41" s="532"/>
      <c r="PZP41" s="532"/>
      <c r="PZQ41" s="532"/>
      <c r="PZR41" s="532"/>
      <c r="PZS41" s="532"/>
      <c r="PZT41" s="532"/>
      <c r="PZU41" s="532"/>
      <c r="PZV41" s="532"/>
      <c r="PZW41" s="532"/>
      <c r="PZX41" s="532"/>
      <c r="PZY41" s="532"/>
      <c r="PZZ41" s="532"/>
      <c r="QAA41" s="532"/>
      <c r="QAB41" s="532"/>
      <c r="QAC41" s="532"/>
      <c r="QAD41" s="532"/>
      <c r="QAE41" s="532"/>
      <c r="QAF41" s="532"/>
      <c r="QAG41" s="532"/>
      <c r="QAH41" s="532"/>
      <c r="QAI41" s="532"/>
      <c r="QAJ41" s="532"/>
      <c r="QAK41" s="532"/>
      <c r="QAL41" s="532"/>
      <c r="QAM41" s="532"/>
      <c r="QAN41" s="532"/>
      <c r="QAO41" s="532"/>
      <c r="QAP41" s="532"/>
      <c r="QAQ41" s="532"/>
      <c r="QAR41" s="532"/>
      <c r="QAS41" s="532"/>
      <c r="QAT41" s="532"/>
      <c r="QAU41" s="532"/>
      <c r="QAV41" s="532"/>
      <c r="QAW41" s="532"/>
      <c r="QAX41" s="532"/>
      <c r="QAY41" s="532"/>
      <c r="QAZ41" s="532"/>
      <c r="QBA41" s="532"/>
      <c r="QBB41" s="532"/>
      <c r="QBC41" s="532"/>
      <c r="QBD41" s="532"/>
      <c r="QBE41" s="532"/>
      <c r="QBF41" s="532"/>
      <c r="QBG41" s="532"/>
      <c r="QBH41" s="532"/>
      <c r="QBI41" s="532"/>
      <c r="QBJ41" s="532"/>
      <c r="QBK41" s="532"/>
      <c r="QBL41" s="532"/>
      <c r="QBM41" s="532"/>
      <c r="QBN41" s="532"/>
      <c r="QBO41" s="532"/>
      <c r="QBP41" s="532"/>
      <c r="QBQ41" s="532"/>
      <c r="QBR41" s="532"/>
      <c r="QBS41" s="532"/>
      <c r="QBT41" s="532"/>
      <c r="QBU41" s="532"/>
      <c r="QBV41" s="532"/>
      <c r="QBW41" s="532"/>
      <c r="QBX41" s="532"/>
      <c r="QBY41" s="532"/>
      <c r="QBZ41" s="532"/>
      <c r="QCA41" s="532"/>
      <c r="QCB41" s="532"/>
      <c r="QCC41" s="532"/>
      <c r="QCD41" s="532"/>
      <c r="QCE41" s="532"/>
      <c r="QCF41" s="532"/>
      <c r="QCG41" s="532"/>
      <c r="QCH41" s="532"/>
      <c r="QCI41" s="532"/>
      <c r="QCJ41" s="532"/>
      <c r="QCK41" s="532"/>
      <c r="QCL41" s="532"/>
      <c r="QCM41" s="532"/>
      <c r="QCN41" s="532"/>
      <c r="QCO41" s="532"/>
      <c r="QCP41" s="532"/>
      <c r="QCQ41" s="532"/>
      <c r="QCR41" s="532"/>
      <c r="QCS41" s="532"/>
      <c r="QCT41" s="532"/>
      <c r="QCU41" s="532"/>
      <c r="QCV41" s="532"/>
      <c r="QCW41" s="532"/>
      <c r="QCX41" s="532"/>
      <c r="QCY41" s="532"/>
      <c r="QCZ41" s="532"/>
      <c r="QDA41" s="532"/>
      <c r="QDB41" s="532"/>
      <c r="QDC41" s="532"/>
      <c r="QDD41" s="532"/>
      <c r="QDE41" s="532"/>
      <c r="QDF41" s="532"/>
      <c r="QDG41" s="532"/>
      <c r="QDH41" s="532"/>
      <c r="QDI41" s="532"/>
      <c r="QDJ41" s="532"/>
      <c r="QDK41" s="532"/>
      <c r="QDL41" s="532"/>
      <c r="QDM41" s="532"/>
      <c r="QDN41" s="532"/>
      <c r="QDO41" s="532"/>
      <c r="QDP41" s="532"/>
      <c r="QDQ41" s="532"/>
      <c r="QDR41" s="532"/>
      <c r="QDS41" s="532"/>
      <c r="QDT41" s="532"/>
      <c r="QDU41" s="532"/>
      <c r="QDV41" s="532"/>
      <c r="QDW41" s="532"/>
      <c r="QDX41" s="532"/>
      <c r="QDY41" s="532"/>
      <c r="QDZ41" s="532"/>
      <c r="QEA41" s="532"/>
      <c r="QEB41" s="532"/>
      <c r="QEC41" s="532"/>
      <c r="QED41" s="532"/>
      <c r="QEE41" s="532"/>
      <c r="QEF41" s="532"/>
      <c r="QEG41" s="532"/>
      <c r="QEH41" s="532"/>
      <c r="QEI41" s="532"/>
      <c r="QEJ41" s="532"/>
      <c r="QEK41" s="532"/>
      <c r="QEL41" s="532"/>
      <c r="QEM41" s="532"/>
      <c r="QEN41" s="532"/>
      <c r="QEO41" s="532"/>
      <c r="QEP41" s="532"/>
      <c r="QEQ41" s="532"/>
      <c r="QER41" s="532"/>
      <c r="QES41" s="532"/>
      <c r="QET41" s="532"/>
      <c r="QEU41" s="532"/>
      <c r="QEV41" s="532"/>
      <c r="QEW41" s="532"/>
      <c r="QEX41" s="532"/>
      <c r="QEY41" s="532"/>
      <c r="QEZ41" s="532"/>
      <c r="QFA41" s="532"/>
      <c r="QFB41" s="532"/>
      <c r="QFC41" s="532"/>
      <c r="QFD41" s="532"/>
      <c r="QFE41" s="532"/>
      <c r="QFF41" s="532"/>
      <c r="QFG41" s="532"/>
      <c r="QFH41" s="532"/>
      <c r="QFI41" s="532"/>
      <c r="QFJ41" s="532"/>
      <c r="QFK41" s="532"/>
      <c r="QFL41" s="532"/>
      <c r="QFM41" s="532"/>
      <c r="QFN41" s="532"/>
      <c r="QFO41" s="532"/>
      <c r="QFP41" s="532"/>
      <c r="QFQ41" s="532"/>
      <c r="QFR41" s="532"/>
      <c r="QFS41" s="532"/>
      <c r="QFT41" s="532"/>
      <c r="QFU41" s="532"/>
      <c r="QFV41" s="532"/>
      <c r="QFW41" s="532"/>
      <c r="QFX41" s="532"/>
      <c r="QFY41" s="532"/>
      <c r="QFZ41" s="532"/>
      <c r="QGA41" s="532"/>
      <c r="QGB41" s="532"/>
      <c r="QGC41" s="532"/>
      <c r="QGD41" s="532"/>
      <c r="QGE41" s="532"/>
      <c r="QGF41" s="532"/>
      <c r="QGG41" s="532"/>
      <c r="QGH41" s="532"/>
      <c r="QGI41" s="532"/>
      <c r="QGJ41" s="532"/>
      <c r="QGK41" s="532"/>
      <c r="QGL41" s="532"/>
      <c r="QGM41" s="532"/>
      <c r="QGN41" s="532"/>
      <c r="QGO41" s="532"/>
      <c r="QGP41" s="532"/>
      <c r="QGQ41" s="532"/>
      <c r="QGR41" s="532"/>
      <c r="QGS41" s="532"/>
      <c r="QGT41" s="532"/>
      <c r="QGU41" s="532"/>
      <c r="QGV41" s="532"/>
      <c r="QGW41" s="532"/>
      <c r="QGX41" s="532"/>
      <c r="QGY41" s="532"/>
      <c r="QGZ41" s="532"/>
      <c r="QHA41" s="532"/>
      <c r="QHB41" s="532"/>
      <c r="QHC41" s="532"/>
      <c r="QHD41" s="532"/>
      <c r="QHE41" s="532"/>
      <c r="QHF41" s="532"/>
      <c r="QHG41" s="532"/>
      <c r="QHH41" s="532"/>
      <c r="QHI41" s="532"/>
      <c r="QHJ41" s="532"/>
      <c r="QHK41" s="532"/>
      <c r="QHL41" s="532"/>
      <c r="QHM41" s="532"/>
      <c r="QHN41" s="532"/>
      <c r="QHO41" s="532"/>
      <c r="QHP41" s="532"/>
      <c r="QHQ41" s="532"/>
      <c r="QHR41" s="532"/>
      <c r="QHS41" s="532"/>
      <c r="QHT41" s="532"/>
      <c r="QHU41" s="532"/>
      <c r="QHV41" s="532"/>
      <c r="QHW41" s="532"/>
      <c r="QHX41" s="532"/>
      <c r="QHY41" s="532"/>
      <c r="QHZ41" s="532"/>
      <c r="QIA41" s="532"/>
      <c r="QIB41" s="532"/>
      <c r="QIC41" s="532"/>
      <c r="QID41" s="532"/>
      <c r="QIE41" s="532"/>
      <c r="QIF41" s="532"/>
      <c r="QIG41" s="532"/>
      <c r="QIH41" s="532"/>
      <c r="QII41" s="532"/>
      <c r="QIJ41" s="532"/>
      <c r="QIK41" s="532"/>
      <c r="QIL41" s="532"/>
      <c r="QIM41" s="532"/>
      <c r="QIN41" s="532"/>
      <c r="QIO41" s="532"/>
      <c r="QIP41" s="532"/>
      <c r="QIQ41" s="532"/>
      <c r="QIR41" s="532"/>
      <c r="QIS41" s="532"/>
      <c r="QIT41" s="532"/>
      <c r="QIU41" s="532"/>
      <c r="QIV41" s="532"/>
      <c r="QIW41" s="532"/>
      <c r="QIX41" s="532"/>
      <c r="QIY41" s="532"/>
      <c r="QIZ41" s="532"/>
      <c r="QJA41" s="532"/>
      <c r="QJB41" s="532"/>
      <c r="QJC41" s="532"/>
      <c r="QJD41" s="532"/>
      <c r="QJE41" s="532"/>
      <c r="QJF41" s="532"/>
      <c r="QJG41" s="532"/>
      <c r="QJH41" s="532"/>
      <c r="QJI41" s="532"/>
      <c r="QJJ41" s="532"/>
      <c r="QJK41" s="532"/>
      <c r="QJL41" s="532"/>
      <c r="QJM41" s="532"/>
      <c r="QJN41" s="532"/>
      <c r="QJO41" s="532"/>
      <c r="QJP41" s="532"/>
      <c r="QJQ41" s="532"/>
      <c r="QJR41" s="532"/>
      <c r="QJS41" s="532"/>
      <c r="QJT41" s="532"/>
      <c r="QJU41" s="532"/>
      <c r="QJV41" s="532"/>
      <c r="QJW41" s="532"/>
      <c r="QJX41" s="532"/>
      <c r="QJY41" s="532"/>
      <c r="QJZ41" s="532"/>
      <c r="QKA41" s="532"/>
      <c r="QKB41" s="532"/>
      <c r="QKC41" s="532"/>
      <c r="QKD41" s="532"/>
      <c r="QKE41" s="532"/>
      <c r="QKF41" s="532"/>
      <c r="QKG41" s="532"/>
      <c r="QKH41" s="532"/>
      <c r="QKI41" s="532"/>
      <c r="QKJ41" s="532"/>
      <c r="QKK41" s="532"/>
      <c r="QKL41" s="532"/>
      <c r="QKM41" s="532"/>
      <c r="QKN41" s="532"/>
      <c r="QKO41" s="532"/>
      <c r="QKP41" s="532"/>
      <c r="QKQ41" s="532"/>
      <c r="QKR41" s="532"/>
      <c r="QKS41" s="532"/>
      <c r="QKT41" s="532"/>
      <c r="QKU41" s="532"/>
      <c r="QKV41" s="532"/>
      <c r="QKW41" s="532"/>
      <c r="QKX41" s="532"/>
      <c r="QKY41" s="532"/>
      <c r="QKZ41" s="532"/>
      <c r="QLA41" s="532"/>
      <c r="QLB41" s="532"/>
      <c r="QLC41" s="532"/>
      <c r="QLD41" s="532"/>
      <c r="QLE41" s="532"/>
      <c r="QLF41" s="532"/>
      <c r="QLG41" s="532"/>
      <c r="QLH41" s="532"/>
      <c r="QLI41" s="532"/>
      <c r="QLJ41" s="532"/>
      <c r="QLK41" s="532"/>
      <c r="QLL41" s="532"/>
      <c r="QLM41" s="532"/>
      <c r="QLN41" s="532"/>
      <c r="QLO41" s="532"/>
      <c r="QLP41" s="532"/>
      <c r="QLQ41" s="532"/>
      <c r="QLR41" s="532"/>
      <c r="QLS41" s="532"/>
      <c r="QLT41" s="532"/>
      <c r="QLU41" s="532"/>
      <c r="QLV41" s="532"/>
      <c r="QLW41" s="532"/>
      <c r="QLX41" s="532"/>
      <c r="QLY41" s="532"/>
      <c r="QLZ41" s="532"/>
      <c r="QMA41" s="532"/>
      <c r="QMB41" s="532"/>
      <c r="QMC41" s="532"/>
      <c r="QMD41" s="532"/>
      <c r="QME41" s="532"/>
      <c r="QMF41" s="532"/>
      <c r="QMG41" s="532"/>
      <c r="QMH41" s="532"/>
      <c r="QMI41" s="532"/>
      <c r="QMJ41" s="532"/>
      <c r="QMK41" s="532"/>
      <c r="QML41" s="532"/>
      <c r="QMM41" s="532"/>
      <c r="QMN41" s="532"/>
      <c r="QMO41" s="532"/>
      <c r="QMP41" s="532"/>
      <c r="QMQ41" s="532"/>
      <c r="QMR41" s="532"/>
      <c r="QMS41" s="532"/>
      <c r="QMT41" s="532"/>
      <c r="QMU41" s="532"/>
      <c r="QMV41" s="532"/>
      <c r="QMW41" s="532"/>
      <c r="QMX41" s="532"/>
      <c r="QMY41" s="532"/>
      <c r="QMZ41" s="532"/>
      <c r="QNA41" s="532"/>
      <c r="QNB41" s="532"/>
      <c r="QNC41" s="532"/>
      <c r="QND41" s="532"/>
      <c r="QNE41" s="532"/>
      <c r="QNF41" s="532"/>
      <c r="QNG41" s="532"/>
      <c r="QNH41" s="532"/>
      <c r="QNI41" s="532"/>
      <c r="QNJ41" s="532"/>
      <c r="QNK41" s="532"/>
      <c r="QNL41" s="532"/>
      <c r="QNM41" s="532"/>
      <c r="QNN41" s="532"/>
      <c r="QNO41" s="532"/>
      <c r="QNP41" s="532"/>
      <c r="QNQ41" s="532"/>
      <c r="QNR41" s="532"/>
      <c r="QNS41" s="532"/>
      <c r="QNT41" s="532"/>
      <c r="QNU41" s="532"/>
      <c r="QNV41" s="532"/>
      <c r="QNW41" s="532"/>
      <c r="QNX41" s="532"/>
      <c r="QNY41" s="532"/>
      <c r="QNZ41" s="532"/>
      <c r="QOA41" s="532"/>
      <c r="QOB41" s="532"/>
      <c r="QOC41" s="532"/>
      <c r="QOD41" s="532"/>
      <c r="QOE41" s="532"/>
      <c r="QOF41" s="532"/>
      <c r="QOG41" s="532"/>
      <c r="QOH41" s="532"/>
      <c r="QOI41" s="532"/>
      <c r="QOJ41" s="532"/>
      <c r="QOK41" s="532"/>
      <c r="QOL41" s="532"/>
      <c r="QOM41" s="532"/>
      <c r="QON41" s="532"/>
      <c r="QOO41" s="532"/>
      <c r="QOP41" s="532"/>
      <c r="QOQ41" s="532"/>
      <c r="QOR41" s="532"/>
      <c r="QOS41" s="532"/>
      <c r="QOT41" s="532"/>
      <c r="QOU41" s="532"/>
      <c r="QOV41" s="532"/>
      <c r="QOW41" s="532"/>
      <c r="QOX41" s="532"/>
      <c r="QOY41" s="532"/>
      <c r="QOZ41" s="532"/>
      <c r="QPA41" s="532"/>
      <c r="QPB41" s="532"/>
      <c r="QPC41" s="532"/>
      <c r="QPD41" s="532"/>
      <c r="QPE41" s="532"/>
      <c r="QPF41" s="532"/>
      <c r="QPG41" s="532"/>
      <c r="QPH41" s="532"/>
      <c r="QPI41" s="532"/>
      <c r="QPJ41" s="532"/>
      <c r="QPK41" s="532"/>
      <c r="QPL41" s="532"/>
      <c r="QPM41" s="532"/>
      <c r="QPN41" s="532"/>
      <c r="QPO41" s="532"/>
      <c r="QPP41" s="532"/>
      <c r="QPQ41" s="532"/>
      <c r="QPR41" s="532"/>
      <c r="QPS41" s="532"/>
      <c r="QPT41" s="532"/>
      <c r="QPU41" s="532"/>
      <c r="QPV41" s="532"/>
      <c r="QPW41" s="532"/>
      <c r="QPX41" s="532"/>
      <c r="QPY41" s="532"/>
      <c r="QPZ41" s="532"/>
      <c r="QQA41" s="532"/>
      <c r="QQB41" s="532"/>
      <c r="QQC41" s="532"/>
      <c r="QQD41" s="532"/>
      <c r="QQE41" s="532"/>
      <c r="QQF41" s="532"/>
      <c r="QQG41" s="532"/>
      <c r="QQH41" s="532"/>
      <c r="QQI41" s="532"/>
      <c r="QQJ41" s="532"/>
      <c r="QQK41" s="532"/>
      <c r="QQL41" s="532"/>
      <c r="QQM41" s="532"/>
      <c r="QQN41" s="532"/>
      <c r="QQO41" s="532"/>
      <c r="QQP41" s="532"/>
      <c r="QQQ41" s="532"/>
      <c r="QQR41" s="532"/>
      <c r="QQS41" s="532"/>
      <c r="QQT41" s="532"/>
      <c r="QQU41" s="532"/>
      <c r="QQV41" s="532"/>
      <c r="QQW41" s="532"/>
      <c r="QQX41" s="532"/>
      <c r="QQY41" s="532"/>
      <c r="QQZ41" s="532"/>
      <c r="QRA41" s="532"/>
      <c r="QRB41" s="532"/>
      <c r="QRC41" s="532"/>
      <c r="QRD41" s="532"/>
      <c r="QRE41" s="532"/>
      <c r="QRF41" s="532"/>
      <c r="QRG41" s="532"/>
      <c r="QRH41" s="532"/>
      <c r="QRI41" s="532"/>
      <c r="QRJ41" s="532"/>
      <c r="QRK41" s="532"/>
      <c r="QRL41" s="532"/>
      <c r="QRM41" s="532"/>
      <c r="QRN41" s="532"/>
      <c r="QRO41" s="532"/>
      <c r="QRP41" s="532"/>
      <c r="QRQ41" s="532"/>
      <c r="QRR41" s="532"/>
      <c r="QRS41" s="532"/>
      <c r="QRT41" s="532"/>
      <c r="QRU41" s="532"/>
      <c r="QRV41" s="532"/>
      <c r="QRW41" s="532"/>
      <c r="QRX41" s="532"/>
      <c r="QRY41" s="532"/>
      <c r="QRZ41" s="532"/>
      <c r="QSA41" s="532"/>
      <c r="QSB41" s="532"/>
      <c r="QSC41" s="532"/>
      <c r="QSD41" s="532"/>
      <c r="QSE41" s="532"/>
      <c r="QSF41" s="532"/>
      <c r="QSG41" s="532"/>
      <c r="QSH41" s="532"/>
      <c r="QSI41" s="532"/>
      <c r="QSJ41" s="532"/>
      <c r="QSK41" s="532"/>
      <c r="QSL41" s="532"/>
      <c r="QSM41" s="532"/>
      <c r="QSN41" s="532"/>
      <c r="QSO41" s="532"/>
      <c r="QSP41" s="532"/>
      <c r="QSQ41" s="532"/>
      <c r="QSR41" s="532"/>
      <c r="QSS41" s="532"/>
      <c r="QST41" s="532"/>
      <c r="QSU41" s="532"/>
      <c r="QSV41" s="532"/>
      <c r="QSW41" s="532"/>
      <c r="QSX41" s="532"/>
      <c r="QSY41" s="532"/>
      <c r="QSZ41" s="532"/>
      <c r="QTA41" s="532"/>
      <c r="QTB41" s="532"/>
      <c r="QTC41" s="532"/>
      <c r="QTD41" s="532"/>
      <c r="QTE41" s="532"/>
      <c r="QTF41" s="532"/>
      <c r="QTG41" s="532"/>
      <c r="QTH41" s="532"/>
      <c r="QTI41" s="532"/>
      <c r="QTJ41" s="532"/>
      <c r="QTK41" s="532"/>
      <c r="QTL41" s="532"/>
      <c r="QTM41" s="532"/>
      <c r="QTN41" s="532"/>
      <c r="QTO41" s="532"/>
      <c r="QTP41" s="532"/>
      <c r="QTQ41" s="532"/>
      <c r="QTR41" s="532"/>
      <c r="QTS41" s="532"/>
      <c r="QTT41" s="532"/>
      <c r="QTU41" s="532"/>
      <c r="QTV41" s="532"/>
      <c r="QTW41" s="532"/>
      <c r="QTX41" s="532"/>
      <c r="QTY41" s="532"/>
      <c r="QTZ41" s="532"/>
      <c r="QUA41" s="532"/>
      <c r="QUB41" s="532"/>
      <c r="QUC41" s="532"/>
      <c r="QUD41" s="532"/>
      <c r="QUE41" s="532"/>
      <c r="QUF41" s="532"/>
      <c r="QUG41" s="532"/>
      <c r="QUH41" s="532"/>
      <c r="QUI41" s="532"/>
      <c r="QUJ41" s="532"/>
      <c r="QUK41" s="532"/>
      <c r="QUL41" s="532"/>
      <c r="QUM41" s="532"/>
      <c r="QUN41" s="532"/>
      <c r="QUO41" s="532"/>
      <c r="QUP41" s="532"/>
      <c r="QUQ41" s="532"/>
      <c r="QUR41" s="532"/>
      <c r="QUS41" s="532"/>
      <c r="QUT41" s="532"/>
      <c r="QUU41" s="532"/>
      <c r="QUV41" s="532"/>
      <c r="QUW41" s="532"/>
      <c r="QUX41" s="532"/>
      <c r="QUY41" s="532"/>
      <c r="QUZ41" s="532"/>
      <c r="QVA41" s="532"/>
      <c r="QVB41" s="532"/>
      <c r="QVC41" s="532"/>
      <c r="QVD41" s="532"/>
      <c r="QVE41" s="532"/>
      <c r="QVF41" s="532"/>
      <c r="QVG41" s="532"/>
      <c r="QVH41" s="532"/>
      <c r="QVI41" s="532"/>
      <c r="QVJ41" s="532"/>
      <c r="QVK41" s="532"/>
      <c r="QVL41" s="532"/>
      <c r="QVM41" s="532"/>
      <c r="QVN41" s="532"/>
      <c r="QVO41" s="532"/>
      <c r="QVP41" s="532"/>
      <c r="QVQ41" s="532"/>
      <c r="QVR41" s="532"/>
      <c r="QVS41" s="532"/>
      <c r="QVT41" s="532"/>
      <c r="QVU41" s="532"/>
      <c r="QVV41" s="532"/>
      <c r="QVW41" s="532"/>
      <c r="QVX41" s="532"/>
      <c r="QVY41" s="532"/>
      <c r="QVZ41" s="532"/>
      <c r="QWA41" s="532"/>
      <c r="QWB41" s="532"/>
      <c r="QWC41" s="532"/>
      <c r="QWD41" s="532"/>
      <c r="QWE41" s="532"/>
      <c r="QWF41" s="532"/>
      <c r="QWG41" s="532"/>
      <c r="QWH41" s="532"/>
      <c r="QWI41" s="532"/>
      <c r="QWJ41" s="532"/>
      <c r="QWK41" s="532"/>
      <c r="QWL41" s="532"/>
      <c r="QWM41" s="532"/>
      <c r="QWN41" s="532"/>
      <c r="QWO41" s="532"/>
      <c r="QWP41" s="532"/>
      <c r="QWQ41" s="532"/>
      <c r="QWR41" s="532"/>
      <c r="QWS41" s="532"/>
      <c r="QWT41" s="532"/>
      <c r="QWU41" s="532"/>
      <c r="QWV41" s="532"/>
      <c r="QWW41" s="532"/>
      <c r="QWX41" s="532"/>
      <c r="QWY41" s="532"/>
      <c r="QWZ41" s="532"/>
      <c r="QXA41" s="532"/>
      <c r="QXB41" s="532"/>
      <c r="QXC41" s="532"/>
      <c r="QXD41" s="532"/>
      <c r="QXE41" s="532"/>
      <c r="QXF41" s="532"/>
      <c r="QXG41" s="532"/>
      <c r="QXH41" s="532"/>
      <c r="QXI41" s="532"/>
      <c r="QXJ41" s="532"/>
      <c r="QXK41" s="532"/>
      <c r="QXL41" s="532"/>
      <c r="QXM41" s="532"/>
      <c r="QXN41" s="532"/>
      <c r="QXO41" s="532"/>
      <c r="QXP41" s="532"/>
      <c r="QXQ41" s="532"/>
      <c r="QXR41" s="532"/>
      <c r="QXS41" s="532"/>
      <c r="QXT41" s="532"/>
      <c r="QXU41" s="532"/>
      <c r="QXV41" s="532"/>
      <c r="QXW41" s="532"/>
      <c r="QXX41" s="532"/>
      <c r="QXY41" s="532"/>
      <c r="QXZ41" s="532"/>
      <c r="QYA41" s="532"/>
      <c r="QYB41" s="532"/>
      <c r="QYC41" s="532"/>
      <c r="QYD41" s="532"/>
      <c r="QYE41" s="532"/>
      <c r="QYF41" s="532"/>
      <c r="QYG41" s="532"/>
      <c r="QYH41" s="532"/>
      <c r="QYI41" s="532"/>
      <c r="QYJ41" s="532"/>
      <c r="QYK41" s="532"/>
      <c r="QYL41" s="532"/>
      <c r="QYM41" s="532"/>
      <c r="QYN41" s="532"/>
      <c r="QYO41" s="532"/>
      <c r="QYP41" s="532"/>
      <c r="QYQ41" s="532"/>
      <c r="QYR41" s="532"/>
      <c r="QYS41" s="532"/>
      <c r="QYT41" s="532"/>
      <c r="QYU41" s="532"/>
      <c r="QYV41" s="532"/>
      <c r="QYW41" s="532"/>
      <c r="QYX41" s="532"/>
      <c r="QYY41" s="532"/>
      <c r="QYZ41" s="532"/>
      <c r="QZA41" s="532"/>
      <c r="QZB41" s="532"/>
      <c r="QZC41" s="532"/>
      <c r="QZD41" s="532"/>
      <c r="QZE41" s="532"/>
      <c r="QZF41" s="532"/>
      <c r="QZG41" s="532"/>
      <c r="QZH41" s="532"/>
      <c r="QZI41" s="532"/>
      <c r="QZJ41" s="532"/>
      <c r="QZK41" s="532"/>
      <c r="QZL41" s="532"/>
      <c r="QZM41" s="532"/>
      <c r="QZN41" s="532"/>
      <c r="QZO41" s="532"/>
      <c r="QZP41" s="532"/>
      <c r="QZQ41" s="532"/>
      <c r="QZR41" s="532"/>
      <c r="QZS41" s="532"/>
      <c r="QZT41" s="532"/>
      <c r="QZU41" s="532"/>
      <c r="QZV41" s="532"/>
      <c r="QZW41" s="532"/>
      <c r="QZX41" s="532"/>
      <c r="QZY41" s="532"/>
      <c r="QZZ41" s="532"/>
      <c r="RAA41" s="532"/>
      <c r="RAB41" s="532"/>
      <c r="RAC41" s="532"/>
      <c r="RAD41" s="532"/>
      <c r="RAE41" s="532"/>
      <c r="RAF41" s="532"/>
      <c r="RAG41" s="532"/>
      <c r="RAH41" s="532"/>
      <c r="RAI41" s="532"/>
      <c r="RAJ41" s="532"/>
      <c r="RAK41" s="532"/>
      <c r="RAL41" s="532"/>
      <c r="RAM41" s="532"/>
      <c r="RAN41" s="532"/>
      <c r="RAO41" s="532"/>
      <c r="RAP41" s="532"/>
      <c r="RAQ41" s="532"/>
      <c r="RAR41" s="532"/>
      <c r="RAS41" s="532"/>
      <c r="RAT41" s="532"/>
      <c r="RAU41" s="532"/>
      <c r="RAV41" s="532"/>
      <c r="RAW41" s="532"/>
      <c r="RAX41" s="532"/>
      <c r="RAY41" s="532"/>
      <c r="RAZ41" s="532"/>
      <c r="RBA41" s="532"/>
      <c r="RBB41" s="532"/>
      <c r="RBC41" s="532"/>
      <c r="RBD41" s="532"/>
      <c r="RBE41" s="532"/>
      <c r="RBF41" s="532"/>
      <c r="RBG41" s="532"/>
      <c r="RBH41" s="532"/>
      <c r="RBI41" s="532"/>
      <c r="RBJ41" s="532"/>
      <c r="RBK41" s="532"/>
      <c r="RBL41" s="532"/>
      <c r="RBM41" s="532"/>
      <c r="RBN41" s="532"/>
      <c r="RBO41" s="532"/>
      <c r="RBP41" s="532"/>
      <c r="RBQ41" s="532"/>
      <c r="RBR41" s="532"/>
      <c r="RBS41" s="532"/>
      <c r="RBT41" s="532"/>
      <c r="RBU41" s="532"/>
      <c r="RBV41" s="532"/>
      <c r="RBW41" s="532"/>
      <c r="RBX41" s="532"/>
      <c r="RBY41" s="532"/>
      <c r="RBZ41" s="532"/>
      <c r="RCA41" s="532"/>
      <c r="RCB41" s="532"/>
      <c r="RCC41" s="532"/>
      <c r="RCD41" s="532"/>
      <c r="RCE41" s="532"/>
      <c r="RCF41" s="532"/>
      <c r="RCG41" s="532"/>
      <c r="RCH41" s="532"/>
      <c r="RCI41" s="532"/>
      <c r="RCJ41" s="532"/>
      <c r="RCK41" s="532"/>
      <c r="RCL41" s="532"/>
      <c r="RCM41" s="532"/>
      <c r="RCN41" s="532"/>
      <c r="RCO41" s="532"/>
      <c r="RCP41" s="532"/>
      <c r="RCQ41" s="532"/>
      <c r="RCR41" s="532"/>
      <c r="RCS41" s="532"/>
      <c r="RCT41" s="532"/>
      <c r="RCU41" s="532"/>
      <c r="RCV41" s="532"/>
      <c r="RCW41" s="532"/>
      <c r="RCX41" s="532"/>
      <c r="RCY41" s="532"/>
      <c r="RCZ41" s="532"/>
      <c r="RDA41" s="532"/>
      <c r="RDB41" s="532"/>
      <c r="RDC41" s="532"/>
      <c r="RDD41" s="532"/>
      <c r="RDE41" s="532"/>
      <c r="RDF41" s="532"/>
      <c r="RDG41" s="532"/>
      <c r="RDH41" s="532"/>
      <c r="RDI41" s="532"/>
      <c r="RDJ41" s="532"/>
      <c r="RDK41" s="532"/>
      <c r="RDL41" s="532"/>
      <c r="RDM41" s="532"/>
      <c r="RDN41" s="532"/>
      <c r="RDO41" s="532"/>
      <c r="RDP41" s="532"/>
      <c r="RDQ41" s="532"/>
      <c r="RDR41" s="532"/>
      <c r="RDS41" s="532"/>
      <c r="RDT41" s="532"/>
      <c r="RDU41" s="532"/>
      <c r="RDV41" s="532"/>
      <c r="RDW41" s="532"/>
      <c r="RDX41" s="532"/>
      <c r="RDY41" s="532"/>
      <c r="RDZ41" s="532"/>
      <c r="REA41" s="532"/>
      <c r="REB41" s="532"/>
      <c r="REC41" s="532"/>
      <c r="RED41" s="532"/>
      <c r="REE41" s="532"/>
      <c r="REF41" s="532"/>
      <c r="REG41" s="532"/>
      <c r="REH41" s="532"/>
      <c r="REI41" s="532"/>
      <c r="REJ41" s="532"/>
      <c r="REK41" s="532"/>
      <c r="REL41" s="532"/>
      <c r="REM41" s="532"/>
      <c r="REN41" s="532"/>
      <c r="REO41" s="532"/>
      <c r="REP41" s="532"/>
      <c r="REQ41" s="532"/>
      <c r="RER41" s="532"/>
      <c r="RES41" s="532"/>
      <c r="RET41" s="532"/>
      <c r="REU41" s="532"/>
      <c r="REV41" s="532"/>
      <c r="REW41" s="532"/>
      <c r="REX41" s="532"/>
      <c r="REY41" s="532"/>
      <c r="REZ41" s="532"/>
      <c r="RFA41" s="532"/>
      <c r="RFB41" s="532"/>
      <c r="RFC41" s="532"/>
      <c r="RFD41" s="532"/>
      <c r="RFE41" s="532"/>
      <c r="RFF41" s="532"/>
      <c r="RFG41" s="532"/>
      <c r="RFH41" s="532"/>
      <c r="RFI41" s="532"/>
      <c r="RFJ41" s="532"/>
      <c r="RFK41" s="532"/>
      <c r="RFL41" s="532"/>
      <c r="RFM41" s="532"/>
      <c r="RFN41" s="532"/>
      <c r="RFO41" s="532"/>
      <c r="RFP41" s="532"/>
      <c r="RFQ41" s="532"/>
      <c r="RFR41" s="532"/>
      <c r="RFS41" s="532"/>
      <c r="RFT41" s="532"/>
      <c r="RFU41" s="532"/>
      <c r="RFV41" s="532"/>
      <c r="RFW41" s="532"/>
      <c r="RFX41" s="532"/>
      <c r="RFY41" s="532"/>
      <c r="RFZ41" s="532"/>
      <c r="RGA41" s="532"/>
      <c r="RGB41" s="532"/>
      <c r="RGC41" s="532"/>
      <c r="RGD41" s="532"/>
      <c r="RGE41" s="532"/>
      <c r="RGF41" s="532"/>
      <c r="RGG41" s="532"/>
      <c r="RGH41" s="532"/>
      <c r="RGI41" s="532"/>
      <c r="RGJ41" s="532"/>
      <c r="RGK41" s="532"/>
      <c r="RGL41" s="532"/>
      <c r="RGM41" s="532"/>
      <c r="RGN41" s="532"/>
      <c r="RGO41" s="532"/>
      <c r="RGP41" s="532"/>
      <c r="RGQ41" s="532"/>
      <c r="RGR41" s="532"/>
      <c r="RGS41" s="532"/>
      <c r="RGT41" s="532"/>
      <c r="RGU41" s="532"/>
      <c r="RGV41" s="532"/>
      <c r="RGW41" s="532"/>
      <c r="RGX41" s="532"/>
      <c r="RGY41" s="532"/>
      <c r="RGZ41" s="532"/>
      <c r="RHA41" s="532"/>
      <c r="RHB41" s="532"/>
      <c r="RHC41" s="532"/>
      <c r="RHD41" s="532"/>
      <c r="RHE41" s="532"/>
      <c r="RHF41" s="532"/>
      <c r="RHG41" s="532"/>
      <c r="RHH41" s="532"/>
      <c r="RHI41" s="532"/>
      <c r="RHJ41" s="532"/>
      <c r="RHK41" s="532"/>
      <c r="RHL41" s="532"/>
      <c r="RHM41" s="532"/>
      <c r="RHN41" s="532"/>
      <c r="RHO41" s="532"/>
      <c r="RHP41" s="532"/>
      <c r="RHQ41" s="532"/>
      <c r="RHR41" s="532"/>
      <c r="RHS41" s="532"/>
      <c r="RHT41" s="532"/>
      <c r="RHU41" s="532"/>
      <c r="RHV41" s="532"/>
      <c r="RHW41" s="532"/>
      <c r="RHX41" s="532"/>
      <c r="RHY41" s="532"/>
      <c r="RHZ41" s="532"/>
      <c r="RIA41" s="532"/>
      <c r="RIB41" s="532"/>
      <c r="RIC41" s="532"/>
      <c r="RID41" s="532"/>
      <c r="RIE41" s="532"/>
      <c r="RIF41" s="532"/>
      <c r="RIG41" s="532"/>
      <c r="RIH41" s="532"/>
      <c r="RII41" s="532"/>
      <c r="RIJ41" s="532"/>
      <c r="RIK41" s="532"/>
      <c r="RIL41" s="532"/>
      <c r="RIM41" s="532"/>
      <c r="RIN41" s="532"/>
      <c r="RIO41" s="532"/>
      <c r="RIP41" s="532"/>
      <c r="RIQ41" s="532"/>
      <c r="RIR41" s="532"/>
      <c r="RIS41" s="532"/>
      <c r="RIT41" s="532"/>
      <c r="RIU41" s="532"/>
      <c r="RIV41" s="532"/>
      <c r="RIW41" s="532"/>
      <c r="RIX41" s="532"/>
      <c r="RIY41" s="532"/>
      <c r="RIZ41" s="532"/>
      <c r="RJA41" s="532"/>
      <c r="RJB41" s="532"/>
      <c r="RJC41" s="532"/>
      <c r="RJD41" s="532"/>
      <c r="RJE41" s="532"/>
      <c r="RJF41" s="532"/>
      <c r="RJG41" s="532"/>
      <c r="RJH41" s="532"/>
      <c r="RJI41" s="532"/>
      <c r="RJJ41" s="532"/>
      <c r="RJK41" s="532"/>
      <c r="RJL41" s="532"/>
      <c r="RJM41" s="532"/>
      <c r="RJN41" s="532"/>
      <c r="RJO41" s="532"/>
      <c r="RJP41" s="532"/>
      <c r="RJQ41" s="532"/>
      <c r="RJR41" s="532"/>
      <c r="RJS41" s="532"/>
      <c r="RJT41" s="532"/>
      <c r="RJU41" s="532"/>
      <c r="RJV41" s="532"/>
      <c r="RJW41" s="532"/>
      <c r="RJX41" s="532"/>
      <c r="RJY41" s="532"/>
      <c r="RJZ41" s="532"/>
      <c r="RKA41" s="532"/>
      <c r="RKB41" s="532"/>
      <c r="RKC41" s="532"/>
      <c r="RKD41" s="532"/>
      <c r="RKE41" s="532"/>
      <c r="RKF41" s="532"/>
      <c r="RKG41" s="532"/>
      <c r="RKH41" s="532"/>
      <c r="RKI41" s="532"/>
      <c r="RKJ41" s="532"/>
      <c r="RKK41" s="532"/>
      <c r="RKL41" s="532"/>
      <c r="RKM41" s="532"/>
      <c r="RKN41" s="532"/>
      <c r="RKO41" s="532"/>
      <c r="RKP41" s="532"/>
      <c r="RKQ41" s="532"/>
      <c r="RKR41" s="532"/>
      <c r="RKS41" s="532"/>
      <c r="RKT41" s="532"/>
      <c r="RKU41" s="532"/>
      <c r="RKV41" s="532"/>
      <c r="RKW41" s="532"/>
      <c r="RKX41" s="532"/>
      <c r="RKY41" s="532"/>
      <c r="RKZ41" s="532"/>
      <c r="RLA41" s="532"/>
      <c r="RLB41" s="532"/>
      <c r="RLC41" s="532"/>
      <c r="RLD41" s="532"/>
      <c r="RLE41" s="532"/>
      <c r="RLF41" s="532"/>
      <c r="RLG41" s="532"/>
      <c r="RLH41" s="532"/>
      <c r="RLI41" s="532"/>
      <c r="RLJ41" s="532"/>
      <c r="RLK41" s="532"/>
      <c r="RLL41" s="532"/>
      <c r="RLM41" s="532"/>
      <c r="RLN41" s="532"/>
      <c r="RLO41" s="532"/>
      <c r="RLP41" s="532"/>
      <c r="RLQ41" s="532"/>
      <c r="RLR41" s="532"/>
      <c r="RLS41" s="532"/>
      <c r="RLT41" s="532"/>
      <c r="RLU41" s="532"/>
      <c r="RLV41" s="532"/>
      <c r="RLW41" s="532"/>
      <c r="RLX41" s="532"/>
      <c r="RLY41" s="532"/>
      <c r="RLZ41" s="532"/>
      <c r="RMA41" s="532"/>
      <c r="RMB41" s="532"/>
      <c r="RMC41" s="532"/>
      <c r="RMD41" s="532"/>
      <c r="RME41" s="532"/>
      <c r="RMF41" s="532"/>
      <c r="RMG41" s="532"/>
      <c r="RMH41" s="532"/>
      <c r="RMI41" s="532"/>
      <c r="RMJ41" s="532"/>
      <c r="RMK41" s="532"/>
      <c r="RML41" s="532"/>
      <c r="RMM41" s="532"/>
      <c r="RMN41" s="532"/>
      <c r="RMO41" s="532"/>
      <c r="RMP41" s="532"/>
      <c r="RMQ41" s="532"/>
      <c r="RMR41" s="532"/>
      <c r="RMS41" s="532"/>
      <c r="RMT41" s="532"/>
      <c r="RMU41" s="532"/>
      <c r="RMV41" s="532"/>
      <c r="RMW41" s="532"/>
      <c r="RMX41" s="532"/>
      <c r="RMY41" s="532"/>
      <c r="RMZ41" s="532"/>
      <c r="RNA41" s="532"/>
      <c r="RNB41" s="532"/>
      <c r="RNC41" s="532"/>
      <c r="RND41" s="532"/>
      <c r="RNE41" s="532"/>
      <c r="RNF41" s="532"/>
      <c r="RNG41" s="532"/>
      <c r="RNH41" s="532"/>
      <c r="RNI41" s="532"/>
      <c r="RNJ41" s="532"/>
      <c r="RNK41" s="532"/>
      <c r="RNL41" s="532"/>
      <c r="RNM41" s="532"/>
      <c r="RNN41" s="532"/>
      <c r="RNO41" s="532"/>
      <c r="RNP41" s="532"/>
      <c r="RNQ41" s="532"/>
      <c r="RNR41" s="532"/>
      <c r="RNS41" s="532"/>
      <c r="RNT41" s="532"/>
      <c r="RNU41" s="532"/>
      <c r="RNV41" s="532"/>
      <c r="RNW41" s="532"/>
      <c r="RNX41" s="532"/>
      <c r="RNY41" s="532"/>
      <c r="RNZ41" s="532"/>
      <c r="ROA41" s="532"/>
      <c r="ROB41" s="532"/>
      <c r="ROC41" s="532"/>
      <c r="ROD41" s="532"/>
      <c r="ROE41" s="532"/>
      <c r="ROF41" s="532"/>
      <c r="ROG41" s="532"/>
      <c r="ROH41" s="532"/>
      <c r="ROI41" s="532"/>
      <c r="ROJ41" s="532"/>
      <c r="ROK41" s="532"/>
      <c r="ROL41" s="532"/>
      <c r="ROM41" s="532"/>
      <c r="RON41" s="532"/>
      <c r="ROO41" s="532"/>
      <c r="ROP41" s="532"/>
      <c r="ROQ41" s="532"/>
      <c r="ROR41" s="532"/>
      <c r="ROS41" s="532"/>
      <c r="ROT41" s="532"/>
      <c r="ROU41" s="532"/>
      <c r="ROV41" s="532"/>
      <c r="ROW41" s="532"/>
      <c r="ROX41" s="532"/>
      <c r="ROY41" s="532"/>
      <c r="ROZ41" s="532"/>
      <c r="RPA41" s="532"/>
      <c r="RPB41" s="532"/>
      <c r="RPC41" s="532"/>
      <c r="RPD41" s="532"/>
      <c r="RPE41" s="532"/>
      <c r="RPF41" s="532"/>
      <c r="RPG41" s="532"/>
      <c r="RPH41" s="532"/>
      <c r="RPI41" s="532"/>
      <c r="RPJ41" s="532"/>
      <c r="RPK41" s="532"/>
      <c r="RPL41" s="532"/>
      <c r="RPM41" s="532"/>
      <c r="RPN41" s="532"/>
      <c r="RPO41" s="532"/>
      <c r="RPP41" s="532"/>
      <c r="RPQ41" s="532"/>
      <c r="RPR41" s="532"/>
      <c r="RPS41" s="532"/>
      <c r="RPT41" s="532"/>
      <c r="RPU41" s="532"/>
      <c r="RPV41" s="532"/>
      <c r="RPW41" s="532"/>
      <c r="RPX41" s="532"/>
      <c r="RPY41" s="532"/>
      <c r="RPZ41" s="532"/>
      <c r="RQA41" s="532"/>
      <c r="RQB41" s="532"/>
      <c r="RQC41" s="532"/>
      <c r="RQD41" s="532"/>
      <c r="RQE41" s="532"/>
      <c r="RQF41" s="532"/>
      <c r="RQG41" s="532"/>
      <c r="RQH41" s="532"/>
      <c r="RQI41" s="532"/>
      <c r="RQJ41" s="532"/>
      <c r="RQK41" s="532"/>
      <c r="RQL41" s="532"/>
      <c r="RQM41" s="532"/>
      <c r="RQN41" s="532"/>
      <c r="RQO41" s="532"/>
      <c r="RQP41" s="532"/>
      <c r="RQQ41" s="532"/>
      <c r="RQR41" s="532"/>
      <c r="RQS41" s="532"/>
      <c r="RQT41" s="532"/>
      <c r="RQU41" s="532"/>
      <c r="RQV41" s="532"/>
      <c r="RQW41" s="532"/>
      <c r="RQX41" s="532"/>
      <c r="RQY41" s="532"/>
      <c r="RQZ41" s="532"/>
      <c r="RRA41" s="532"/>
      <c r="RRB41" s="532"/>
      <c r="RRC41" s="532"/>
      <c r="RRD41" s="532"/>
      <c r="RRE41" s="532"/>
      <c r="RRF41" s="532"/>
      <c r="RRG41" s="532"/>
      <c r="RRH41" s="532"/>
      <c r="RRI41" s="532"/>
      <c r="RRJ41" s="532"/>
      <c r="RRK41" s="532"/>
      <c r="RRL41" s="532"/>
      <c r="RRM41" s="532"/>
      <c r="RRN41" s="532"/>
      <c r="RRO41" s="532"/>
      <c r="RRP41" s="532"/>
      <c r="RRQ41" s="532"/>
      <c r="RRR41" s="532"/>
      <c r="RRS41" s="532"/>
      <c r="RRT41" s="532"/>
      <c r="RRU41" s="532"/>
      <c r="RRV41" s="532"/>
      <c r="RRW41" s="532"/>
      <c r="RRX41" s="532"/>
      <c r="RRY41" s="532"/>
      <c r="RRZ41" s="532"/>
      <c r="RSA41" s="532"/>
      <c r="RSB41" s="532"/>
      <c r="RSC41" s="532"/>
      <c r="RSD41" s="532"/>
      <c r="RSE41" s="532"/>
      <c r="RSF41" s="532"/>
      <c r="RSG41" s="532"/>
      <c r="RSH41" s="532"/>
      <c r="RSI41" s="532"/>
      <c r="RSJ41" s="532"/>
      <c r="RSK41" s="532"/>
      <c r="RSL41" s="532"/>
      <c r="RSM41" s="532"/>
      <c r="RSN41" s="532"/>
      <c r="RSO41" s="532"/>
      <c r="RSP41" s="532"/>
      <c r="RSQ41" s="532"/>
      <c r="RSR41" s="532"/>
      <c r="RSS41" s="532"/>
      <c r="RST41" s="532"/>
      <c r="RSU41" s="532"/>
      <c r="RSV41" s="532"/>
      <c r="RSW41" s="532"/>
      <c r="RSX41" s="532"/>
      <c r="RSY41" s="532"/>
      <c r="RSZ41" s="532"/>
      <c r="RTA41" s="532"/>
      <c r="RTB41" s="532"/>
      <c r="RTC41" s="532"/>
      <c r="RTD41" s="532"/>
      <c r="RTE41" s="532"/>
      <c r="RTF41" s="532"/>
      <c r="RTG41" s="532"/>
      <c r="RTH41" s="532"/>
      <c r="RTI41" s="532"/>
      <c r="RTJ41" s="532"/>
      <c r="RTK41" s="532"/>
      <c r="RTL41" s="532"/>
      <c r="RTM41" s="532"/>
      <c r="RTN41" s="532"/>
      <c r="RTO41" s="532"/>
      <c r="RTP41" s="532"/>
      <c r="RTQ41" s="532"/>
      <c r="RTR41" s="532"/>
      <c r="RTS41" s="532"/>
      <c r="RTT41" s="532"/>
      <c r="RTU41" s="532"/>
      <c r="RTV41" s="532"/>
      <c r="RTW41" s="532"/>
      <c r="RTX41" s="532"/>
      <c r="RTY41" s="532"/>
      <c r="RTZ41" s="532"/>
      <c r="RUA41" s="532"/>
      <c r="RUB41" s="532"/>
      <c r="RUC41" s="532"/>
      <c r="RUD41" s="532"/>
      <c r="RUE41" s="532"/>
      <c r="RUF41" s="532"/>
      <c r="RUG41" s="532"/>
      <c r="RUH41" s="532"/>
      <c r="RUI41" s="532"/>
      <c r="RUJ41" s="532"/>
      <c r="RUK41" s="532"/>
      <c r="RUL41" s="532"/>
      <c r="RUM41" s="532"/>
      <c r="RUN41" s="532"/>
      <c r="RUO41" s="532"/>
      <c r="RUP41" s="532"/>
      <c r="RUQ41" s="532"/>
      <c r="RUR41" s="532"/>
      <c r="RUS41" s="532"/>
      <c r="RUT41" s="532"/>
      <c r="RUU41" s="532"/>
      <c r="RUV41" s="532"/>
      <c r="RUW41" s="532"/>
      <c r="RUX41" s="532"/>
      <c r="RUY41" s="532"/>
      <c r="RUZ41" s="532"/>
      <c r="RVA41" s="532"/>
      <c r="RVB41" s="532"/>
      <c r="RVC41" s="532"/>
      <c r="RVD41" s="532"/>
      <c r="RVE41" s="532"/>
      <c r="RVF41" s="532"/>
      <c r="RVG41" s="532"/>
      <c r="RVH41" s="532"/>
      <c r="RVI41" s="532"/>
      <c r="RVJ41" s="532"/>
      <c r="RVK41" s="532"/>
      <c r="RVL41" s="532"/>
      <c r="RVM41" s="532"/>
      <c r="RVN41" s="532"/>
      <c r="RVO41" s="532"/>
      <c r="RVP41" s="532"/>
      <c r="RVQ41" s="532"/>
      <c r="RVR41" s="532"/>
      <c r="RVS41" s="532"/>
      <c r="RVT41" s="532"/>
      <c r="RVU41" s="532"/>
      <c r="RVV41" s="532"/>
      <c r="RVW41" s="532"/>
      <c r="RVX41" s="532"/>
      <c r="RVY41" s="532"/>
      <c r="RVZ41" s="532"/>
      <c r="RWA41" s="532"/>
      <c r="RWB41" s="532"/>
      <c r="RWC41" s="532"/>
      <c r="RWD41" s="532"/>
      <c r="RWE41" s="532"/>
      <c r="RWF41" s="532"/>
      <c r="RWG41" s="532"/>
      <c r="RWH41" s="532"/>
      <c r="RWI41" s="532"/>
      <c r="RWJ41" s="532"/>
      <c r="RWK41" s="532"/>
      <c r="RWL41" s="532"/>
      <c r="RWM41" s="532"/>
      <c r="RWN41" s="532"/>
      <c r="RWO41" s="532"/>
      <c r="RWP41" s="532"/>
      <c r="RWQ41" s="532"/>
      <c r="RWR41" s="532"/>
      <c r="RWS41" s="532"/>
      <c r="RWT41" s="532"/>
      <c r="RWU41" s="532"/>
      <c r="RWV41" s="532"/>
      <c r="RWW41" s="532"/>
      <c r="RWX41" s="532"/>
      <c r="RWY41" s="532"/>
      <c r="RWZ41" s="532"/>
      <c r="RXA41" s="532"/>
      <c r="RXB41" s="532"/>
      <c r="RXC41" s="532"/>
      <c r="RXD41" s="532"/>
      <c r="RXE41" s="532"/>
      <c r="RXF41" s="532"/>
      <c r="RXG41" s="532"/>
      <c r="RXH41" s="532"/>
      <c r="RXI41" s="532"/>
      <c r="RXJ41" s="532"/>
      <c r="RXK41" s="532"/>
      <c r="RXL41" s="532"/>
      <c r="RXM41" s="532"/>
      <c r="RXN41" s="532"/>
      <c r="RXO41" s="532"/>
      <c r="RXP41" s="532"/>
      <c r="RXQ41" s="532"/>
      <c r="RXR41" s="532"/>
      <c r="RXS41" s="532"/>
      <c r="RXT41" s="532"/>
      <c r="RXU41" s="532"/>
      <c r="RXV41" s="532"/>
      <c r="RXW41" s="532"/>
      <c r="RXX41" s="532"/>
      <c r="RXY41" s="532"/>
      <c r="RXZ41" s="532"/>
      <c r="RYA41" s="532"/>
      <c r="RYB41" s="532"/>
      <c r="RYC41" s="532"/>
      <c r="RYD41" s="532"/>
      <c r="RYE41" s="532"/>
      <c r="RYF41" s="532"/>
      <c r="RYG41" s="532"/>
      <c r="RYH41" s="532"/>
      <c r="RYI41" s="532"/>
      <c r="RYJ41" s="532"/>
      <c r="RYK41" s="532"/>
      <c r="RYL41" s="532"/>
      <c r="RYM41" s="532"/>
      <c r="RYN41" s="532"/>
      <c r="RYO41" s="532"/>
      <c r="RYP41" s="532"/>
      <c r="RYQ41" s="532"/>
      <c r="RYR41" s="532"/>
      <c r="RYS41" s="532"/>
      <c r="RYT41" s="532"/>
      <c r="RYU41" s="532"/>
      <c r="RYV41" s="532"/>
      <c r="RYW41" s="532"/>
      <c r="RYX41" s="532"/>
      <c r="RYY41" s="532"/>
      <c r="RYZ41" s="532"/>
      <c r="RZA41" s="532"/>
      <c r="RZB41" s="532"/>
      <c r="RZC41" s="532"/>
      <c r="RZD41" s="532"/>
      <c r="RZE41" s="532"/>
      <c r="RZF41" s="532"/>
      <c r="RZG41" s="532"/>
      <c r="RZH41" s="532"/>
      <c r="RZI41" s="532"/>
      <c r="RZJ41" s="532"/>
      <c r="RZK41" s="532"/>
      <c r="RZL41" s="532"/>
      <c r="RZM41" s="532"/>
      <c r="RZN41" s="532"/>
      <c r="RZO41" s="532"/>
      <c r="RZP41" s="532"/>
      <c r="RZQ41" s="532"/>
      <c r="RZR41" s="532"/>
      <c r="RZS41" s="532"/>
      <c r="RZT41" s="532"/>
      <c r="RZU41" s="532"/>
      <c r="RZV41" s="532"/>
      <c r="RZW41" s="532"/>
      <c r="RZX41" s="532"/>
      <c r="RZY41" s="532"/>
      <c r="RZZ41" s="532"/>
      <c r="SAA41" s="532"/>
      <c r="SAB41" s="532"/>
      <c r="SAC41" s="532"/>
      <c r="SAD41" s="532"/>
      <c r="SAE41" s="532"/>
      <c r="SAF41" s="532"/>
      <c r="SAG41" s="532"/>
      <c r="SAH41" s="532"/>
      <c r="SAI41" s="532"/>
      <c r="SAJ41" s="532"/>
      <c r="SAK41" s="532"/>
      <c r="SAL41" s="532"/>
      <c r="SAM41" s="532"/>
      <c r="SAN41" s="532"/>
      <c r="SAO41" s="532"/>
      <c r="SAP41" s="532"/>
      <c r="SAQ41" s="532"/>
      <c r="SAR41" s="532"/>
      <c r="SAS41" s="532"/>
      <c r="SAT41" s="532"/>
      <c r="SAU41" s="532"/>
      <c r="SAV41" s="532"/>
      <c r="SAW41" s="532"/>
      <c r="SAX41" s="532"/>
      <c r="SAY41" s="532"/>
      <c r="SAZ41" s="532"/>
      <c r="SBA41" s="532"/>
      <c r="SBB41" s="532"/>
      <c r="SBC41" s="532"/>
      <c r="SBD41" s="532"/>
      <c r="SBE41" s="532"/>
      <c r="SBF41" s="532"/>
      <c r="SBG41" s="532"/>
      <c r="SBH41" s="532"/>
      <c r="SBI41" s="532"/>
      <c r="SBJ41" s="532"/>
      <c r="SBK41" s="532"/>
      <c r="SBL41" s="532"/>
      <c r="SBM41" s="532"/>
      <c r="SBN41" s="532"/>
      <c r="SBO41" s="532"/>
      <c r="SBP41" s="532"/>
      <c r="SBQ41" s="532"/>
      <c r="SBR41" s="532"/>
      <c r="SBS41" s="532"/>
      <c r="SBT41" s="532"/>
      <c r="SBU41" s="532"/>
      <c r="SBV41" s="532"/>
      <c r="SBW41" s="532"/>
      <c r="SBX41" s="532"/>
      <c r="SBY41" s="532"/>
      <c r="SBZ41" s="532"/>
      <c r="SCA41" s="532"/>
      <c r="SCB41" s="532"/>
      <c r="SCC41" s="532"/>
      <c r="SCD41" s="532"/>
      <c r="SCE41" s="532"/>
      <c r="SCF41" s="532"/>
      <c r="SCG41" s="532"/>
      <c r="SCH41" s="532"/>
      <c r="SCI41" s="532"/>
      <c r="SCJ41" s="532"/>
      <c r="SCK41" s="532"/>
      <c r="SCL41" s="532"/>
      <c r="SCM41" s="532"/>
      <c r="SCN41" s="532"/>
      <c r="SCO41" s="532"/>
      <c r="SCP41" s="532"/>
      <c r="SCQ41" s="532"/>
      <c r="SCR41" s="532"/>
      <c r="SCS41" s="532"/>
      <c r="SCT41" s="532"/>
      <c r="SCU41" s="532"/>
      <c r="SCV41" s="532"/>
      <c r="SCW41" s="532"/>
      <c r="SCX41" s="532"/>
      <c r="SCY41" s="532"/>
      <c r="SCZ41" s="532"/>
      <c r="SDA41" s="532"/>
      <c r="SDB41" s="532"/>
      <c r="SDC41" s="532"/>
      <c r="SDD41" s="532"/>
      <c r="SDE41" s="532"/>
      <c r="SDF41" s="532"/>
      <c r="SDG41" s="532"/>
      <c r="SDH41" s="532"/>
      <c r="SDI41" s="532"/>
      <c r="SDJ41" s="532"/>
      <c r="SDK41" s="532"/>
      <c r="SDL41" s="532"/>
      <c r="SDM41" s="532"/>
      <c r="SDN41" s="532"/>
      <c r="SDO41" s="532"/>
      <c r="SDP41" s="532"/>
      <c r="SDQ41" s="532"/>
      <c r="SDR41" s="532"/>
      <c r="SDS41" s="532"/>
      <c r="SDT41" s="532"/>
      <c r="SDU41" s="532"/>
      <c r="SDV41" s="532"/>
      <c r="SDW41" s="532"/>
      <c r="SDX41" s="532"/>
      <c r="SDY41" s="532"/>
      <c r="SDZ41" s="532"/>
      <c r="SEA41" s="532"/>
      <c r="SEB41" s="532"/>
      <c r="SEC41" s="532"/>
      <c r="SED41" s="532"/>
      <c r="SEE41" s="532"/>
      <c r="SEF41" s="532"/>
      <c r="SEG41" s="532"/>
      <c r="SEH41" s="532"/>
      <c r="SEI41" s="532"/>
      <c r="SEJ41" s="532"/>
      <c r="SEK41" s="532"/>
      <c r="SEL41" s="532"/>
      <c r="SEM41" s="532"/>
      <c r="SEN41" s="532"/>
      <c r="SEO41" s="532"/>
      <c r="SEP41" s="532"/>
      <c r="SEQ41" s="532"/>
      <c r="SER41" s="532"/>
      <c r="SES41" s="532"/>
      <c r="SET41" s="532"/>
      <c r="SEU41" s="532"/>
      <c r="SEV41" s="532"/>
      <c r="SEW41" s="532"/>
      <c r="SEX41" s="532"/>
      <c r="SEY41" s="532"/>
      <c r="SEZ41" s="532"/>
      <c r="SFA41" s="532"/>
      <c r="SFB41" s="532"/>
      <c r="SFC41" s="532"/>
      <c r="SFD41" s="532"/>
      <c r="SFE41" s="532"/>
      <c r="SFF41" s="532"/>
      <c r="SFG41" s="532"/>
      <c r="SFH41" s="532"/>
      <c r="SFI41" s="532"/>
      <c r="SFJ41" s="532"/>
      <c r="SFK41" s="532"/>
      <c r="SFL41" s="532"/>
      <c r="SFM41" s="532"/>
      <c r="SFN41" s="532"/>
      <c r="SFO41" s="532"/>
      <c r="SFP41" s="532"/>
      <c r="SFQ41" s="532"/>
      <c r="SFR41" s="532"/>
      <c r="SFS41" s="532"/>
      <c r="SFT41" s="532"/>
      <c r="SFU41" s="532"/>
      <c r="SFV41" s="532"/>
      <c r="SFW41" s="532"/>
      <c r="SFX41" s="532"/>
      <c r="SFY41" s="532"/>
      <c r="SFZ41" s="532"/>
      <c r="SGA41" s="532"/>
      <c r="SGB41" s="532"/>
      <c r="SGC41" s="532"/>
      <c r="SGD41" s="532"/>
      <c r="SGE41" s="532"/>
      <c r="SGF41" s="532"/>
      <c r="SGG41" s="532"/>
      <c r="SGH41" s="532"/>
      <c r="SGI41" s="532"/>
      <c r="SGJ41" s="532"/>
      <c r="SGK41" s="532"/>
      <c r="SGL41" s="532"/>
      <c r="SGM41" s="532"/>
      <c r="SGN41" s="532"/>
      <c r="SGO41" s="532"/>
      <c r="SGP41" s="532"/>
      <c r="SGQ41" s="532"/>
      <c r="SGR41" s="532"/>
      <c r="SGS41" s="532"/>
      <c r="SGT41" s="532"/>
      <c r="SGU41" s="532"/>
      <c r="SGV41" s="532"/>
      <c r="SGW41" s="532"/>
      <c r="SGX41" s="532"/>
      <c r="SGY41" s="532"/>
      <c r="SGZ41" s="532"/>
      <c r="SHA41" s="532"/>
      <c r="SHB41" s="532"/>
      <c r="SHC41" s="532"/>
      <c r="SHD41" s="532"/>
      <c r="SHE41" s="532"/>
      <c r="SHF41" s="532"/>
      <c r="SHG41" s="532"/>
      <c r="SHH41" s="532"/>
      <c r="SHI41" s="532"/>
      <c r="SHJ41" s="532"/>
      <c r="SHK41" s="532"/>
      <c r="SHL41" s="532"/>
      <c r="SHM41" s="532"/>
      <c r="SHN41" s="532"/>
      <c r="SHO41" s="532"/>
      <c r="SHP41" s="532"/>
      <c r="SHQ41" s="532"/>
      <c r="SHR41" s="532"/>
      <c r="SHS41" s="532"/>
      <c r="SHT41" s="532"/>
      <c r="SHU41" s="532"/>
      <c r="SHV41" s="532"/>
      <c r="SHW41" s="532"/>
      <c r="SHX41" s="532"/>
      <c r="SHY41" s="532"/>
      <c r="SHZ41" s="532"/>
      <c r="SIA41" s="532"/>
      <c r="SIB41" s="532"/>
      <c r="SIC41" s="532"/>
      <c r="SID41" s="532"/>
      <c r="SIE41" s="532"/>
      <c r="SIF41" s="532"/>
      <c r="SIG41" s="532"/>
      <c r="SIH41" s="532"/>
      <c r="SII41" s="532"/>
      <c r="SIJ41" s="532"/>
      <c r="SIK41" s="532"/>
      <c r="SIL41" s="532"/>
      <c r="SIM41" s="532"/>
      <c r="SIN41" s="532"/>
      <c r="SIO41" s="532"/>
      <c r="SIP41" s="532"/>
      <c r="SIQ41" s="532"/>
      <c r="SIR41" s="532"/>
      <c r="SIS41" s="532"/>
      <c r="SIT41" s="532"/>
      <c r="SIU41" s="532"/>
      <c r="SIV41" s="532"/>
      <c r="SIW41" s="532"/>
      <c r="SIX41" s="532"/>
      <c r="SIY41" s="532"/>
      <c r="SIZ41" s="532"/>
      <c r="SJA41" s="532"/>
      <c r="SJB41" s="532"/>
      <c r="SJC41" s="532"/>
      <c r="SJD41" s="532"/>
      <c r="SJE41" s="532"/>
      <c r="SJF41" s="532"/>
      <c r="SJG41" s="532"/>
      <c r="SJH41" s="532"/>
      <c r="SJI41" s="532"/>
      <c r="SJJ41" s="532"/>
      <c r="SJK41" s="532"/>
      <c r="SJL41" s="532"/>
      <c r="SJM41" s="532"/>
      <c r="SJN41" s="532"/>
      <c r="SJO41" s="532"/>
      <c r="SJP41" s="532"/>
      <c r="SJQ41" s="532"/>
      <c r="SJR41" s="532"/>
      <c r="SJS41" s="532"/>
      <c r="SJT41" s="532"/>
      <c r="SJU41" s="532"/>
      <c r="SJV41" s="532"/>
      <c r="SJW41" s="532"/>
      <c r="SJX41" s="532"/>
      <c r="SJY41" s="532"/>
      <c r="SJZ41" s="532"/>
      <c r="SKA41" s="532"/>
      <c r="SKB41" s="532"/>
      <c r="SKC41" s="532"/>
      <c r="SKD41" s="532"/>
      <c r="SKE41" s="532"/>
      <c r="SKF41" s="532"/>
      <c r="SKG41" s="532"/>
      <c r="SKH41" s="532"/>
      <c r="SKI41" s="532"/>
      <c r="SKJ41" s="532"/>
      <c r="SKK41" s="532"/>
      <c r="SKL41" s="532"/>
      <c r="SKM41" s="532"/>
      <c r="SKN41" s="532"/>
      <c r="SKO41" s="532"/>
      <c r="SKP41" s="532"/>
      <c r="SKQ41" s="532"/>
      <c r="SKR41" s="532"/>
      <c r="SKS41" s="532"/>
      <c r="SKT41" s="532"/>
      <c r="SKU41" s="532"/>
      <c r="SKV41" s="532"/>
      <c r="SKW41" s="532"/>
      <c r="SKX41" s="532"/>
      <c r="SKY41" s="532"/>
      <c r="SKZ41" s="532"/>
      <c r="SLA41" s="532"/>
      <c r="SLB41" s="532"/>
      <c r="SLC41" s="532"/>
      <c r="SLD41" s="532"/>
      <c r="SLE41" s="532"/>
      <c r="SLF41" s="532"/>
      <c r="SLG41" s="532"/>
      <c r="SLH41" s="532"/>
      <c r="SLI41" s="532"/>
      <c r="SLJ41" s="532"/>
      <c r="SLK41" s="532"/>
      <c r="SLL41" s="532"/>
      <c r="SLM41" s="532"/>
      <c r="SLN41" s="532"/>
      <c r="SLO41" s="532"/>
      <c r="SLP41" s="532"/>
      <c r="SLQ41" s="532"/>
      <c r="SLR41" s="532"/>
      <c r="SLS41" s="532"/>
      <c r="SLT41" s="532"/>
      <c r="SLU41" s="532"/>
      <c r="SLV41" s="532"/>
      <c r="SLW41" s="532"/>
      <c r="SLX41" s="532"/>
      <c r="SLY41" s="532"/>
      <c r="SLZ41" s="532"/>
      <c r="SMA41" s="532"/>
      <c r="SMB41" s="532"/>
      <c r="SMC41" s="532"/>
      <c r="SMD41" s="532"/>
      <c r="SME41" s="532"/>
      <c r="SMF41" s="532"/>
      <c r="SMG41" s="532"/>
      <c r="SMH41" s="532"/>
      <c r="SMI41" s="532"/>
      <c r="SMJ41" s="532"/>
      <c r="SMK41" s="532"/>
      <c r="SML41" s="532"/>
      <c r="SMM41" s="532"/>
      <c r="SMN41" s="532"/>
      <c r="SMO41" s="532"/>
      <c r="SMP41" s="532"/>
      <c r="SMQ41" s="532"/>
      <c r="SMR41" s="532"/>
      <c r="SMS41" s="532"/>
      <c r="SMT41" s="532"/>
      <c r="SMU41" s="532"/>
      <c r="SMV41" s="532"/>
      <c r="SMW41" s="532"/>
      <c r="SMX41" s="532"/>
      <c r="SMY41" s="532"/>
      <c r="SMZ41" s="532"/>
      <c r="SNA41" s="532"/>
      <c r="SNB41" s="532"/>
      <c r="SNC41" s="532"/>
      <c r="SND41" s="532"/>
      <c r="SNE41" s="532"/>
      <c r="SNF41" s="532"/>
      <c r="SNG41" s="532"/>
      <c r="SNH41" s="532"/>
      <c r="SNI41" s="532"/>
      <c r="SNJ41" s="532"/>
      <c r="SNK41" s="532"/>
      <c r="SNL41" s="532"/>
      <c r="SNM41" s="532"/>
      <c r="SNN41" s="532"/>
      <c r="SNO41" s="532"/>
      <c r="SNP41" s="532"/>
      <c r="SNQ41" s="532"/>
      <c r="SNR41" s="532"/>
      <c r="SNS41" s="532"/>
      <c r="SNT41" s="532"/>
      <c r="SNU41" s="532"/>
      <c r="SNV41" s="532"/>
      <c r="SNW41" s="532"/>
      <c r="SNX41" s="532"/>
      <c r="SNY41" s="532"/>
      <c r="SNZ41" s="532"/>
      <c r="SOA41" s="532"/>
      <c r="SOB41" s="532"/>
      <c r="SOC41" s="532"/>
      <c r="SOD41" s="532"/>
      <c r="SOE41" s="532"/>
      <c r="SOF41" s="532"/>
      <c r="SOG41" s="532"/>
      <c r="SOH41" s="532"/>
      <c r="SOI41" s="532"/>
      <c r="SOJ41" s="532"/>
      <c r="SOK41" s="532"/>
      <c r="SOL41" s="532"/>
      <c r="SOM41" s="532"/>
      <c r="SON41" s="532"/>
      <c r="SOO41" s="532"/>
      <c r="SOP41" s="532"/>
      <c r="SOQ41" s="532"/>
      <c r="SOR41" s="532"/>
      <c r="SOS41" s="532"/>
      <c r="SOT41" s="532"/>
      <c r="SOU41" s="532"/>
      <c r="SOV41" s="532"/>
      <c r="SOW41" s="532"/>
      <c r="SOX41" s="532"/>
      <c r="SOY41" s="532"/>
      <c r="SOZ41" s="532"/>
      <c r="SPA41" s="532"/>
      <c r="SPB41" s="532"/>
      <c r="SPC41" s="532"/>
      <c r="SPD41" s="532"/>
      <c r="SPE41" s="532"/>
      <c r="SPF41" s="532"/>
      <c r="SPG41" s="532"/>
      <c r="SPH41" s="532"/>
      <c r="SPI41" s="532"/>
      <c r="SPJ41" s="532"/>
      <c r="SPK41" s="532"/>
      <c r="SPL41" s="532"/>
      <c r="SPM41" s="532"/>
      <c r="SPN41" s="532"/>
      <c r="SPO41" s="532"/>
      <c r="SPP41" s="532"/>
      <c r="SPQ41" s="532"/>
      <c r="SPR41" s="532"/>
      <c r="SPS41" s="532"/>
      <c r="SPT41" s="532"/>
      <c r="SPU41" s="532"/>
      <c r="SPV41" s="532"/>
      <c r="SPW41" s="532"/>
      <c r="SPX41" s="532"/>
      <c r="SPY41" s="532"/>
      <c r="SPZ41" s="532"/>
      <c r="SQA41" s="532"/>
      <c r="SQB41" s="532"/>
      <c r="SQC41" s="532"/>
      <c r="SQD41" s="532"/>
      <c r="SQE41" s="532"/>
      <c r="SQF41" s="532"/>
      <c r="SQG41" s="532"/>
      <c r="SQH41" s="532"/>
      <c r="SQI41" s="532"/>
      <c r="SQJ41" s="532"/>
      <c r="SQK41" s="532"/>
      <c r="SQL41" s="532"/>
      <c r="SQM41" s="532"/>
      <c r="SQN41" s="532"/>
      <c r="SQO41" s="532"/>
      <c r="SQP41" s="532"/>
      <c r="SQQ41" s="532"/>
      <c r="SQR41" s="532"/>
      <c r="SQS41" s="532"/>
      <c r="SQT41" s="532"/>
      <c r="SQU41" s="532"/>
      <c r="SQV41" s="532"/>
      <c r="SQW41" s="532"/>
      <c r="SQX41" s="532"/>
      <c r="SQY41" s="532"/>
      <c r="SQZ41" s="532"/>
      <c r="SRA41" s="532"/>
      <c r="SRB41" s="532"/>
      <c r="SRC41" s="532"/>
      <c r="SRD41" s="532"/>
      <c r="SRE41" s="532"/>
      <c r="SRF41" s="532"/>
      <c r="SRG41" s="532"/>
      <c r="SRH41" s="532"/>
      <c r="SRI41" s="532"/>
      <c r="SRJ41" s="532"/>
      <c r="SRK41" s="532"/>
      <c r="SRL41" s="532"/>
      <c r="SRM41" s="532"/>
      <c r="SRN41" s="532"/>
      <c r="SRO41" s="532"/>
      <c r="SRP41" s="532"/>
      <c r="SRQ41" s="532"/>
      <c r="SRR41" s="532"/>
      <c r="SRS41" s="532"/>
      <c r="SRT41" s="532"/>
      <c r="SRU41" s="532"/>
      <c r="SRV41" s="532"/>
      <c r="SRW41" s="532"/>
      <c r="SRX41" s="532"/>
      <c r="SRY41" s="532"/>
      <c r="SRZ41" s="532"/>
      <c r="SSA41" s="532"/>
      <c r="SSB41" s="532"/>
      <c r="SSC41" s="532"/>
      <c r="SSD41" s="532"/>
      <c r="SSE41" s="532"/>
      <c r="SSF41" s="532"/>
      <c r="SSG41" s="532"/>
      <c r="SSH41" s="532"/>
      <c r="SSI41" s="532"/>
      <c r="SSJ41" s="532"/>
      <c r="SSK41" s="532"/>
      <c r="SSL41" s="532"/>
      <c r="SSM41" s="532"/>
      <c r="SSN41" s="532"/>
      <c r="SSO41" s="532"/>
      <c r="SSP41" s="532"/>
      <c r="SSQ41" s="532"/>
      <c r="SSR41" s="532"/>
      <c r="SSS41" s="532"/>
      <c r="SST41" s="532"/>
      <c r="SSU41" s="532"/>
      <c r="SSV41" s="532"/>
      <c r="SSW41" s="532"/>
      <c r="SSX41" s="532"/>
      <c r="SSY41" s="532"/>
      <c r="SSZ41" s="532"/>
      <c r="STA41" s="532"/>
      <c r="STB41" s="532"/>
      <c r="STC41" s="532"/>
      <c r="STD41" s="532"/>
      <c r="STE41" s="532"/>
      <c r="STF41" s="532"/>
      <c r="STG41" s="532"/>
      <c r="STH41" s="532"/>
      <c r="STI41" s="532"/>
      <c r="STJ41" s="532"/>
      <c r="STK41" s="532"/>
      <c r="STL41" s="532"/>
      <c r="STM41" s="532"/>
      <c r="STN41" s="532"/>
      <c r="STO41" s="532"/>
      <c r="STP41" s="532"/>
      <c r="STQ41" s="532"/>
      <c r="STR41" s="532"/>
      <c r="STS41" s="532"/>
      <c r="STT41" s="532"/>
      <c r="STU41" s="532"/>
      <c r="STV41" s="532"/>
      <c r="STW41" s="532"/>
      <c r="STX41" s="532"/>
      <c r="STY41" s="532"/>
      <c r="STZ41" s="532"/>
      <c r="SUA41" s="532"/>
      <c r="SUB41" s="532"/>
      <c r="SUC41" s="532"/>
      <c r="SUD41" s="532"/>
      <c r="SUE41" s="532"/>
      <c r="SUF41" s="532"/>
      <c r="SUG41" s="532"/>
      <c r="SUH41" s="532"/>
      <c r="SUI41" s="532"/>
      <c r="SUJ41" s="532"/>
      <c r="SUK41" s="532"/>
      <c r="SUL41" s="532"/>
      <c r="SUM41" s="532"/>
      <c r="SUN41" s="532"/>
      <c r="SUO41" s="532"/>
      <c r="SUP41" s="532"/>
      <c r="SUQ41" s="532"/>
      <c r="SUR41" s="532"/>
      <c r="SUS41" s="532"/>
      <c r="SUT41" s="532"/>
      <c r="SUU41" s="532"/>
      <c r="SUV41" s="532"/>
      <c r="SUW41" s="532"/>
      <c r="SUX41" s="532"/>
      <c r="SUY41" s="532"/>
      <c r="SUZ41" s="532"/>
      <c r="SVA41" s="532"/>
      <c r="SVB41" s="532"/>
      <c r="SVC41" s="532"/>
      <c r="SVD41" s="532"/>
      <c r="SVE41" s="532"/>
      <c r="SVF41" s="532"/>
      <c r="SVG41" s="532"/>
      <c r="SVH41" s="532"/>
      <c r="SVI41" s="532"/>
      <c r="SVJ41" s="532"/>
      <c r="SVK41" s="532"/>
      <c r="SVL41" s="532"/>
      <c r="SVM41" s="532"/>
      <c r="SVN41" s="532"/>
      <c r="SVO41" s="532"/>
      <c r="SVP41" s="532"/>
      <c r="SVQ41" s="532"/>
      <c r="SVR41" s="532"/>
      <c r="SVS41" s="532"/>
      <c r="SVT41" s="532"/>
      <c r="SVU41" s="532"/>
      <c r="SVV41" s="532"/>
      <c r="SVW41" s="532"/>
      <c r="SVX41" s="532"/>
      <c r="SVY41" s="532"/>
      <c r="SVZ41" s="532"/>
      <c r="SWA41" s="532"/>
      <c r="SWB41" s="532"/>
      <c r="SWC41" s="532"/>
      <c r="SWD41" s="532"/>
      <c r="SWE41" s="532"/>
      <c r="SWF41" s="532"/>
      <c r="SWG41" s="532"/>
      <c r="SWH41" s="532"/>
      <c r="SWI41" s="532"/>
      <c r="SWJ41" s="532"/>
      <c r="SWK41" s="532"/>
      <c r="SWL41" s="532"/>
      <c r="SWM41" s="532"/>
      <c r="SWN41" s="532"/>
      <c r="SWO41" s="532"/>
      <c r="SWP41" s="532"/>
      <c r="SWQ41" s="532"/>
      <c r="SWR41" s="532"/>
      <c r="SWS41" s="532"/>
      <c r="SWT41" s="532"/>
      <c r="SWU41" s="532"/>
      <c r="SWV41" s="532"/>
      <c r="SWW41" s="532"/>
      <c r="SWX41" s="532"/>
      <c r="SWY41" s="532"/>
      <c r="SWZ41" s="532"/>
      <c r="SXA41" s="532"/>
      <c r="SXB41" s="532"/>
      <c r="SXC41" s="532"/>
      <c r="SXD41" s="532"/>
      <c r="SXE41" s="532"/>
      <c r="SXF41" s="532"/>
      <c r="SXG41" s="532"/>
      <c r="SXH41" s="532"/>
      <c r="SXI41" s="532"/>
      <c r="SXJ41" s="532"/>
      <c r="SXK41" s="532"/>
      <c r="SXL41" s="532"/>
      <c r="SXM41" s="532"/>
      <c r="SXN41" s="532"/>
      <c r="SXO41" s="532"/>
      <c r="SXP41" s="532"/>
      <c r="SXQ41" s="532"/>
      <c r="SXR41" s="532"/>
      <c r="SXS41" s="532"/>
      <c r="SXT41" s="532"/>
      <c r="SXU41" s="532"/>
      <c r="SXV41" s="532"/>
      <c r="SXW41" s="532"/>
      <c r="SXX41" s="532"/>
      <c r="SXY41" s="532"/>
      <c r="SXZ41" s="532"/>
      <c r="SYA41" s="532"/>
      <c r="SYB41" s="532"/>
      <c r="SYC41" s="532"/>
      <c r="SYD41" s="532"/>
      <c r="SYE41" s="532"/>
      <c r="SYF41" s="532"/>
      <c r="SYG41" s="532"/>
      <c r="SYH41" s="532"/>
      <c r="SYI41" s="532"/>
      <c r="SYJ41" s="532"/>
      <c r="SYK41" s="532"/>
      <c r="SYL41" s="532"/>
      <c r="SYM41" s="532"/>
      <c r="SYN41" s="532"/>
      <c r="SYO41" s="532"/>
      <c r="SYP41" s="532"/>
      <c r="SYQ41" s="532"/>
      <c r="SYR41" s="532"/>
      <c r="SYS41" s="532"/>
      <c r="SYT41" s="532"/>
      <c r="SYU41" s="532"/>
      <c r="SYV41" s="532"/>
      <c r="SYW41" s="532"/>
      <c r="SYX41" s="532"/>
      <c r="SYY41" s="532"/>
      <c r="SYZ41" s="532"/>
      <c r="SZA41" s="532"/>
      <c r="SZB41" s="532"/>
      <c r="SZC41" s="532"/>
      <c r="SZD41" s="532"/>
      <c r="SZE41" s="532"/>
      <c r="SZF41" s="532"/>
      <c r="SZG41" s="532"/>
      <c r="SZH41" s="532"/>
      <c r="SZI41" s="532"/>
      <c r="SZJ41" s="532"/>
      <c r="SZK41" s="532"/>
      <c r="SZL41" s="532"/>
      <c r="SZM41" s="532"/>
      <c r="SZN41" s="532"/>
      <c r="SZO41" s="532"/>
      <c r="SZP41" s="532"/>
      <c r="SZQ41" s="532"/>
      <c r="SZR41" s="532"/>
      <c r="SZS41" s="532"/>
      <c r="SZT41" s="532"/>
      <c r="SZU41" s="532"/>
      <c r="SZV41" s="532"/>
      <c r="SZW41" s="532"/>
      <c r="SZX41" s="532"/>
      <c r="SZY41" s="532"/>
      <c r="SZZ41" s="532"/>
      <c r="TAA41" s="532"/>
      <c r="TAB41" s="532"/>
      <c r="TAC41" s="532"/>
      <c r="TAD41" s="532"/>
      <c r="TAE41" s="532"/>
      <c r="TAF41" s="532"/>
      <c r="TAG41" s="532"/>
      <c r="TAH41" s="532"/>
      <c r="TAI41" s="532"/>
      <c r="TAJ41" s="532"/>
      <c r="TAK41" s="532"/>
      <c r="TAL41" s="532"/>
      <c r="TAM41" s="532"/>
      <c r="TAN41" s="532"/>
      <c r="TAO41" s="532"/>
      <c r="TAP41" s="532"/>
      <c r="TAQ41" s="532"/>
      <c r="TAR41" s="532"/>
      <c r="TAS41" s="532"/>
      <c r="TAT41" s="532"/>
      <c r="TAU41" s="532"/>
      <c r="TAV41" s="532"/>
      <c r="TAW41" s="532"/>
      <c r="TAX41" s="532"/>
      <c r="TAY41" s="532"/>
      <c r="TAZ41" s="532"/>
      <c r="TBA41" s="532"/>
      <c r="TBB41" s="532"/>
      <c r="TBC41" s="532"/>
      <c r="TBD41" s="532"/>
      <c r="TBE41" s="532"/>
      <c r="TBF41" s="532"/>
      <c r="TBG41" s="532"/>
      <c r="TBH41" s="532"/>
      <c r="TBI41" s="532"/>
      <c r="TBJ41" s="532"/>
      <c r="TBK41" s="532"/>
      <c r="TBL41" s="532"/>
      <c r="TBM41" s="532"/>
      <c r="TBN41" s="532"/>
      <c r="TBO41" s="532"/>
      <c r="TBP41" s="532"/>
      <c r="TBQ41" s="532"/>
      <c r="TBR41" s="532"/>
      <c r="TBS41" s="532"/>
      <c r="TBT41" s="532"/>
      <c r="TBU41" s="532"/>
      <c r="TBV41" s="532"/>
      <c r="TBW41" s="532"/>
      <c r="TBX41" s="532"/>
      <c r="TBY41" s="532"/>
      <c r="TBZ41" s="532"/>
      <c r="TCA41" s="532"/>
      <c r="TCB41" s="532"/>
      <c r="TCC41" s="532"/>
      <c r="TCD41" s="532"/>
      <c r="TCE41" s="532"/>
      <c r="TCF41" s="532"/>
      <c r="TCG41" s="532"/>
      <c r="TCH41" s="532"/>
      <c r="TCI41" s="532"/>
      <c r="TCJ41" s="532"/>
      <c r="TCK41" s="532"/>
      <c r="TCL41" s="532"/>
      <c r="TCM41" s="532"/>
      <c r="TCN41" s="532"/>
      <c r="TCO41" s="532"/>
      <c r="TCP41" s="532"/>
      <c r="TCQ41" s="532"/>
      <c r="TCR41" s="532"/>
      <c r="TCS41" s="532"/>
      <c r="TCT41" s="532"/>
      <c r="TCU41" s="532"/>
      <c r="TCV41" s="532"/>
      <c r="TCW41" s="532"/>
      <c r="TCX41" s="532"/>
      <c r="TCY41" s="532"/>
      <c r="TCZ41" s="532"/>
      <c r="TDA41" s="532"/>
      <c r="TDB41" s="532"/>
      <c r="TDC41" s="532"/>
      <c r="TDD41" s="532"/>
      <c r="TDE41" s="532"/>
      <c r="TDF41" s="532"/>
      <c r="TDG41" s="532"/>
      <c r="TDH41" s="532"/>
      <c r="TDI41" s="532"/>
      <c r="TDJ41" s="532"/>
      <c r="TDK41" s="532"/>
      <c r="TDL41" s="532"/>
      <c r="TDM41" s="532"/>
      <c r="TDN41" s="532"/>
      <c r="TDO41" s="532"/>
      <c r="TDP41" s="532"/>
      <c r="TDQ41" s="532"/>
      <c r="TDR41" s="532"/>
      <c r="TDS41" s="532"/>
      <c r="TDT41" s="532"/>
      <c r="TDU41" s="532"/>
      <c r="TDV41" s="532"/>
      <c r="TDW41" s="532"/>
      <c r="TDX41" s="532"/>
      <c r="TDY41" s="532"/>
      <c r="TDZ41" s="532"/>
      <c r="TEA41" s="532"/>
      <c r="TEB41" s="532"/>
      <c r="TEC41" s="532"/>
      <c r="TED41" s="532"/>
      <c r="TEE41" s="532"/>
      <c r="TEF41" s="532"/>
      <c r="TEG41" s="532"/>
      <c r="TEH41" s="532"/>
      <c r="TEI41" s="532"/>
      <c r="TEJ41" s="532"/>
      <c r="TEK41" s="532"/>
      <c r="TEL41" s="532"/>
      <c r="TEM41" s="532"/>
      <c r="TEN41" s="532"/>
      <c r="TEO41" s="532"/>
      <c r="TEP41" s="532"/>
      <c r="TEQ41" s="532"/>
      <c r="TER41" s="532"/>
      <c r="TES41" s="532"/>
      <c r="TET41" s="532"/>
      <c r="TEU41" s="532"/>
      <c r="TEV41" s="532"/>
      <c r="TEW41" s="532"/>
      <c r="TEX41" s="532"/>
      <c r="TEY41" s="532"/>
      <c r="TEZ41" s="532"/>
      <c r="TFA41" s="532"/>
      <c r="TFB41" s="532"/>
      <c r="TFC41" s="532"/>
      <c r="TFD41" s="532"/>
      <c r="TFE41" s="532"/>
      <c r="TFF41" s="532"/>
      <c r="TFG41" s="532"/>
      <c r="TFH41" s="532"/>
      <c r="TFI41" s="532"/>
      <c r="TFJ41" s="532"/>
      <c r="TFK41" s="532"/>
      <c r="TFL41" s="532"/>
      <c r="TFM41" s="532"/>
      <c r="TFN41" s="532"/>
      <c r="TFO41" s="532"/>
      <c r="TFP41" s="532"/>
      <c r="TFQ41" s="532"/>
      <c r="TFR41" s="532"/>
      <c r="TFS41" s="532"/>
      <c r="TFT41" s="532"/>
      <c r="TFU41" s="532"/>
      <c r="TFV41" s="532"/>
      <c r="TFW41" s="532"/>
      <c r="TFX41" s="532"/>
      <c r="TFY41" s="532"/>
      <c r="TFZ41" s="532"/>
      <c r="TGA41" s="532"/>
      <c r="TGB41" s="532"/>
      <c r="TGC41" s="532"/>
      <c r="TGD41" s="532"/>
      <c r="TGE41" s="532"/>
      <c r="TGF41" s="532"/>
      <c r="TGG41" s="532"/>
      <c r="TGH41" s="532"/>
      <c r="TGI41" s="532"/>
      <c r="TGJ41" s="532"/>
      <c r="TGK41" s="532"/>
      <c r="TGL41" s="532"/>
      <c r="TGM41" s="532"/>
      <c r="TGN41" s="532"/>
      <c r="TGO41" s="532"/>
      <c r="TGP41" s="532"/>
      <c r="TGQ41" s="532"/>
      <c r="TGR41" s="532"/>
      <c r="TGS41" s="532"/>
      <c r="TGT41" s="532"/>
      <c r="TGU41" s="532"/>
      <c r="TGV41" s="532"/>
      <c r="TGW41" s="532"/>
      <c r="TGX41" s="532"/>
      <c r="TGY41" s="532"/>
      <c r="TGZ41" s="532"/>
      <c r="THA41" s="532"/>
      <c r="THB41" s="532"/>
      <c r="THC41" s="532"/>
      <c r="THD41" s="532"/>
      <c r="THE41" s="532"/>
      <c r="THF41" s="532"/>
      <c r="THG41" s="532"/>
      <c r="THH41" s="532"/>
      <c r="THI41" s="532"/>
      <c r="THJ41" s="532"/>
      <c r="THK41" s="532"/>
      <c r="THL41" s="532"/>
      <c r="THM41" s="532"/>
      <c r="THN41" s="532"/>
      <c r="THO41" s="532"/>
      <c r="THP41" s="532"/>
      <c r="THQ41" s="532"/>
      <c r="THR41" s="532"/>
      <c r="THS41" s="532"/>
      <c r="THT41" s="532"/>
      <c r="THU41" s="532"/>
      <c r="THV41" s="532"/>
      <c r="THW41" s="532"/>
      <c r="THX41" s="532"/>
      <c r="THY41" s="532"/>
      <c r="THZ41" s="532"/>
      <c r="TIA41" s="532"/>
      <c r="TIB41" s="532"/>
      <c r="TIC41" s="532"/>
      <c r="TID41" s="532"/>
      <c r="TIE41" s="532"/>
      <c r="TIF41" s="532"/>
      <c r="TIG41" s="532"/>
      <c r="TIH41" s="532"/>
      <c r="TII41" s="532"/>
      <c r="TIJ41" s="532"/>
      <c r="TIK41" s="532"/>
      <c r="TIL41" s="532"/>
      <c r="TIM41" s="532"/>
      <c r="TIN41" s="532"/>
      <c r="TIO41" s="532"/>
      <c r="TIP41" s="532"/>
      <c r="TIQ41" s="532"/>
      <c r="TIR41" s="532"/>
      <c r="TIS41" s="532"/>
      <c r="TIT41" s="532"/>
      <c r="TIU41" s="532"/>
      <c r="TIV41" s="532"/>
      <c r="TIW41" s="532"/>
      <c r="TIX41" s="532"/>
      <c r="TIY41" s="532"/>
      <c r="TIZ41" s="532"/>
      <c r="TJA41" s="532"/>
      <c r="TJB41" s="532"/>
      <c r="TJC41" s="532"/>
      <c r="TJD41" s="532"/>
      <c r="TJE41" s="532"/>
      <c r="TJF41" s="532"/>
      <c r="TJG41" s="532"/>
      <c r="TJH41" s="532"/>
      <c r="TJI41" s="532"/>
      <c r="TJJ41" s="532"/>
      <c r="TJK41" s="532"/>
      <c r="TJL41" s="532"/>
      <c r="TJM41" s="532"/>
      <c r="TJN41" s="532"/>
      <c r="TJO41" s="532"/>
      <c r="TJP41" s="532"/>
      <c r="TJQ41" s="532"/>
      <c r="TJR41" s="532"/>
      <c r="TJS41" s="532"/>
      <c r="TJT41" s="532"/>
      <c r="TJU41" s="532"/>
      <c r="TJV41" s="532"/>
      <c r="TJW41" s="532"/>
      <c r="TJX41" s="532"/>
      <c r="TJY41" s="532"/>
      <c r="TJZ41" s="532"/>
      <c r="TKA41" s="532"/>
      <c r="TKB41" s="532"/>
      <c r="TKC41" s="532"/>
      <c r="TKD41" s="532"/>
      <c r="TKE41" s="532"/>
      <c r="TKF41" s="532"/>
      <c r="TKG41" s="532"/>
      <c r="TKH41" s="532"/>
      <c r="TKI41" s="532"/>
      <c r="TKJ41" s="532"/>
      <c r="TKK41" s="532"/>
      <c r="TKL41" s="532"/>
      <c r="TKM41" s="532"/>
      <c r="TKN41" s="532"/>
      <c r="TKO41" s="532"/>
      <c r="TKP41" s="532"/>
      <c r="TKQ41" s="532"/>
      <c r="TKR41" s="532"/>
      <c r="TKS41" s="532"/>
      <c r="TKT41" s="532"/>
      <c r="TKU41" s="532"/>
      <c r="TKV41" s="532"/>
      <c r="TKW41" s="532"/>
      <c r="TKX41" s="532"/>
      <c r="TKY41" s="532"/>
      <c r="TKZ41" s="532"/>
      <c r="TLA41" s="532"/>
      <c r="TLB41" s="532"/>
      <c r="TLC41" s="532"/>
      <c r="TLD41" s="532"/>
      <c r="TLE41" s="532"/>
      <c r="TLF41" s="532"/>
      <c r="TLG41" s="532"/>
      <c r="TLH41" s="532"/>
      <c r="TLI41" s="532"/>
      <c r="TLJ41" s="532"/>
      <c r="TLK41" s="532"/>
      <c r="TLL41" s="532"/>
      <c r="TLM41" s="532"/>
      <c r="TLN41" s="532"/>
      <c r="TLO41" s="532"/>
      <c r="TLP41" s="532"/>
      <c r="TLQ41" s="532"/>
      <c r="TLR41" s="532"/>
      <c r="TLS41" s="532"/>
      <c r="TLT41" s="532"/>
      <c r="TLU41" s="532"/>
      <c r="TLV41" s="532"/>
      <c r="TLW41" s="532"/>
      <c r="TLX41" s="532"/>
      <c r="TLY41" s="532"/>
      <c r="TLZ41" s="532"/>
      <c r="TMA41" s="532"/>
      <c r="TMB41" s="532"/>
      <c r="TMC41" s="532"/>
      <c r="TMD41" s="532"/>
      <c r="TME41" s="532"/>
      <c r="TMF41" s="532"/>
      <c r="TMG41" s="532"/>
      <c r="TMH41" s="532"/>
      <c r="TMI41" s="532"/>
      <c r="TMJ41" s="532"/>
      <c r="TMK41" s="532"/>
      <c r="TML41" s="532"/>
      <c r="TMM41" s="532"/>
      <c r="TMN41" s="532"/>
      <c r="TMO41" s="532"/>
      <c r="TMP41" s="532"/>
      <c r="TMQ41" s="532"/>
      <c r="TMR41" s="532"/>
      <c r="TMS41" s="532"/>
      <c r="TMT41" s="532"/>
      <c r="TMU41" s="532"/>
      <c r="TMV41" s="532"/>
      <c r="TMW41" s="532"/>
      <c r="TMX41" s="532"/>
      <c r="TMY41" s="532"/>
      <c r="TMZ41" s="532"/>
      <c r="TNA41" s="532"/>
      <c r="TNB41" s="532"/>
      <c r="TNC41" s="532"/>
      <c r="TND41" s="532"/>
      <c r="TNE41" s="532"/>
      <c r="TNF41" s="532"/>
      <c r="TNG41" s="532"/>
      <c r="TNH41" s="532"/>
      <c r="TNI41" s="532"/>
      <c r="TNJ41" s="532"/>
      <c r="TNK41" s="532"/>
      <c r="TNL41" s="532"/>
      <c r="TNM41" s="532"/>
      <c r="TNN41" s="532"/>
      <c r="TNO41" s="532"/>
      <c r="TNP41" s="532"/>
      <c r="TNQ41" s="532"/>
      <c r="TNR41" s="532"/>
      <c r="TNS41" s="532"/>
      <c r="TNT41" s="532"/>
      <c r="TNU41" s="532"/>
      <c r="TNV41" s="532"/>
      <c r="TNW41" s="532"/>
      <c r="TNX41" s="532"/>
      <c r="TNY41" s="532"/>
      <c r="TNZ41" s="532"/>
      <c r="TOA41" s="532"/>
      <c r="TOB41" s="532"/>
      <c r="TOC41" s="532"/>
      <c r="TOD41" s="532"/>
      <c r="TOE41" s="532"/>
      <c r="TOF41" s="532"/>
      <c r="TOG41" s="532"/>
      <c r="TOH41" s="532"/>
      <c r="TOI41" s="532"/>
      <c r="TOJ41" s="532"/>
      <c r="TOK41" s="532"/>
      <c r="TOL41" s="532"/>
      <c r="TOM41" s="532"/>
      <c r="TON41" s="532"/>
      <c r="TOO41" s="532"/>
      <c r="TOP41" s="532"/>
      <c r="TOQ41" s="532"/>
      <c r="TOR41" s="532"/>
      <c r="TOS41" s="532"/>
      <c r="TOT41" s="532"/>
      <c r="TOU41" s="532"/>
      <c r="TOV41" s="532"/>
      <c r="TOW41" s="532"/>
      <c r="TOX41" s="532"/>
      <c r="TOY41" s="532"/>
      <c r="TOZ41" s="532"/>
      <c r="TPA41" s="532"/>
      <c r="TPB41" s="532"/>
      <c r="TPC41" s="532"/>
      <c r="TPD41" s="532"/>
      <c r="TPE41" s="532"/>
      <c r="TPF41" s="532"/>
      <c r="TPG41" s="532"/>
      <c r="TPH41" s="532"/>
      <c r="TPI41" s="532"/>
      <c r="TPJ41" s="532"/>
      <c r="TPK41" s="532"/>
      <c r="TPL41" s="532"/>
      <c r="TPM41" s="532"/>
      <c r="TPN41" s="532"/>
      <c r="TPO41" s="532"/>
      <c r="TPP41" s="532"/>
      <c r="TPQ41" s="532"/>
      <c r="TPR41" s="532"/>
      <c r="TPS41" s="532"/>
      <c r="TPT41" s="532"/>
      <c r="TPU41" s="532"/>
      <c r="TPV41" s="532"/>
      <c r="TPW41" s="532"/>
      <c r="TPX41" s="532"/>
      <c r="TPY41" s="532"/>
      <c r="TPZ41" s="532"/>
      <c r="TQA41" s="532"/>
      <c r="TQB41" s="532"/>
      <c r="TQC41" s="532"/>
      <c r="TQD41" s="532"/>
      <c r="TQE41" s="532"/>
      <c r="TQF41" s="532"/>
      <c r="TQG41" s="532"/>
      <c r="TQH41" s="532"/>
      <c r="TQI41" s="532"/>
      <c r="TQJ41" s="532"/>
      <c r="TQK41" s="532"/>
      <c r="TQL41" s="532"/>
      <c r="TQM41" s="532"/>
      <c r="TQN41" s="532"/>
      <c r="TQO41" s="532"/>
      <c r="TQP41" s="532"/>
      <c r="TQQ41" s="532"/>
      <c r="TQR41" s="532"/>
      <c r="TQS41" s="532"/>
      <c r="TQT41" s="532"/>
      <c r="TQU41" s="532"/>
      <c r="TQV41" s="532"/>
      <c r="TQW41" s="532"/>
      <c r="TQX41" s="532"/>
      <c r="TQY41" s="532"/>
      <c r="TQZ41" s="532"/>
      <c r="TRA41" s="532"/>
      <c r="TRB41" s="532"/>
      <c r="TRC41" s="532"/>
      <c r="TRD41" s="532"/>
      <c r="TRE41" s="532"/>
      <c r="TRF41" s="532"/>
      <c r="TRG41" s="532"/>
      <c r="TRH41" s="532"/>
      <c r="TRI41" s="532"/>
      <c r="TRJ41" s="532"/>
      <c r="TRK41" s="532"/>
      <c r="TRL41" s="532"/>
      <c r="TRM41" s="532"/>
      <c r="TRN41" s="532"/>
      <c r="TRO41" s="532"/>
      <c r="TRP41" s="532"/>
      <c r="TRQ41" s="532"/>
      <c r="TRR41" s="532"/>
      <c r="TRS41" s="532"/>
      <c r="TRT41" s="532"/>
      <c r="TRU41" s="532"/>
      <c r="TRV41" s="532"/>
      <c r="TRW41" s="532"/>
      <c r="TRX41" s="532"/>
      <c r="TRY41" s="532"/>
      <c r="TRZ41" s="532"/>
      <c r="TSA41" s="532"/>
      <c r="TSB41" s="532"/>
      <c r="TSC41" s="532"/>
      <c r="TSD41" s="532"/>
      <c r="TSE41" s="532"/>
      <c r="TSF41" s="532"/>
      <c r="TSG41" s="532"/>
      <c r="TSH41" s="532"/>
      <c r="TSI41" s="532"/>
      <c r="TSJ41" s="532"/>
      <c r="TSK41" s="532"/>
      <c r="TSL41" s="532"/>
      <c r="TSM41" s="532"/>
      <c r="TSN41" s="532"/>
      <c r="TSO41" s="532"/>
      <c r="TSP41" s="532"/>
      <c r="TSQ41" s="532"/>
      <c r="TSR41" s="532"/>
      <c r="TSS41" s="532"/>
      <c r="TST41" s="532"/>
      <c r="TSU41" s="532"/>
      <c r="TSV41" s="532"/>
      <c r="TSW41" s="532"/>
      <c r="TSX41" s="532"/>
      <c r="TSY41" s="532"/>
      <c r="TSZ41" s="532"/>
      <c r="TTA41" s="532"/>
      <c r="TTB41" s="532"/>
      <c r="TTC41" s="532"/>
      <c r="TTD41" s="532"/>
      <c r="TTE41" s="532"/>
      <c r="TTF41" s="532"/>
      <c r="TTG41" s="532"/>
      <c r="TTH41" s="532"/>
      <c r="TTI41" s="532"/>
      <c r="TTJ41" s="532"/>
      <c r="TTK41" s="532"/>
      <c r="TTL41" s="532"/>
      <c r="TTM41" s="532"/>
      <c r="TTN41" s="532"/>
      <c r="TTO41" s="532"/>
      <c r="TTP41" s="532"/>
      <c r="TTQ41" s="532"/>
      <c r="TTR41" s="532"/>
      <c r="TTS41" s="532"/>
      <c r="TTT41" s="532"/>
      <c r="TTU41" s="532"/>
      <c r="TTV41" s="532"/>
      <c r="TTW41" s="532"/>
      <c r="TTX41" s="532"/>
      <c r="TTY41" s="532"/>
      <c r="TTZ41" s="532"/>
      <c r="TUA41" s="532"/>
      <c r="TUB41" s="532"/>
      <c r="TUC41" s="532"/>
      <c r="TUD41" s="532"/>
      <c r="TUE41" s="532"/>
      <c r="TUF41" s="532"/>
      <c r="TUG41" s="532"/>
      <c r="TUH41" s="532"/>
      <c r="TUI41" s="532"/>
      <c r="TUJ41" s="532"/>
      <c r="TUK41" s="532"/>
      <c r="TUL41" s="532"/>
      <c r="TUM41" s="532"/>
      <c r="TUN41" s="532"/>
      <c r="TUO41" s="532"/>
      <c r="TUP41" s="532"/>
      <c r="TUQ41" s="532"/>
      <c r="TUR41" s="532"/>
      <c r="TUS41" s="532"/>
      <c r="TUT41" s="532"/>
      <c r="TUU41" s="532"/>
      <c r="TUV41" s="532"/>
      <c r="TUW41" s="532"/>
      <c r="TUX41" s="532"/>
      <c r="TUY41" s="532"/>
      <c r="TUZ41" s="532"/>
      <c r="TVA41" s="532"/>
      <c r="TVB41" s="532"/>
      <c r="TVC41" s="532"/>
      <c r="TVD41" s="532"/>
      <c r="TVE41" s="532"/>
      <c r="TVF41" s="532"/>
      <c r="TVG41" s="532"/>
      <c r="TVH41" s="532"/>
      <c r="TVI41" s="532"/>
      <c r="TVJ41" s="532"/>
      <c r="TVK41" s="532"/>
      <c r="TVL41" s="532"/>
      <c r="TVM41" s="532"/>
      <c r="TVN41" s="532"/>
      <c r="TVO41" s="532"/>
      <c r="TVP41" s="532"/>
      <c r="TVQ41" s="532"/>
      <c r="TVR41" s="532"/>
      <c r="TVS41" s="532"/>
      <c r="TVT41" s="532"/>
      <c r="TVU41" s="532"/>
      <c r="TVV41" s="532"/>
      <c r="TVW41" s="532"/>
      <c r="TVX41" s="532"/>
      <c r="TVY41" s="532"/>
      <c r="TVZ41" s="532"/>
      <c r="TWA41" s="532"/>
      <c r="TWB41" s="532"/>
      <c r="TWC41" s="532"/>
      <c r="TWD41" s="532"/>
      <c r="TWE41" s="532"/>
      <c r="TWF41" s="532"/>
      <c r="TWG41" s="532"/>
      <c r="TWH41" s="532"/>
      <c r="TWI41" s="532"/>
      <c r="TWJ41" s="532"/>
      <c r="TWK41" s="532"/>
      <c r="TWL41" s="532"/>
      <c r="TWM41" s="532"/>
      <c r="TWN41" s="532"/>
      <c r="TWO41" s="532"/>
      <c r="TWP41" s="532"/>
      <c r="TWQ41" s="532"/>
      <c r="TWR41" s="532"/>
      <c r="TWS41" s="532"/>
      <c r="TWT41" s="532"/>
      <c r="TWU41" s="532"/>
      <c r="TWV41" s="532"/>
      <c r="TWW41" s="532"/>
      <c r="TWX41" s="532"/>
      <c r="TWY41" s="532"/>
      <c r="TWZ41" s="532"/>
      <c r="TXA41" s="532"/>
      <c r="TXB41" s="532"/>
      <c r="TXC41" s="532"/>
      <c r="TXD41" s="532"/>
      <c r="TXE41" s="532"/>
      <c r="TXF41" s="532"/>
      <c r="TXG41" s="532"/>
      <c r="TXH41" s="532"/>
      <c r="TXI41" s="532"/>
      <c r="TXJ41" s="532"/>
      <c r="TXK41" s="532"/>
      <c r="TXL41" s="532"/>
      <c r="TXM41" s="532"/>
      <c r="TXN41" s="532"/>
      <c r="TXO41" s="532"/>
      <c r="TXP41" s="532"/>
      <c r="TXQ41" s="532"/>
      <c r="TXR41" s="532"/>
      <c r="TXS41" s="532"/>
      <c r="TXT41" s="532"/>
      <c r="TXU41" s="532"/>
      <c r="TXV41" s="532"/>
      <c r="TXW41" s="532"/>
      <c r="TXX41" s="532"/>
      <c r="TXY41" s="532"/>
      <c r="TXZ41" s="532"/>
      <c r="TYA41" s="532"/>
      <c r="TYB41" s="532"/>
      <c r="TYC41" s="532"/>
      <c r="TYD41" s="532"/>
      <c r="TYE41" s="532"/>
      <c r="TYF41" s="532"/>
      <c r="TYG41" s="532"/>
      <c r="TYH41" s="532"/>
      <c r="TYI41" s="532"/>
      <c r="TYJ41" s="532"/>
      <c r="TYK41" s="532"/>
      <c r="TYL41" s="532"/>
      <c r="TYM41" s="532"/>
      <c r="TYN41" s="532"/>
      <c r="TYO41" s="532"/>
      <c r="TYP41" s="532"/>
      <c r="TYQ41" s="532"/>
      <c r="TYR41" s="532"/>
      <c r="TYS41" s="532"/>
      <c r="TYT41" s="532"/>
      <c r="TYU41" s="532"/>
      <c r="TYV41" s="532"/>
      <c r="TYW41" s="532"/>
      <c r="TYX41" s="532"/>
      <c r="TYY41" s="532"/>
      <c r="TYZ41" s="532"/>
      <c r="TZA41" s="532"/>
      <c r="TZB41" s="532"/>
      <c r="TZC41" s="532"/>
      <c r="TZD41" s="532"/>
      <c r="TZE41" s="532"/>
      <c r="TZF41" s="532"/>
      <c r="TZG41" s="532"/>
      <c r="TZH41" s="532"/>
      <c r="TZI41" s="532"/>
      <c r="TZJ41" s="532"/>
      <c r="TZK41" s="532"/>
      <c r="TZL41" s="532"/>
      <c r="TZM41" s="532"/>
      <c r="TZN41" s="532"/>
      <c r="TZO41" s="532"/>
      <c r="TZP41" s="532"/>
      <c r="TZQ41" s="532"/>
      <c r="TZR41" s="532"/>
      <c r="TZS41" s="532"/>
      <c r="TZT41" s="532"/>
      <c r="TZU41" s="532"/>
      <c r="TZV41" s="532"/>
      <c r="TZW41" s="532"/>
      <c r="TZX41" s="532"/>
      <c r="TZY41" s="532"/>
      <c r="TZZ41" s="532"/>
      <c r="UAA41" s="532"/>
      <c r="UAB41" s="532"/>
      <c r="UAC41" s="532"/>
      <c r="UAD41" s="532"/>
      <c r="UAE41" s="532"/>
      <c r="UAF41" s="532"/>
      <c r="UAG41" s="532"/>
      <c r="UAH41" s="532"/>
      <c r="UAI41" s="532"/>
      <c r="UAJ41" s="532"/>
      <c r="UAK41" s="532"/>
      <c r="UAL41" s="532"/>
      <c r="UAM41" s="532"/>
      <c r="UAN41" s="532"/>
      <c r="UAO41" s="532"/>
      <c r="UAP41" s="532"/>
      <c r="UAQ41" s="532"/>
      <c r="UAR41" s="532"/>
      <c r="UAS41" s="532"/>
      <c r="UAT41" s="532"/>
      <c r="UAU41" s="532"/>
      <c r="UAV41" s="532"/>
      <c r="UAW41" s="532"/>
      <c r="UAX41" s="532"/>
      <c r="UAY41" s="532"/>
      <c r="UAZ41" s="532"/>
      <c r="UBA41" s="532"/>
      <c r="UBB41" s="532"/>
      <c r="UBC41" s="532"/>
      <c r="UBD41" s="532"/>
      <c r="UBE41" s="532"/>
      <c r="UBF41" s="532"/>
      <c r="UBG41" s="532"/>
      <c r="UBH41" s="532"/>
      <c r="UBI41" s="532"/>
      <c r="UBJ41" s="532"/>
      <c r="UBK41" s="532"/>
      <c r="UBL41" s="532"/>
      <c r="UBM41" s="532"/>
      <c r="UBN41" s="532"/>
      <c r="UBO41" s="532"/>
      <c r="UBP41" s="532"/>
      <c r="UBQ41" s="532"/>
      <c r="UBR41" s="532"/>
      <c r="UBS41" s="532"/>
      <c r="UBT41" s="532"/>
      <c r="UBU41" s="532"/>
      <c r="UBV41" s="532"/>
      <c r="UBW41" s="532"/>
      <c r="UBX41" s="532"/>
      <c r="UBY41" s="532"/>
      <c r="UBZ41" s="532"/>
      <c r="UCA41" s="532"/>
      <c r="UCB41" s="532"/>
      <c r="UCC41" s="532"/>
      <c r="UCD41" s="532"/>
      <c r="UCE41" s="532"/>
      <c r="UCF41" s="532"/>
      <c r="UCG41" s="532"/>
      <c r="UCH41" s="532"/>
      <c r="UCI41" s="532"/>
      <c r="UCJ41" s="532"/>
      <c r="UCK41" s="532"/>
      <c r="UCL41" s="532"/>
      <c r="UCM41" s="532"/>
      <c r="UCN41" s="532"/>
      <c r="UCO41" s="532"/>
      <c r="UCP41" s="532"/>
      <c r="UCQ41" s="532"/>
      <c r="UCR41" s="532"/>
      <c r="UCS41" s="532"/>
      <c r="UCT41" s="532"/>
      <c r="UCU41" s="532"/>
      <c r="UCV41" s="532"/>
      <c r="UCW41" s="532"/>
      <c r="UCX41" s="532"/>
      <c r="UCY41" s="532"/>
      <c r="UCZ41" s="532"/>
      <c r="UDA41" s="532"/>
      <c r="UDB41" s="532"/>
      <c r="UDC41" s="532"/>
      <c r="UDD41" s="532"/>
      <c r="UDE41" s="532"/>
      <c r="UDF41" s="532"/>
      <c r="UDG41" s="532"/>
      <c r="UDH41" s="532"/>
      <c r="UDI41" s="532"/>
      <c r="UDJ41" s="532"/>
      <c r="UDK41" s="532"/>
      <c r="UDL41" s="532"/>
      <c r="UDM41" s="532"/>
      <c r="UDN41" s="532"/>
      <c r="UDO41" s="532"/>
      <c r="UDP41" s="532"/>
      <c r="UDQ41" s="532"/>
      <c r="UDR41" s="532"/>
      <c r="UDS41" s="532"/>
      <c r="UDT41" s="532"/>
      <c r="UDU41" s="532"/>
      <c r="UDV41" s="532"/>
      <c r="UDW41" s="532"/>
      <c r="UDX41" s="532"/>
      <c r="UDY41" s="532"/>
      <c r="UDZ41" s="532"/>
      <c r="UEA41" s="532"/>
      <c r="UEB41" s="532"/>
      <c r="UEC41" s="532"/>
      <c r="UED41" s="532"/>
      <c r="UEE41" s="532"/>
      <c r="UEF41" s="532"/>
      <c r="UEG41" s="532"/>
      <c r="UEH41" s="532"/>
      <c r="UEI41" s="532"/>
      <c r="UEJ41" s="532"/>
      <c r="UEK41" s="532"/>
      <c r="UEL41" s="532"/>
      <c r="UEM41" s="532"/>
      <c r="UEN41" s="532"/>
      <c r="UEO41" s="532"/>
      <c r="UEP41" s="532"/>
      <c r="UEQ41" s="532"/>
      <c r="UER41" s="532"/>
      <c r="UES41" s="532"/>
      <c r="UET41" s="532"/>
      <c r="UEU41" s="532"/>
      <c r="UEV41" s="532"/>
      <c r="UEW41" s="532"/>
      <c r="UEX41" s="532"/>
      <c r="UEY41" s="532"/>
      <c r="UEZ41" s="532"/>
      <c r="UFA41" s="532"/>
      <c r="UFB41" s="532"/>
      <c r="UFC41" s="532"/>
      <c r="UFD41" s="532"/>
      <c r="UFE41" s="532"/>
      <c r="UFF41" s="532"/>
      <c r="UFG41" s="532"/>
      <c r="UFH41" s="532"/>
      <c r="UFI41" s="532"/>
      <c r="UFJ41" s="532"/>
      <c r="UFK41" s="532"/>
      <c r="UFL41" s="532"/>
      <c r="UFM41" s="532"/>
      <c r="UFN41" s="532"/>
      <c r="UFO41" s="532"/>
      <c r="UFP41" s="532"/>
      <c r="UFQ41" s="532"/>
      <c r="UFR41" s="532"/>
      <c r="UFS41" s="532"/>
      <c r="UFT41" s="532"/>
      <c r="UFU41" s="532"/>
      <c r="UFV41" s="532"/>
      <c r="UFW41" s="532"/>
      <c r="UFX41" s="532"/>
      <c r="UFY41" s="532"/>
      <c r="UFZ41" s="532"/>
      <c r="UGA41" s="532"/>
      <c r="UGB41" s="532"/>
      <c r="UGC41" s="532"/>
      <c r="UGD41" s="532"/>
      <c r="UGE41" s="532"/>
      <c r="UGF41" s="532"/>
      <c r="UGG41" s="532"/>
      <c r="UGH41" s="532"/>
      <c r="UGI41" s="532"/>
      <c r="UGJ41" s="532"/>
      <c r="UGK41" s="532"/>
      <c r="UGL41" s="532"/>
      <c r="UGM41" s="532"/>
      <c r="UGN41" s="532"/>
      <c r="UGO41" s="532"/>
      <c r="UGP41" s="532"/>
      <c r="UGQ41" s="532"/>
      <c r="UGR41" s="532"/>
      <c r="UGS41" s="532"/>
      <c r="UGT41" s="532"/>
      <c r="UGU41" s="532"/>
      <c r="UGV41" s="532"/>
      <c r="UGW41" s="532"/>
      <c r="UGX41" s="532"/>
      <c r="UGY41" s="532"/>
      <c r="UGZ41" s="532"/>
      <c r="UHA41" s="532"/>
      <c r="UHB41" s="532"/>
      <c r="UHC41" s="532"/>
      <c r="UHD41" s="532"/>
      <c r="UHE41" s="532"/>
      <c r="UHF41" s="532"/>
      <c r="UHG41" s="532"/>
      <c r="UHH41" s="532"/>
      <c r="UHI41" s="532"/>
      <c r="UHJ41" s="532"/>
      <c r="UHK41" s="532"/>
      <c r="UHL41" s="532"/>
      <c r="UHM41" s="532"/>
      <c r="UHN41" s="532"/>
      <c r="UHO41" s="532"/>
      <c r="UHP41" s="532"/>
      <c r="UHQ41" s="532"/>
      <c r="UHR41" s="532"/>
      <c r="UHS41" s="532"/>
      <c r="UHT41" s="532"/>
      <c r="UHU41" s="532"/>
      <c r="UHV41" s="532"/>
      <c r="UHW41" s="532"/>
      <c r="UHX41" s="532"/>
      <c r="UHY41" s="532"/>
      <c r="UHZ41" s="532"/>
      <c r="UIA41" s="532"/>
      <c r="UIB41" s="532"/>
      <c r="UIC41" s="532"/>
      <c r="UID41" s="532"/>
      <c r="UIE41" s="532"/>
      <c r="UIF41" s="532"/>
      <c r="UIG41" s="532"/>
      <c r="UIH41" s="532"/>
      <c r="UII41" s="532"/>
      <c r="UIJ41" s="532"/>
      <c r="UIK41" s="532"/>
      <c r="UIL41" s="532"/>
      <c r="UIM41" s="532"/>
      <c r="UIN41" s="532"/>
      <c r="UIO41" s="532"/>
      <c r="UIP41" s="532"/>
      <c r="UIQ41" s="532"/>
      <c r="UIR41" s="532"/>
      <c r="UIS41" s="532"/>
      <c r="UIT41" s="532"/>
      <c r="UIU41" s="532"/>
      <c r="UIV41" s="532"/>
      <c r="UIW41" s="532"/>
      <c r="UIX41" s="532"/>
      <c r="UIY41" s="532"/>
      <c r="UIZ41" s="532"/>
      <c r="UJA41" s="532"/>
      <c r="UJB41" s="532"/>
      <c r="UJC41" s="532"/>
      <c r="UJD41" s="532"/>
      <c r="UJE41" s="532"/>
      <c r="UJF41" s="532"/>
      <c r="UJG41" s="532"/>
      <c r="UJH41" s="532"/>
      <c r="UJI41" s="532"/>
      <c r="UJJ41" s="532"/>
      <c r="UJK41" s="532"/>
      <c r="UJL41" s="532"/>
      <c r="UJM41" s="532"/>
      <c r="UJN41" s="532"/>
      <c r="UJO41" s="532"/>
      <c r="UJP41" s="532"/>
      <c r="UJQ41" s="532"/>
      <c r="UJR41" s="532"/>
      <c r="UJS41" s="532"/>
      <c r="UJT41" s="532"/>
      <c r="UJU41" s="532"/>
      <c r="UJV41" s="532"/>
      <c r="UJW41" s="532"/>
      <c r="UJX41" s="532"/>
      <c r="UJY41" s="532"/>
      <c r="UJZ41" s="532"/>
      <c r="UKA41" s="532"/>
      <c r="UKB41" s="532"/>
      <c r="UKC41" s="532"/>
      <c r="UKD41" s="532"/>
      <c r="UKE41" s="532"/>
      <c r="UKF41" s="532"/>
      <c r="UKG41" s="532"/>
      <c r="UKH41" s="532"/>
      <c r="UKI41" s="532"/>
      <c r="UKJ41" s="532"/>
      <c r="UKK41" s="532"/>
      <c r="UKL41" s="532"/>
      <c r="UKM41" s="532"/>
      <c r="UKN41" s="532"/>
      <c r="UKO41" s="532"/>
      <c r="UKP41" s="532"/>
      <c r="UKQ41" s="532"/>
      <c r="UKR41" s="532"/>
      <c r="UKS41" s="532"/>
      <c r="UKT41" s="532"/>
      <c r="UKU41" s="532"/>
      <c r="UKV41" s="532"/>
      <c r="UKW41" s="532"/>
      <c r="UKX41" s="532"/>
      <c r="UKY41" s="532"/>
      <c r="UKZ41" s="532"/>
      <c r="ULA41" s="532"/>
      <c r="ULB41" s="532"/>
      <c r="ULC41" s="532"/>
      <c r="ULD41" s="532"/>
      <c r="ULE41" s="532"/>
      <c r="ULF41" s="532"/>
      <c r="ULG41" s="532"/>
      <c r="ULH41" s="532"/>
      <c r="ULI41" s="532"/>
      <c r="ULJ41" s="532"/>
      <c r="ULK41" s="532"/>
      <c r="ULL41" s="532"/>
      <c r="ULM41" s="532"/>
      <c r="ULN41" s="532"/>
      <c r="ULO41" s="532"/>
      <c r="ULP41" s="532"/>
      <c r="ULQ41" s="532"/>
      <c r="ULR41" s="532"/>
      <c r="ULS41" s="532"/>
      <c r="ULT41" s="532"/>
      <c r="ULU41" s="532"/>
      <c r="ULV41" s="532"/>
      <c r="ULW41" s="532"/>
      <c r="ULX41" s="532"/>
      <c r="ULY41" s="532"/>
      <c r="ULZ41" s="532"/>
      <c r="UMA41" s="532"/>
      <c r="UMB41" s="532"/>
      <c r="UMC41" s="532"/>
      <c r="UMD41" s="532"/>
      <c r="UME41" s="532"/>
      <c r="UMF41" s="532"/>
      <c r="UMG41" s="532"/>
      <c r="UMH41" s="532"/>
      <c r="UMI41" s="532"/>
      <c r="UMJ41" s="532"/>
      <c r="UMK41" s="532"/>
      <c r="UML41" s="532"/>
      <c r="UMM41" s="532"/>
      <c r="UMN41" s="532"/>
      <c r="UMO41" s="532"/>
      <c r="UMP41" s="532"/>
      <c r="UMQ41" s="532"/>
      <c r="UMR41" s="532"/>
      <c r="UMS41" s="532"/>
      <c r="UMT41" s="532"/>
      <c r="UMU41" s="532"/>
      <c r="UMV41" s="532"/>
      <c r="UMW41" s="532"/>
      <c r="UMX41" s="532"/>
      <c r="UMY41" s="532"/>
      <c r="UMZ41" s="532"/>
      <c r="UNA41" s="532"/>
      <c r="UNB41" s="532"/>
      <c r="UNC41" s="532"/>
      <c r="UND41" s="532"/>
      <c r="UNE41" s="532"/>
      <c r="UNF41" s="532"/>
      <c r="UNG41" s="532"/>
      <c r="UNH41" s="532"/>
      <c r="UNI41" s="532"/>
      <c r="UNJ41" s="532"/>
      <c r="UNK41" s="532"/>
      <c r="UNL41" s="532"/>
      <c r="UNM41" s="532"/>
      <c r="UNN41" s="532"/>
      <c r="UNO41" s="532"/>
      <c r="UNP41" s="532"/>
      <c r="UNQ41" s="532"/>
      <c r="UNR41" s="532"/>
      <c r="UNS41" s="532"/>
      <c r="UNT41" s="532"/>
      <c r="UNU41" s="532"/>
      <c r="UNV41" s="532"/>
      <c r="UNW41" s="532"/>
      <c r="UNX41" s="532"/>
      <c r="UNY41" s="532"/>
      <c r="UNZ41" s="532"/>
      <c r="UOA41" s="532"/>
      <c r="UOB41" s="532"/>
      <c r="UOC41" s="532"/>
      <c r="UOD41" s="532"/>
      <c r="UOE41" s="532"/>
      <c r="UOF41" s="532"/>
      <c r="UOG41" s="532"/>
      <c r="UOH41" s="532"/>
      <c r="UOI41" s="532"/>
      <c r="UOJ41" s="532"/>
      <c r="UOK41" s="532"/>
      <c r="UOL41" s="532"/>
      <c r="UOM41" s="532"/>
      <c r="UON41" s="532"/>
      <c r="UOO41" s="532"/>
      <c r="UOP41" s="532"/>
      <c r="UOQ41" s="532"/>
      <c r="UOR41" s="532"/>
      <c r="UOS41" s="532"/>
      <c r="UOT41" s="532"/>
      <c r="UOU41" s="532"/>
      <c r="UOV41" s="532"/>
      <c r="UOW41" s="532"/>
      <c r="UOX41" s="532"/>
      <c r="UOY41" s="532"/>
      <c r="UOZ41" s="532"/>
      <c r="UPA41" s="532"/>
      <c r="UPB41" s="532"/>
      <c r="UPC41" s="532"/>
      <c r="UPD41" s="532"/>
      <c r="UPE41" s="532"/>
      <c r="UPF41" s="532"/>
      <c r="UPG41" s="532"/>
      <c r="UPH41" s="532"/>
      <c r="UPI41" s="532"/>
      <c r="UPJ41" s="532"/>
      <c r="UPK41" s="532"/>
      <c r="UPL41" s="532"/>
      <c r="UPM41" s="532"/>
      <c r="UPN41" s="532"/>
      <c r="UPO41" s="532"/>
      <c r="UPP41" s="532"/>
      <c r="UPQ41" s="532"/>
      <c r="UPR41" s="532"/>
      <c r="UPS41" s="532"/>
      <c r="UPT41" s="532"/>
      <c r="UPU41" s="532"/>
      <c r="UPV41" s="532"/>
      <c r="UPW41" s="532"/>
      <c r="UPX41" s="532"/>
      <c r="UPY41" s="532"/>
      <c r="UPZ41" s="532"/>
      <c r="UQA41" s="532"/>
      <c r="UQB41" s="532"/>
      <c r="UQC41" s="532"/>
      <c r="UQD41" s="532"/>
      <c r="UQE41" s="532"/>
      <c r="UQF41" s="532"/>
      <c r="UQG41" s="532"/>
      <c r="UQH41" s="532"/>
      <c r="UQI41" s="532"/>
      <c r="UQJ41" s="532"/>
      <c r="UQK41" s="532"/>
      <c r="UQL41" s="532"/>
      <c r="UQM41" s="532"/>
      <c r="UQN41" s="532"/>
      <c r="UQO41" s="532"/>
      <c r="UQP41" s="532"/>
      <c r="UQQ41" s="532"/>
      <c r="UQR41" s="532"/>
      <c r="UQS41" s="532"/>
      <c r="UQT41" s="532"/>
      <c r="UQU41" s="532"/>
      <c r="UQV41" s="532"/>
      <c r="UQW41" s="532"/>
      <c r="UQX41" s="532"/>
      <c r="UQY41" s="532"/>
      <c r="UQZ41" s="532"/>
      <c r="URA41" s="532"/>
      <c r="URB41" s="532"/>
      <c r="URC41" s="532"/>
      <c r="URD41" s="532"/>
      <c r="URE41" s="532"/>
      <c r="URF41" s="532"/>
      <c r="URG41" s="532"/>
      <c r="URH41" s="532"/>
      <c r="URI41" s="532"/>
      <c r="URJ41" s="532"/>
      <c r="URK41" s="532"/>
      <c r="URL41" s="532"/>
      <c r="URM41" s="532"/>
      <c r="URN41" s="532"/>
      <c r="URO41" s="532"/>
      <c r="URP41" s="532"/>
      <c r="URQ41" s="532"/>
      <c r="URR41" s="532"/>
      <c r="URS41" s="532"/>
      <c r="URT41" s="532"/>
      <c r="URU41" s="532"/>
      <c r="URV41" s="532"/>
      <c r="URW41" s="532"/>
      <c r="URX41" s="532"/>
      <c r="URY41" s="532"/>
      <c r="URZ41" s="532"/>
      <c r="USA41" s="532"/>
      <c r="USB41" s="532"/>
      <c r="USC41" s="532"/>
      <c r="USD41" s="532"/>
      <c r="USE41" s="532"/>
      <c r="USF41" s="532"/>
      <c r="USG41" s="532"/>
      <c r="USH41" s="532"/>
      <c r="USI41" s="532"/>
      <c r="USJ41" s="532"/>
      <c r="USK41" s="532"/>
      <c r="USL41" s="532"/>
      <c r="USM41" s="532"/>
      <c r="USN41" s="532"/>
      <c r="USO41" s="532"/>
      <c r="USP41" s="532"/>
      <c r="USQ41" s="532"/>
      <c r="USR41" s="532"/>
      <c r="USS41" s="532"/>
      <c r="UST41" s="532"/>
      <c r="USU41" s="532"/>
      <c r="USV41" s="532"/>
      <c r="USW41" s="532"/>
      <c r="USX41" s="532"/>
      <c r="USY41" s="532"/>
      <c r="USZ41" s="532"/>
      <c r="UTA41" s="532"/>
      <c r="UTB41" s="532"/>
      <c r="UTC41" s="532"/>
      <c r="UTD41" s="532"/>
      <c r="UTE41" s="532"/>
      <c r="UTF41" s="532"/>
      <c r="UTG41" s="532"/>
      <c r="UTH41" s="532"/>
      <c r="UTI41" s="532"/>
      <c r="UTJ41" s="532"/>
      <c r="UTK41" s="532"/>
      <c r="UTL41" s="532"/>
      <c r="UTM41" s="532"/>
      <c r="UTN41" s="532"/>
      <c r="UTO41" s="532"/>
      <c r="UTP41" s="532"/>
      <c r="UTQ41" s="532"/>
      <c r="UTR41" s="532"/>
      <c r="UTS41" s="532"/>
      <c r="UTT41" s="532"/>
      <c r="UTU41" s="532"/>
      <c r="UTV41" s="532"/>
      <c r="UTW41" s="532"/>
      <c r="UTX41" s="532"/>
      <c r="UTY41" s="532"/>
      <c r="UTZ41" s="532"/>
      <c r="UUA41" s="532"/>
      <c r="UUB41" s="532"/>
      <c r="UUC41" s="532"/>
      <c r="UUD41" s="532"/>
      <c r="UUE41" s="532"/>
      <c r="UUF41" s="532"/>
      <c r="UUG41" s="532"/>
      <c r="UUH41" s="532"/>
      <c r="UUI41" s="532"/>
      <c r="UUJ41" s="532"/>
      <c r="UUK41" s="532"/>
      <c r="UUL41" s="532"/>
      <c r="UUM41" s="532"/>
      <c r="UUN41" s="532"/>
      <c r="UUO41" s="532"/>
      <c r="UUP41" s="532"/>
      <c r="UUQ41" s="532"/>
      <c r="UUR41" s="532"/>
      <c r="UUS41" s="532"/>
      <c r="UUT41" s="532"/>
      <c r="UUU41" s="532"/>
      <c r="UUV41" s="532"/>
      <c r="UUW41" s="532"/>
      <c r="UUX41" s="532"/>
      <c r="UUY41" s="532"/>
      <c r="UUZ41" s="532"/>
      <c r="UVA41" s="532"/>
      <c r="UVB41" s="532"/>
      <c r="UVC41" s="532"/>
      <c r="UVD41" s="532"/>
      <c r="UVE41" s="532"/>
      <c r="UVF41" s="532"/>
      <c r="UVG41" s="532"/>
      <c r="UVH41" s="532"/>
      <c r="UVI41" s="532"/>
      <c r="UVJ41" s="532"/>
      <c r="UVK41" s="532"/>
      <c r="UVL41" s="532"/>
      <c r="UVM41" s="532"/>
      <c r="UVN41" s="532"/>
      <c r="UVO41" s="532"/>
      <c r="UVP41" s="532"/>
      <c r="UVQ41" s="532"/>
      <c r="UVR41" s="532"/>
      <c r="UVS41" s="532"/>
      <c r="UVT41" s="532"/>
      <c r="UVU41" s="532"/>
      <c r="UVV41" s="532"/>
      <c r="UVW41" s="532"/>
      <c r="UVX41" s="532"/>
      <c r="UVY41" s="532"/>
      <c r="UVZ41" s="532"/>
      <c r="UWA41" s="532"/>
      <c r="UWB41" s="532"/>
      <c r="UWC41" s="532"/>
      <c r="UWD41" s="532"/>
      <c r="UWE41" s="532"/>
      <c r="UWF41" s="532"/>
      <c r="UWG41" s="532"/>
      <c r="UWH41" s="532"/>
      <c r="UWI41" s="532"/>
      <c r="UWJ41" s="532"/>
      <c r="UWK41" s="532"/>
      <c r="UWL41" s="532"/>
      <c r="UWM41" s="532"/>
      <c r="UWN41" s="532"/>
      <c r="UWO41" s="532"/>
      <c r="UWP41" s="532"/>
      <c r="UWQ41" s="532"/>
      <c r="UWR41" s="532"/>
      <c r="UWS41" s="532"/>
      <c r="UWT41" s="532"/>
      <c r="UWU41" s="532"/>
      <c r="UWV41" s="532"/>
      <c r="UWW41" s="532"/>
      <c r="UWX41" s="532"/>
      <c r="UWY41" s="532"/>
      <c r="UWZ41" s="532"/>
      <c r="UXA41" s="532"/>
      <c r="UXB41" s="532"/>
      <c r="UXC41" s="532"/>
      <c r="UXD41" s="532"/>
      <c r="UXE41" s="532"/>
      <c r="UXF41" s="532"/>
      <c r="UXG41" s="532"/>
      <c r="UXH41" s="532"/>
      <c r="UXI41" s="532"/>
      <c r="UXJ41" s="532"/>
      <c r="UXK41" s="532"/>
      <c r="UXL41" s="532"/>
      <c r="UXM41" s="532"/>
      <c r="UXN41" s="532"/>
      <c r="UXO41" s="532"/>
      <c r="UXP41" s="532"/>
      <c r="UXQ41" s="532"/>
      <c r="UXR41" s="532"/>
      <c r="UXS41" s="532"/>
      <c r="UXT41" s="532"/>
      <c r="UXU41" s="532"/>
      <c r="UXV41" s="532"/>
      <c r="UXW41" s="532"/>
      <c r="UXX41" s="532"/>
      <c r="UXY41" s="532"/>
      <c r="UXZ41" s="532"/>
      <c r="UYA41" s="532"/>
      <c r="UYB41" s="532"/>
      <c r="UYC41" s="532"/>
      <c r="UYD41" s="532"/>
      <c r="UYE41" s="532"/>
      <c r="UYF41" s="532"/>
      <c r="UYG41" s="532"/>
      <c r="UYH41" s="532"/>
      <c r="UYI41" s="532"/>
      <c r="UYJ41" s="532"/>
      <c r="UYK41" s="532"/>
      <c r="UYL41" s="532"/>
      <c r="UYM41" s="532"/>
      <c r="UYN41" s="532"/>
      <c r="UYO41" s="532"/>
      <c r="UYP41" s="532"/>
      <c r="UYQ41" s="532"/>
      <c r="UYR41" s="532"/>
      <c r="UYS41" s="532"/>
      <c r="UYT41" s="532"/>
      <c r="UYU41" s="532"/>
      <c r="UYV41" s="532"/>
      <c r="UYW41" s="532"/>
      <c r="UYX41" s="532"/>
      <c r="UYY41" s="532"/>
      <c r="UYZ41" s="532"/>
      <c r="UZA41" s="532"/>
      <c r="UZB41" s="532"/>
      <c r="UZC41" s="532"/>
      <c r="UZD41" s="532"/>
      <c r="UZE41" s="532"/>
      <c r="UZF41" s="532"/>
      <c r="UZG41" s="532"/>
      <c r="UZH41" s="532"/>
      <c r="UZI41" s="532"/>
      <c r="UZJ41" s="532"/>
      <c r="UZK41" s="532"/>
      <c r="UZL41" s="532"/>
      <c r="UZM41" s="532"/>
      <c r="UZN41" s="532"/>
      <c r="UZO41" s="532"/>
      <c r="UZP41" s="532"/>
      <c r="UZQ41" s="532"/>
      <c r="UZR41" s="532"/>
      <c r="UZS41" s="532"/>
      <c r="UZT41" s="532"/>
      <c r="UZU41" s="532"/>
      <c r="UZV41" s="532"/>
      <c r="UZW41" s="532"/>
      <c r="UZX41" s="532"/>
      <c r="UZY41" s="532"/>
      <c r="UZZ41" s="532"/>
      <c r="VAA41" s="532"/>
      <c r="VAB41" s="532"/>
      <c r="VAC41" s="532"/>
      <c r="VAD41" s="532"/>
      <c r="VAE41" s="532"/>
      <c r="VAF41" s="532"/>
      <c r="VAG41" s="532"/>
      <c r="VAH41" s="532"/>
      <c r="VAI41" s="532"/>
      <c r="VAJ41" s="532"/>
      <c r="VAK41" s="532"/>
      <c r="VAL41" s="532"/>
      <c r="VAM41" s="532"/>
      <c r="VAN41" s="532"/>
      <c r="VAO41" s="532"/>
      <c r="VAP41" s="532"/>
      <c r="VAQ41" s="532"/>
      <c r="VAR41" s="532"/>
      <c r="VAS41" s="532"/>
      <c r="VAT41" s="532"/>
      <c r="VAU41" s="532"/>
      <c r="VAV41" s="532"/>
      <c r="VAW41" s="532"/>
      <c r="VAX41" s="532"/>
      <c r="VAY41" s="532"/>
      <c r="VAZ41" s="532"/>
      <c r="VBA41" s="532"/>
      <c r="VBB41" s="532"/>
      <c r="VBC41" s="532"/>
      <c r="VBD41" s="532"/>
      <c r="VBE41" s="532"/>
      <c r="VBF41" s="532"/>
      <c r="VBG41" s="532"/>
      <c r="VBH41" s="532"/>
      <c r="VBI41" s="532"/>
      <c r="VBJ41" s="532"/>
      <c r="VBK41" s="532"/>
      <c r="VBL41" s="532"/>
      <c r="VBM41" s="532"/>
      <c r="VBN41" s="532"/>
      <c r="VBO41" s="532"/>
      <c r="VBP41" s="532"/>
      <c r="VBQ41" s="532"/>
      <c r="VBR41" s="532"/>
      <c r="VBS41" s="532"/>
      <c r="VBT41" s="532"/>
      <c r="VBU41" s="532"/>
      <c r="VBV41" s="532"/>
      <c r="VBW41" s="532"/>
      <c r="VBX41" s="532"/>
      <c r="VBY41" s="532"/>
      <c r="VBZ41" s="532"/>
      <c r="VCA41" s="532"/>
      <c r="VCB41" s="532"/>
      <c r="VCC41" s="532"/>
      <c r="VCD41" s="532"/>
      <c r="VCE41" s="532"/>
      <c r="VCF41" s="532"/>
      <c r="VCG41" s="532"/>
      <c r="VCH41" s="532"/>
      <c r="VCI41" s="532"/>
      <c r="VCJ41" s="532"/>
      <c r="VCK41" s="532"/>
      <c r="VCL41" s="532"/>
      <c r="VCM41" s="532"/>
      <c r="VCN41" s="532"/>
      <c r="VCO41" s="532"/>
      <c r="VCP41" s="532"/>
      <c r="VCQ41" s="532"/>
      <c r="VCR41" s="532"/>
      <c r="VCS41" s="532"/>
      <c r="VCT41" s="532"/>
      <c r="VCU41" s="532"/>
      <c r="VCV41" s="532"/>
      <c r="VCW41" s="532"/>
      <c r="VCX41" s="532"/>
      <c r="VCY41" s="532"/>
      <c r="VCZ41" s="532"/>
      <c r="VDA41" s="532"/>
      <c r="VDB41" s="532"/>
      <c r="VDC41" s="532"/>
      <c r="VDD41" s="532"/>
      <c r="VDE41" s="532"/>
      <c r="VDF41" s="532"/>
      <c r="VDG41" s="532"/>
      <c r="VDH41" s="532"/>
      <c r="VDI41" s="532"/>
      <c r="VDJ41" s="532"/>
      <c r="VDK41" s="532"/>
      <c r="VDL41" s="532"/>
      <c r="VDM41" s="532"/>
      <c r="VDN41" s="532"/>
      <c r="VDO41" s="532"/>
      <c r="VDP41" s="532"/>
      <c r="VDQ41" s="532"/>
      <c r="VDR41" s="532"/>
      <c r="VDS41" s="532"/>
      <c r="VDT41" s="532"/>
      <c r="VDU41" s="532"/>
      <c r="VDV41" s="532"/>
      <c r="VDW41" s="532"/>
      <c r="VDX41" s="532"/>
      <c r="VDY41" s="532"/>
      <c r="VDZ41" s="532"/>
      <c r="VEA41" s="532"/>
      <c r="VEB41" s="532"/>
      <c r="VEC41" s="532"/>
      <c r="VED41" s="532"/>
      <c r="VEE41" s="532"/>
      <c r="VEF41" s="532"/>
      <c r="VEG41" s="532"/>
      <c r="VEH41" s="532"/>
      <c r="VEI41" s="532"/>
      <c r="VEJ41" s="532"/>
      <c r="VEK41" s="532"/>
      <c r="VEL41" s="532"/>
      <c r="VEM41" s="532"/>
      <c r="VEN41" s="532"/>
      <c r="VEO41" s="532"/>
      <c r="VEP41" s="532"/>
      <c r="VEQ41" s="532"/>
      <c r="VER41" s="532"/>
      <c r="VES41" s="532"/>
      <c r="VET41" s="532"/>
      <c r="VEU41" s="532"/>
      <c r="VEV41" s="532"/>
      <c r="VEW41" s="532"/>
      <c r="VEX41" s="532"/>
      <c r="VEY41" s="532"/>
      <c r="VEZ41" s="532"/>
      <c r="VFA41" s="532"/>
      <c r="VFB41" s="532"/>
      <c r="VFC41" s="532"/>
      <c r="VFD41" s="532"/>
      <c r="VFE41" s="532"/>
      <c r="VFF41" s="532"/>
      <c r="VFG41" s="532"/>
      <c r="VFH41" s="532"/>
      <c r="VFI41" s="532"/>
      <c r="VFJ41" s="532"/>
      <c r="VFK41" s="532"/>
      <c r="VFL41" s="532"/>
      <c r="VFM41" s="532"/>
      <c r="VFN41" s="532"/>
      <c r="VFO41" s="532"/>
      <c r="VFP41" s="532"/>
      <c r="VFQ41" s="532"/>
      <c r="VFR41" s="532"/>
      <c r="VFS41" s="532"/>
      <c r="VFT41" s="532"/>
      <c r="VFU41" s="532"/>
      <c r="VFV41" s="532"/>
      <c r="VFW41" s="532"/>
      <c r="VFX41" s="532"/>
      <c r="VFY41" s="532"/>
      <c r="VFZ41" s="532"/>
      <c r="VGA41" s="532"/>
      <c r="VGB41" s="532"/>
      <c r="VGC41" s="532"/>
      <c r="VGD41" s="532"/>
      <c r="VGE41" s="532"/>
      <c r="VGF41" s="532"/>
      <c r="VGG41" s="532"/>
      <c r="VGH41" s="532"/>
      <c r="VGI41" s="532"/>
      <c r="VGJ41" s="532"/>
      <c r="VGK41" s="532"/>
      <c r="VGL41" s="532"/>
      <c r="VGM41" s="532"/>
      <c r="VGN41" s="532"/>
      <c r="VGO41" s="532"/>
      <c r="VGP41" s="532"/>
      <c r="VGQ41" s="532"/>
      <c r="VGR41" s="532"/>
      <c r="VGS41" s="532"/>
      <c r="VGT41" s="532"/>
      <c r="VGU41" s="532"/>
      <c r="VGV41" s="532"/>
      <c r="VGW41" s="532"/>
      <c r="VGX41" s="532"/>
      <c r="VGY41" s="532"/>
      <c r="VGZ41" s="532"/>
      <c r="VHA41" s="532"/>
      <c r="VHB41" s="532"/>
      <c r="VHC41" s="532"/>
      <c r="VHD41" s="532"/>
      <c r="VHE41" s="532"/>
      <c r="VHF41" s="532"/>
      <c r="VHG41" s="532"/>
      <c r="VHH41" s="532"/>
      <c r="VHI41" s="532"/>
      <c r="VHJ41" s="532"/>
      <c r="VHK41" s="532"/>
      <c r="VHL41" s="532"/>
      <c r="VHM41" s="532"/>
      <c r="VHN41" s="532"/>
      <c r="VHO41" s="532"/>
      <c r="VHP41" s="532"/>
      <c r="VHQ41" s="532"/>
      <c r="VHR41" s="532"/>
      <c r="VHS41" s="532"/>
      <c r="VHT41" s="532"/>
      <c r="VHU41" s="532"/>
      <c r="VHV41" s="532"/>
      <c r="VHW41" s="532"/>
      <c r="VHX41" s="532"/>
      <c r="VHY41" s="532"/>
      <c r="VHZ41" s="532"/>
      <c r="VIA41" s="532"/>
      <c r="VIB41" s="532"/>
      <c r="VIC41" s="532"/>
      <c r="VID41" s="532"/>
      <c r="VIE41" s="532"/>
      <c r="VIF41" s="532"/>
      <c r="VIG41" s="532"/>
      <c r="VIH41" s="532"/>
      <c r="VII41" s="532"/>
      <c r="VIJ41" s="532"/>
      <c r="VIK41" s="532"/>
      <c r="VIL41" s="532"/>
      <c r="VIM41" s="532"/>
      <c r="VIN41" s="532"/>
      <c r="VIO41" s="532"/>
      <c r="VIP41" s="532"/>
      <c r="VIQ41" s="532"/>
      <c r="VIR41" s="532"/>
      <c r="VIS41" s="532"/>
      <c r="VIT41" s="532"/>
      <c r="VIU41" s="532"/>
      <c r="VIV41" s="532"/>
      <c r="VIW41" s="532"/>
      <c r="VIX41" s="532"/>
      <c r="VIY41" s="532"/>
      <c r="VIZ41" s="532"/>
      <c r="VJA41" s="532"/>
      <c r="VJB41" s="532"/>
      <c r="VJC41" s="532"/>
      <c r="VJD41" s="532"/>
      <c r="VJE41" s="532"/>
      <c r="VJF41" s="532"/>
      <c r="VJG41" s="532"/>
      <c r="VJH41" s="532"/>
      <c r="VJI41" s="532"/>
      <c r="VJJ41" s="532"/>
      <c r="VJK41" s="532"/>
      <c r="VJL41" s="532"/>
      <c r="VJM41" s="532"/>
      <c r="VJN41" s="532"/>
      <c r="VJO41" s="532"/>
      <c r="VJP41" s="532"/>
      <c r="VJQ41" s="532"/>
      <c r="VJR41" s="532"/>
      <c r="VJS41" s="532"/>
      <c r="VJT41" s="532"/>
      <c r="VJU41" s="532"/>
      <c r="VJV41" s="532"/>
      <c r="VJW41" s="532"/>
      <c r="VJX41" s="532"/>
      <c r="VJY41" s="532"/>
      <c r="VJZ41" s="532"/>
      <c r="VKA41" s="532"/>
      <c r="VKB41" s="532"/>
      <c r="VKC41" s="532"/>
      <c r="VKD41" s="532"/>
      <c r="VKE41" s="532"/>
      <c r="VKF41" s="532"/>
      <c r="VKG41" s="532"/>
      <c r="VKH41" s="532"/>
      <c r="VKI41" s="532"/>
      <c r="VKJ41" s="532"/>
      <c r="VKK41" s="532"/>
      <c r="VKL41" s="532"/>
      <c r="VKM41" s="532"/>
      <c r="VKN41" s="532"/>
      <c r="VKO41" s="532"/>
      <c r="VKP41" s="532"/>
      <c r="VKQ41" s="532"/>
      <c r="VKR41" s="532"/>
      <c r="VKS41" s="532"/>
      <c r="VKT41" s="532"/>
      <c r="VKU41" s="532"/>
      <c r="VKV41" s="532"/>
      <c r="VKW41" s="532"/>
      <c r="VKX41" s="532"/>
      <c r="VKY41" s="532"/>
      <c r="VKZ41" s="532"/>
      <c r="VLA41" s="532"/>
      <c r="VLB41" s="532"/>
      <c r="VLC41" s="532"/>
      <c r="VLD41" s="532"/>
      <c r="VLE41" s="532"/>
      <c r="VLF41" s="532"/>
      <c r="VLG41" s="532"/>
      <c r="VLH41" s="532"/>
      <c r="VLI41" s="532"/>
      <c r="VLJ41" s="532"/>
      <c r="VLK41" s="532"/>
      <c r="VLL41" s="532"/>
      <c r="VLM41" s="532"/>
      <c r="VLN41" s="532"/>
      <c r="VLO41" s="532"/>
      <c r="VLP41" s="532"/>
      <c r="VLQ41" s="532"/>
      <c r="VLR41" s="532"/>
      <c r="VLS41" s="532"/>
      <c r="VLT41" s="532"/>
      <c r="VLU41" s="532"/>
      <c r="VLV41" s="532"/>
      <c r="VLW41" s="532"/>
      <c r="VLX41" s="532"/>
      <c r="VLY41" s="532"/>
      <c r="VLZ41" s="532"/>
      <c r="VMA41" s="532"/>
      <c r="VMB41" s="532"/>
      <c r="VMC41" s="532"/>
      <c r="VMD41" s="532"/>
      <c r="VME41" s="532"/>
      <c r="VMF41" s="532"/>
      <c r="VMG41" s="532"/>
      <c r="VMH41" s="532"/>
      <c r="VMI41" s="532"/>
      <c r="VMJ41" s="532"/>
      <c r="VMK41" s="532"/>
      <c r="VML41" s="532"/>
      <c r="VMM41" s="532"/>
      <c r="VMN41" s="532"/>
      <c r="VMO41" s="532"/>
      <c r="VMP41" s="532"/>
      <c r="VMQ41" s="532"/>
      <c r="VMR41" s="532"/>
      <c r="VMS41" s="532"/>
      <c r="VMT41" s="532"/>
      <c r="VMU41" s="532"/>
      <c r="VMV41" s="532"/>
      <c r="VMW41" s="532"/>
      <c r="VMX41" s="532"/>
      <c r="VMY41" s="532"/>
      <c r="VMZ41" s="532"/>
      <c r="VNA41" s="532"/>
      <c r="VNB41" s="532"/>
      <c r="VNC41" s="532"/>
      <c r="VND41" s="532"/>
      <c r="VNE41" s="532"/>
      <c r="VNF41" s="532"/>
      <c r="VNG41" s="532"/>
      <c r="VNH41" s="532"/>
      <c r="VNI41" s="532"/>
      <c r="VNJ41" s="532"/>
      <c r="VNK41" s="532"/>
      <c r="VNL41" s="532"/>
      <c r="VNM41" s="532"/>
      <c r="VNN41" s="532"/>
      <c r="VNO41" s="532"/>
      <c r="VNP41" s="532"/>
      <c r="VNQ41" s="532"/>
      <c r="VNR41" s="532"/>
      <c r="VNS41" s="532"/>
      <c r="VNT41" s="532"/>
      <c r="VNU41" s="532"/>
      <c r="VNV41" s="532"/>
      <c r="VNW41" s="532"/>
      <c r="VNX41" s="532"/>
      <c r="VNY41" s="532"/>
      <c r="VNZ41" s="532"/>
      <c r="VOA41" s="532"/>
      <c r="VOB41" s="532"/>
      <c r="VOC41" s="532"/>
      <c r="VOD41" s="532"/>
      <c r="VOE41" s="532"/>
      <c r="VOF41" s="532"/>
      <c r="VOG41" s="532"/>
      <c r="VOH41" s="532"/>
      <c r="VOI41" s="532"/>
      <c r="VOJ41" s="532"/>
      <c r="VOK41" s="532"/>
      <c r="VOL41" s="532"/>
      <c r="VOM41" s="532"/>
      <c r="VON41" s="532"/>
      <c r="VOO41" s="532"/>
      <c r="VOP41" s="532"/>
      <c r="VOQ41" s="532"/>
      <c r="VOR41" s="532"/>
      <c r="VOS41" s="532"/>
      <c r="VOT41" s="532"/>
      <c r="VOU41" s="532"/>
      <c r="VOV41" s="532"/>
      <c r="VOW41" s="532"/>
      <c r="VOX41" s="532"/>
      <c r="VOY41" s="532"/>
      <c r="VOZ41" s="532"/>
      <c r="VPA41" s="532"/>
      <c r="VPB41" s="532"/>
      <c r="VPC41" s="532"/>
      <c r="VPD41" s="532"/>
      <c r="VPE41" s="532"/>
      <c r="VPF41" s="532"/>
      <c r="VPG41" s="532"/>
      <c r="VPH41" s="532"/>
      <c r="VPI41" s="532"/>
      <c r="VPJ41" s="532"/>
      <c r="VPK41" s="532"/>
      <c r="VPL41" s="532"/>
      <c r="VPM41" s="532"/>
      <c r="VPN41" s="532"/>
      <c r="VPO41" s="532"/>
      <c r="VPP41" s="532"/>
      <c r="VPQ41" s="532"/>
      <c r="VPR41" s="532"/>
      <c r="VPS41" s="532"/>
      <c r="VPT41" s="532"/>
      <c r="VPU41" s="532"/>
      <c r="VPV41" s="532"/>
      <c r="VPW41" s="532"/>
      <c r="VPX41" s="532"/>
      <c r="VPY41" s="532"/>
      <c r="VPZ41" s="532"/>
      <c r="VQA41" s="532"/>
      <c r="VQB41" s="532"/>
      <c r="VQC41" s="532"/>
      <c r="VQD41" s="532"/>
      <c r="VQE41" s="532"/>
      <c r="VQF41" s="532"/>
      <c r="VQG41" s="532"/>
      <c r="VQH41" s="532"/>
      <c r="VQI41" s="532"/>
      <c r="VQJ41" s="532"/>
      <c r="VQK41" s="532"/>
      <c r="VQL41" s="532"/>
      <c r="VQM41" s="532"/>
      <c r="VQN41" s="532"/>
      <c r="VQO41" s="532"/>
      <c r="VQP41" s="532"/>
      <c r="VQQ41" s="532"/>
      <c r="VQR41" s="532"/>
      <c r="VQS41" s="532"/>
      <c r="VQT41" s="532"/>
      <c r="VQU41" s="532"/>
      <c r="VQV41" s="532"/>
      <c r="VQW41" s="532"/>
      <c r="VQX41" s="532"/>
      <c r="VQY41" s="532"/>
      <c r="VQZ41" s="532"/>
      <c r="VRA41" s="532"/>
      <c r="VRB41" s="532"/>
      <c r="VRC41" s="532"/>
      <c r="VRD41" s="532"/>
      <c r="VRE41" s="532"/>
      <c r="VRF41" s="532"/>
      <c r="VRG41" s="532"/>
      <c r="VRH41" s="532"/>
      <c r="VRI41" s="532"/>
      <c r="VRJ41" s="532"/>
      <c r="VRK41" s="532"/>
      <c r="VRL41" s="532"/>
      <c r="VRM41" s="532"/>
      <c r="VRN41" s="532"/>
      <c r="VRO41" s="532"/>
      <c r="VRP41" s="532"/>
      <c r="VRQ41" s="532"/>
      <c r="VRR41" s="532"/>
      <c r="VRS41" s="532"/>
      <c r="VRT41" s="532"/>
      <c r="VRU41" s="532"/>
      <c r="VRV41" s="532"/>
      <c r="VRW41" s="532"/>
      <c r="VRX41" s="532"/>
      <c r="VRY41" s="532"/>
      <c r="VRZ41" s="532"/>
      <c r="VSA41" s="532"/>
      <c r="VSB41" s="532"/>
      <c r="VSC41" s="532"/>
      <c r="VSD41" s="532"/>
      <c r="VSE41" s="532"/>
      <c r="VSF41" s="532"/>
      <c r="VSG41" s="532"/>
      <c r="VSH41" s="532"/>
      <c r="VSI41" s="532"/>
      <c r="VSJ41" s="532"/>
      <c r="VSK41" s="532"/>
      <c r="VSL41" s="532"/>
      <c r="VSM41" s="532"/>
      <c r="VSN41" s="532"/>
      <c r="VSO41" s="532"/>
      <c r="VSP41" s="532"/>
      <c r="VSQ41" s="532"/>
      <c r="VSR41" s="532"/>
      <c r="VSS41" s="532"/>
      <c r="VST41" s="532"/>
      <c r="VSU41" s="532"/>
      <c r="VSV41" s="532"/>
      <c r="VSW41" s="532"/>
      <c r="VSX41" s="532"/>
      <c r="VSY41" s="532"/>
      <c r="VSZ41" s="532"/>
      <c r="VTA41" s="532"/>
      <c r="VTB41" s="532"/>
      <c r="VTC41" s="532"/>
      <c r="VTD41" s="532"/>
      <c r="VTE41" s="532"/>
      <c r="VTF41" s="532"/>
      <c r="VTG41" s="532"/>
      <c r="VTH41" s="532"/>
      <c r="VTI41" s="532"/>
      <c r="VTJ41" s="532"/>
      <c r="VTK41" s="532"/>
      <c r="VTL41" s="532"/>
      <c r="VTM41" s="532"/>
      <c r="VTN41" s="532"/>
      <c r="VTO41" s="532"/>
      <c r="VTP41" s="532"/>
      <c r="VTQ41" s="532"/>
      <c r="VTR41" s="532"/>
      <c r="VTS41" s="532"/>
      <c r="VTT41" s="532"/>
      <c r="VTU41" s="532"/>
      <c r="VTV41" s="532"/>
      <c r="VTW41" s="532"/>
      <c r="VTX41" s="532"/>
      <c r="VTY41" s="532"/>
      <c r="VTZ41" s="532"/>
      <c r="VUA41" s="532"/>
      <c r="VUB41" s="532"/>
      <c r="VUC41" s="532"/>
      <c r="VUD41" s="532"/>
      <c r="VUE41" s="532"/>
      <c r="VUF41" s="532"/>
      <c r="VUG41" s="532"/>
      <c r="VUH41" s="532"/>
      <c r="VUI41" s="532"/>
      <c r="VUJ41" s="532"/>
      <c r="VUK41" s="532"/>
      <c r="VUL41" s="532"/>
      <c r="VUM41" s="532"/>
      <c r="VUN41" s="532"/>
      <c r="VUO41" s="532"/>
      <c r="VUP41" s="532"/>
      <c r="VUQ41" s="532"/>
      <c r="VUR41" s="532"/>
      <c r="VUS41" s="532"/>
      <c r="VUT41" s="532"/>
      <c r="VUU41" s="532"/>
      <c r="VUV41" s="532"/>
      <c r="VUW41" s="532"/>
      <c r="VUX41" s="532"/>
      <c r="VUY41" s="532"/>
      <c r="VUZ41" s="532"/>
      <c r="VVA41" s="532"/>
      <c r="VVB41" s="532"/>
      <c r="VVC41" s="532"/>
      <c r="VVD41" s="532"/>
      <c r="VVE41" s="532"/>
      <c r="VVF41" s="532"/>
      <c r="VVG41" s="532"/>
      <c r="VVH41" s="532"/>
      <c r="VVI41" s="532"/>
      <c r="VVJ41" s="532"/>
      <c r="VVK41" s="532"/>
      <c r="VVL41" s="532"/>
      <c r="VVM41" s="532"/>
      <c r="VVN41" s="532"/>
      <c r="VVO41" s="532"/>
      <c r="VVP41" s="532"/>
      <c r="VVQ41" s="532"/>
      <c r="VVR41" s="532"/>
      <c r="VVS41" s="532"/>
      <c r="VVT41" s="532"/>
      <c r="VVU41" s="532"/>
      <c r="VVV41" s="532"/>
      <c r="VVW41" s="532"/>
      <c r="VVX41" s="532"/>
      <c r="VVY41" s="532"/>
      <c r="VVZ41" s="532"/>
      <c r="VWA41" s="532"/>
      <c r="VWB41" s="532"/>
      <c r="VWC41" s="532"/>
      <c r="VWD41" s="532"/>
      <c r="VWE41" s="532"/>
      <c r="VWF41" s="532"/>
      <c r="VWG41" s="532"/>
      <c r="VWH41" s="532"/>
      <c r="VWI41" s="532"/>
      <c r="VWJ41" s="532"/>
      <c r="VWK41" s="532"/>
      <c r="VWL41" s="532"/>
      <c r="VWM41" s="532"/>
      <c r="VWN41" s="532"/>
      <c r="VWO41" s="532"/>
      <c r="VWP41" s="532"/>
      <c r="VWQ41" s="532"/>
      <c r="VWR41" s="532"/>
      <c r="VWS41" s="532"/>
      <c r="VWT41" s="532"/>
      <c r="VWU41" s="532"/>
      <c r="VWV41" s="532"/>
      <c r="VWW41" s="532"/>
      <c r="VWX41" s="532"/>
      <c r="VWY41" s="532"/>
      <c r="VWZ41" s="532"/>
      <c r="VXA41" s="532"/>
      <c r="VXB41" s="532"/>
      <c r="VXC41" s="532"/>
      <c r="VXD41" s="532"/>
      <c r="VXE41" s="532"/>
      <c r="VXF41" s="532"/>
      <c r="VXG41" s="532"/>
      <c r="VXH41" s="532"/>
      <c r="VXI41" s="532"/>
      <c r="VXJ41" s="532"/>
      <c r="VXK41" s="532"/>
      <c r="VXL41" s="532"/>
      <c r="VXM41" s="532"/>
      <c r="VXN41" s="532"/>
      <c r="VXO41" s="532"/>
      <c r="VXP41" s="532"/>
      <c r="VXQ41" s="532"/>
      <c r="VXR41" s="532"/>
      <c r="VXS41" s="532"/>
      <c r="VXT41" s="532"/>
      <c r="VXU41" s="532"/>
      <c r="VXV41" s="532"/>
      <c r="VXW41" s="532"/>
      <c r="VXX41" s="532"/>
      <c r="VXY41" s="532"/>
      <c r="VXZ41" s="532"/>
      <c r="VYA41" s="532"/>
      <c r="VYB41" s="532"/>
      <c r="VYC41" s="532"/>
      <c r="VYD41" s="532"/>
      <c r="VYE41" s="532"/>
      <c r="VYF41" s="532"/>
      <c r="VYG41" s="532"/>
      <c r="VYH41" s="532"/>
      <c r="VYI41" s="532"/>
      <c r="VYJ41" s="532"/>
      <c r="VYK41" s="532"/>
      <c r="VYL41" s="532"/>
      <c r="VYM41" s="532"/>
      <c r="VYN41" s="532"/>
      <c r="VYO41" s="532"/>
      <c r="VYP41" s="532"/>
      <c r="VYQ41" s="532"/>
      <c r="VYR41" s="532"/>
      <c r="VYS41" s="532"/>
      <c r="VYT41" s="532"/>
      <c r="VYU41" s="532"/>
      <c r="VYV41" s="532"/>
      <c r="VYW41" s="532"/>
      <c r="VYX41" s="532"/>
      <c r="VYY41" s="532"/>
      <c r="VYZ41" s="532"/>
      <c r="VZA41" s="532"/>
      <c r="VZB41" s="532"/>
      <c r="VZC41" s="532"/>
      <c r="VZD41" s="532"/>
      <c r="VZE41" s="532"/>
      <c r="VZF41" s="532"/>
      <c r="VZG41" s="532"/>
      <c r="VZH41" s="532"/>
      <c r="VZI41" s="532"/>
      <c r="VZJ41" s="532"/>
      <c r="VZK41" s="532"/>
      <c r="VZL41" s="532"/>
      <c r="VZM41" s="532"/>
      <c r="VZN41" s="532"/>
      <c r="VZO41" s="532"/>
      <c r="VZP41" s="532"/>
      <c r="VZQ41" s="532"/>
      <c r="VZR41" s="532"/>
      <c r="VZS41" s="532"/>
      <c r="VZT41" s="532"/>
      <c r="VZU41" s="532"/>
      <c r="VZV41" s="532"/>
      <c r="VZW41" s="532"/>
      <c r="VZX41" s="532"/>
      <c r="VZY41" s="532"/>
      <c r="VZZ41" s="532"/>
      <c r="WAA41" s="532"/>
      <c r="WAB41" s="532"/>
      <c r="WAC41" s="532"/>
      <c r="WAD41" s="532"/>
      <c r="WAE41" s="532"/>
      <c r="WAF41" s="532"/>
      <c r="WAG41" s="532"/>
      <c r="WAH41" s="532"/>
      <c r="WAI41" s="532"/>
      <c r="WAJ41" s="532"/>
      <c r="WAK41" s="532"/>
      <c r="WAL41" s="532"/>
      <c r="WAM41" s="532"/>
      <c r="WAN41" s="532"/>
      <c r="WAO41" s="532"/>
      <c r="WAP41" s="532"/>
      <c r="WAQ41" s="532"/>
      <c r="WAR41" s="532"/>
      <c r="WAS41" s="532"/>
      <c r="WAT41" s="532"/>
      <c r="WAU41" s="532"/>
      <c r="WAV41" s="532"/>
      <c r="WAW41" s="532"/>
      <c r="WAX41" s="532"/>
      <c r="WAY41" s="532"/>
      <c r="WAZ41" s="532"/>
      <c r="WBA41" s="532"/>
      <c r="WBB41" s="532"/>
      <c r="WBC41" s="532"/>
      <c r="WBD41" s="532"/>
      <c r="WBE41" s="532"/>
      <c r="WBF41" s="532"/>
      <c r="WBG41" s="532"/>
      <c r="WBH41" s="532"/>
      <c r="WBI41" s="532"/>
      <c r="WBJ41" s="532"/>
      <c r="WBK41" s="532"/>
      <c r="WBL41" s="532"/>
      <c r="WBM41" s="532"/>
      <c r="WBN41" s="532"/>
      <c r="WBO41" s="532"/>
      <c r="WBP41" s="532"/>
      <c r="WBQ41" s="532"/>
      <c r="WBR41" s="532"/>
      <c r="WBS41" s="532"/>
      <c r="WBT41" s="532"/>
      <c r="WBU41" s="532"/>
      <c r="WBV41" s="532"/>
      <c r="WBW41" s="532"/>
      <c r="WBX41" s="532"/>
      <c r="WBY41" s="532"/>
      <c r="WBZ41" s="532"/>
      <c r="WCA41" s="532"/>
      <c r="WCB41" s="532"/>
      <c r="WCC41" s="532"/>
      <c r="WCD41" s="532"/>
      <c r="WCE41" s="532"/>
      <c r="WCF41" s="532"/>
      <c r="WCG41" s="532"/>
      <c r="WCH41" s="532"/>
      <c r="WCI41" s="532"/>
      <c r="WCJ41" s="532"/>
      <c r="WCK41" s="532"/>
      <c r="WCL41" s="532"/>
      <c r="WCM41" s="532"/>
      <c r="WCN41" s="532"/>
      <c r="WCO41" s="532"/>
      <c r="WCP41" s="532"/>
      <c r="WCQ41" s="532"/>
      <c r="WCR41" s="532"/>
      <c r="WCS41" s="532"/>
      <c r="WCT41" s="532"/>
      <c r="WCU41" s="532"/>
      <c r="WCV41" s="532"/>
      <c r="WCW41" s="532"/>
      <c r="WCX41" s="532"/>
      <c r="WCY41" s="532"/>
      <c r="WCZ41" s="532"/>
      <c r="WDA41" s="532"/>
      <c r="WDB41" s="532"/>
      <c r="WDC41" s="532"/>
      <c r="WDD41" s="532"/>
      <c r="WDE41" s="532"/>
      <c r="WDF41" s="532"/>
      <c r="WDG41" s="532"/>
      <c r="WDH41" s="532"/>
      <c r="WDI41" s="532"/>
      <c r="WDJ41" s="532"/>
      <c r="WDK41" s="532"/>
      <c r="WDL41" s="532"/>
      <c r="WDM41" s="532"/>
      <c r="WDN41" s="532"/>
      <c r="WDO41" s="532"/>
      <c r="WDP41" s="532"/>
      <c r="WDQ41" s="532"/>
      <c r="WDR41" s="532"/>
      <c r="WDS41" s="532"/>
      <c r="WDT41" s="532"/>
      <c r="WDU41" s="532"/>
      <c r="WDV41" s="532"/>
      <c r="WDW41" s="532"/>
      <c r="WDX41" s="532"/>
      <c r="WDY41" s="532"/>
      <c r="WDZ41" s="532"/>
      <c r="WEA41" s="532"/>
      <c r="WEB41" s="532"/>
      <c r="WEC41" s="532"/>
      <c r="WED41" s="532"/>
      <c r="WEE41" s="532"/>
      <c r="WEF41" s="532"/>
      <c r="WEG41" s="532"/>
      <c r="WEH41" s="532"/>
      <c r="WEI41" s="532"/>
      <c r="WEJ41" s="532"/>
      <c r="WEK41" s="532"/>
      <c r="WEL41" s="532"/>
      <c r="WEM41" s="532"/>
      <c r="WEN41" s="532"/>
      <c r="WEO41" s="532"/>
      <c r="WEP41" s="532"/>
      <c r="WEQ41" s="532"/>
      <c r="WER41" s="532"/>
      <c r="WES41" s="532"/>
      <c r="WET41" s="532"/>
      <c r="WEU41" s="532"/>
      <c r="WEV41" s="532"/>
      <c r="WEW41" s="532"/>
      <c r="WEX41" s="532"/>
      <c r="WEY41" s="532"/>
      <c r="WEZ41" s="532"/>
      <c r="WFA41" s="532"/>
      <c r="WFB41" s="532"/>
      <c r="WFC41" s="532"/>
      <c r="WFD41" s="532"/>
      <c r="WFE41" s="532"/>
      <c r="WFF41" s="532"/>
      <c r="WFG41" s="532"/>
      <c r="WFH41" s="532"/>
      <c r="WFI41" s="532"/>
      <c r="WFJ41" s="532"/>
      <c r="WFK41" s="532"/>
      <c r="WFL41" s="532"/>
      <c r="WFM41" s="532"/>
      <c r="WFN41" s="532"/>
      <c r="WFO41" s="532"/>
      <c r="WFP41" s="532"/>
      <c r="WFQ41" s="532"/>
      <c r="WFR41" s="532"/>
      <c r="WFS41" s="532"/>
      <c r="WFT41" s="532"/>
      <c r="WFU41" s="532"/>
      <c r="WFV41" s="532"/>
      <c r="WFW41" s="532"/>
      <c r="WFX41" s="532"/>
      <c r="WFY41" s="532"/>
      <c r="WFZ41" s="532"/>
      <c r="WGA41" s="532"/>
      <c r="WGB41" s="532"/>
      <c r="WGC41" s="532"/>
      <c r="WGD41" s="532"/>
      <c r="WGE41" s="532"/>
      <c r="WGF41" s="532"/>
      <c r="WGG41" s="532"/>
      <c r="WGH41" s="532"/>
      <c r="WGI41" s="532"/>
      <c r="WGJ41" s="532"/>
      <c r="WGK41" s="532"/>
      <c r="WGL41" s="532"/>
      <c r="WGM41" s="532"/>
      <c r="WGN41" s="532"/>
      <c r="WGO41" s="532"/>
      <c r="WGP41" s="532"/>
      <c r="WGQ41" s="532"/>
      <c r="WGR41" s="532"/>
      <c r="WGS41" s="532"/>
      <c r="WGT41" s="532"/>
      <c r="WGU41" s="532"/>
      <c r="WGV41" s="532"/>
      <c r="WGW41" s="532"/>
      <c r="WGX41" s="532"/>
      <c r="WGY41" s="532"/>
      <c r="WGZ41" s="532"/>
      <c r="WHA41" s="532"/>
      <c r="WHB41" s="532"/>
      <c r="WHC41" s="532"/>
      <c r="WHD41" s="532"/>
      <c r="WHE41" s="532"/>
      <c r="WHF41" s="532"/>
      <c r="WHG41" s="532"/>
      <c r="WHH41" s="532"/>
      <c r="WHI41" s="532"/>
      <c r="WHJ41" s="532"/>
      <c r="WHK41" s="532"/>
      <c r="WHL41" s="532"/>
      <c r="WHM41" s="532"/>
      <c r="WHN41" s="532"/>
      <c r="WHO41" s="532"/>
      <c r="WHP41" s="532"/>
      <c r="WHQ41" s="532"/>
      <c r="WHR41" s="532"/>
      <c r="WHS41" s="532"/>
      <c r="WHT41" s="532"/>
      <c r="WHU41" s="532"/>
      <c r="WHV41" s="532"/>
      <c r="WHW41" s="532"/>
      <c r="WHX41" s="532"/>
      <c r="WHY41" s="532"/>
      <c r="WHZ41" s="532"/>
      <c r="WIA41" s="532"/>
      <c r="WIB41" s="532"/>
      <c r="WIC41" s="532"/>
      <c r="WID41" s="532"/>
      <c r="WIE41" s="532"/>
      <c r="WIF41" s="532"/>
      <c r="WIG41" s="532"/>
      <c r="WIH41" s="532"/>
      <c r="WII41" s="532"/>
      <c r="WIJ41" s="532"/>
      <c r="WIK41" s="532"/>
      <c r="WIL41" s="532"/>
      <c r="WIM41" s="532"/>
      <c r="WIN41" s="532"/>
      <c r="WIO41" s="532"/>
      <c r="WIP41" s="532"/>
      <c r="WIQ41" s="532"/>
      <c r="WIR41" s="532"/>
      <c r="WIS41" s="532"/>
      <c r="WIT41" s="532"/>
      <c r="WIU41" s="532"/>
      <c r="WIV41" s="532"/>
      <c r="WIW41" s="532"/>
      <c r="WIX41" s="532"/>
      <c r="WIY41" s="532"/>
      <c r="WIZ41" s="532"/>
      <c r="WJA41" s="532"/>
      <c r="WJB41" s="532"/>
      <c r="WJC41" s="532"/>
      <c r="WJD41" s="532"/>
      <c r="WJE41" s="532"/>
      <c r="WJF41" s="532"/>
      <c r="WJG41" s="532"/>
      <c r="WJH41" s="532"/>
      <c r="WJI41" s="532"/>
      <c r="WJJ41" s="532"/>
      <c r="WJK41" s="532"/>
      <c r="WJL41" s="532"/>
      <c r="WJM41" s="532"/>
      <c r="WJN41" s="532"/>
      <c r="WJO41" s="532"/>
      <c r="WJP41" s="532"/>
      <c r="WJQ41" s="532"/>
      <c r="WJR41" s="532"/>
      <c r="WJS41" s="532"/>
      <c r="WJT41" s="532"/>
      <c r="WJU41" s="532"/>
      <c r="WJV41" s="532"/>
      <c r="WJW41" s="532"/>
      <c r="WJX41" s="532"/>
      <c r="WJY41" s="532"/>
      <c r="WJZ41" s="532"/>
      <c r="WKA41" s="532"/>
      <c r="WKB41" s="532"/>
      <c r="WKC41" s="532"/>
      <c r="WKD41" s="532"/>
      <c r="WKE41" s="532"/>
      <c r="WKF41" s="532"/>
      <c r="WKG41" s="532"/>
      <c r="WKH41" s="532"/>
      <c r="WKI41" s="532"/>
      <c r="WKJ41" s="532"/>
      <c r="WKK41" s="532"/>
      <c r="WKL41" s="532"/>
      <c r="WKM41" s="532"/>
      <c r="WKN41" s="532"/>
      <c r="WKO41" s="532"/>
      <c r="WKP41" s="532"/>
      <c r="WKQ41" s="532"/>
      <c r="WKR41" s="532"/>
      <c r="WKS41" s="532"/>
      <c r="WKT41" s="532"/>
      <c r="WKU41" s="532"/>
      <c r="WKV41" s="532"/>
      <c r="WKW41" s="532"/>
      <c r="WKX41" s="532"/>
      <c r="WKY41" s="532"/>
      <c r="WKZ41" s="532"/>
      <c r="WLA41" s="532"/>
      <c r="WLB41" s="532"/>
      <c r="WLC41" s="532"/>
      <c r="WLD41" s="532"/>
      <c r="WLE41" s="532"/>
      <c r="WLF41" s="532"/>
      <c r="WLG41" s="532"/>
      <c r="WLH41" s="532"/>
      <c r="WLI41" s="532"/>
      <c r="WLJ41" s="532"/>
      <c r="WLK41" s="532"/>
      <c r="WLL41" s="532"/>
      <c r="WLM41" s="532"/>
      <c r="WLN41" s="532"/>
      <c r="WLO41" s="532"/>
      <c r="WLP41" s="532"/>
      <c r="WLQ41" s="532"/>
      <c r="WLR41" s="532"/>
      <c r="WLS41" s="532"/>
      <c r="WLT41" s="532"/>
      <c r="WLU41" s="532"/>
      <c r="WLV41" s="532"/>
      <c r="WLW41" s="532"/>
      <c r="WLX41" s="532"/>
      <c r="WLY41" s="532"/>
      <c r="WLZ41" s="532"/>
      <c r="WMA41" s="532"/>
      <c r="WMB41" s="532"/>
      <c r="WMC41" s="532"/>
      <c r="WMD41" s="532"/>
      <c r="WME41" s="532"/>
      <c r="WMF41" s="532"/>
      <c r="WMG41" s="532"/>
      <c r="WMH41" s="532"/>
      <c r="WMI41" s="532"/>
      <c r="WMJ41" s="532"/>
      <c r="WMK41" s="532"/>
      <c r="WML41" s="532"/>
      <c r="WMM41" s="532"/>
      <c r="WMN41" s="532"/>
      <c r="WMO41" s="532"/>
      <c r="WMP41" s="532"/>
      <c r="WMQ41" s="532"/>
      <c r="WMR41" s="532"/>
      <c r="WMS41" s="532"/>
      <c r="WMT41" s="532"/>
      <c r="WMU41" s="532"/>
      <c r="WMV41" s="532"/>
      <c r="WMW41" s="532"/>
      <c r="WMX41" s="532"/>
      <c r="WMY41" s="532"/>
      <c r="WMZ41" s="532"/>
      <c r="WNA41" s="532"/>
      <c r="WNB41" s="532"/>
      <c r="WNC41" s="532"/>
      <c r="WND41" s="532"/>
      <c r="WNE41" s="532"/>
      <c r="WNF41" s="532"/>
      <c r="WNG41" s="532"/>
      <c r="WNH41" s="532"/>
      <c r="WNI41" s="532"/>
      <c r="WNJ41" s="532"/>
      <c r="WNK41" s="532"/>
      <c r="WNL41" s="532"/>
      <c r="WNM41" s="532"/>
      <c r="WNN41" s="532"/>
      <c r="WNO41" s="532"/>
      <c r="WNP41" s="532"/>
      <c r="WNQ41" s="532"/>
      <c r="WNR41" s="532"/>
      <c r="WNS41" s="532"/>
      <c r="WNT41" s="532"/>
      <c r="WNU41" s="532"/>
      <c r="WNV41" s="532"/>
      <c r="WNW41" s="532"/>
      <c r="WNX41" s="532"/>
      <c r="WNY41" s="532"/>
      <c r="WNZ41" s="532"/>
      <c r="WOA41" s="532"/>
      <c r="WOB41" s="532"/>
      <c r="WOC41" s="532"/>
      <c r="WOD41" s="532"/>
      <c r="WOE41" s="532"/>
      <c r="WOF41" s="532"/>
      <c r="WOG41" s="532"/>
      <c r="WOH41" s="532"/>
      <c r="WOI41" s="532"/>
      <c r="WOJ41" s="532"/>
      <c r="WOK41" s="532"/>
      <c r="WOL41" s="532"/>
      <c r="WOM41" s="532"/>
      <c r="WON41" s="532"/>
      <c r="WOO41" s="532"/>
      <c r="WOP41" s="532"/>
      <c r="WOQ41" s="532"/>
      <c r="WOR41" s="532"/>
      <c r="WOS41" s="532"/>
      <c r="WOT41" s="532"/>
      <c r="WOU41" s="532"/>
      <c r="WOV41" s="532"/>
      <c r="WOW41" s="532"/>
      <c r="WOX41" s="532"/>
      <c r="WOY41" s="532"/>
      <c r="WOZ41" s="532"/>
      <c r="WPA41" s="532"/>
      <c r="WPB41" s="532"/>
      <c r="WPC41" s="532"/>
      <c r="WPD41" s="532"/>
      <c r="WPE41" s="532"/>
      <c r="WPF41" s="532"/>
      <c r="WPG41" s="532"/>
      <c r="WPH41" s="532"/>
      <c r="WPI41" s="532"/>
      <c r="WPJ41" s="532"/>
      <c r="WPK41" s="532"/>
      <c r="WPL41" s="532"/>
      <c r="WPM41" s="532"/>
      <c r="WPN41" s="532"/>
      <c r="WPO41" s="532"/>
      <c r="WPP41" s="532"/>
      <c r="WPQ41" s="532"/>
      <c r="WPR41" s="532"/>
      <c r="WPS41" s="532"/>
      <c r="WPT41" s="532"/>
      <c r="WPU41" s="532"/>
      <c r="WPV41" s="532"/>
      <c r="WPW41" s="532"/>
      <c r="WPX41" s="532"/>
      <c r="WPY41" s="532"/>
      <c r="WPZ41" s="532"/>
      <c r="WQA41" s="532"/>
      <c r="WQB41" s="532"/>
      <c r="WQC41" s="532"/>
      <c r="WQD41" s="532"/>
      <c r="WQE41" s="532"/>
      <c r="WQF41" s="532"/>
      <c r="WQG41" s="532"/>
      <c r="WQH41" s="532"/>
      <c r="WQI41" s="532"/>
      <c r="WQJ41" s="532"/>
      <c r="WQK41" s="532"/>
      <c r="WQL41" s="532"/>
      <c r="WQM41" s="532"/>
      <c r="WQN41" s="532"/>
      <c r="WQO41" s="532"/>
      <c r="WQP41" s="532"/>
      <c r="WQQ41" s="532"/>
      <c r="WQR41" s="532"/>
      <c r="WQS41" s="532"/>
      <c r="WQT41" s="532"/>
      <c r="WQU41" s="532"/>
      <c r="WQV41" s="532"/>
      <c r="WQW41" s="532"/>
      <c r="WQX41" s="532"/>
      <c r="WQY41" s="532"/>
      <c r="WQZ41" s="532"/>
      <c r="WRA41" s="532"/>
      <c r="WRB41" s="532"/>
      <c r="WRC41" s="532"/>
      <c r="WRD41" s="532"/>
      <c r="WRE41" s="532"/>
      <c r="WRF41" s="532"/>
      <c r="WRG41" s="532"/>
      <c r="WRH41" s="532"/>
      <c r="WRI41" s="532"/>
      <c r="WRJ41" s="532"/>
      <c r="WRK41" s="532"/>
      <c r="WRL41" s="532"/>
      <c r="WRM41" s="532"/>
      <c r="WRN41" s="532"/>
      <c r="WRO41" s="532"/>
      <c r="WRP41" s="532"/>
      <c r="WRQ41" s="532"/>
      <c r="WRR41" s="532"/>
      <c r="WRS41" s="532"/>
      <c r="WRT41" s="532"/>
      <c r="WRU41" s="532"/>
      <c r="WRV41" s="532"/>
      <c r="WRW41" s="532"/>
      <c r="WRX41" s="532"/>
      <c r="WRY41" s="532"/>
      <c r="WRZ41" s="532"/>
      <c r="WSA41" s="532"/>
      <c r="WSB41" s="532"/>
      <c r="WSC41" s="532"/>
      <c r="WSD41" s="532"/>
      <c r="WSE41" s="532"/>
      <c r="WSF41" s="532"/>
      <c r="WSG41" s="532"/>
      <c r="WSH41" s="532"/>
      <c r="WSI41" s="532"/>
      <c r="WSJ41" s="532"/>
      <c r="WSK41" s="532"/>
      <c r="WSL41" s="532"/>
      <c r="WSM41" s="532"/>
      <c r="WSN41" s="532"/>
      <c r="WSO41" s="532"/>
      <c r="WSP41" s="532"/>
      <c r="WSQ41" s="532"/>
      <c r="WSR41" s="532"/>
      <c r="WSS41" s="532"/>
      <c r="WST41" s="532"/>
      <c r="WSU41" s="532"/>
      <c r="WSV41" s="532"/>
      <c r="WSW41" s="532"/>
      <c r="WSX41" s="532"/>
      <c r="WSY41" s="532"/>
      <c r="WSZ41" s="532"/>
      <c r="WTA41" s="532"/>
      <c r="WTB41" s="532"/>
      <c r="WTC41" s="532"/>
      <c r="WTD41" s="532"/>
      <c r="WTE41" s="532"/>
      <c r="WTF41" s="532"/>
      <c r="WTG41" s="532"/>
      <c r="WTH41" s="532"/>
      <c r="WTI41" s="532"/>
      <c r="WTJ41" s="532"/>
      <c r="WTK41" s="532"/>
      <c r="WTL41" s="532"/>
      <c r="WTM41" s="532"/>
      <c r="WTN41" s="532"/>
      <c r="WTO41" s="532"/>
      <c r="WTP41" s="532"/>
      <c r="WTQ41" s="532"/>
      <c r="WTR41" s="532"/>
      <c r="WTS41" s="532"/>
      <c r="WTT41" s="532"/>
      <c r="WTU41" s="532"/>
      <c r="WTV41" s="532"/>
      <c r="WTW41" s="532"/>
      <c r="WTX41" s="532"/>
      <c r="WTY41" s="532"/>
      <c r="WTZ41" s="532"/>
      <c r="WUA41" s="532"/>
      <c r="WUB41" s="532"/>
      <c r="WUC41" s="532"/>
      <c r="WUD41" s="532"/>
      <c r="WUE41" s="532"/>
      <c r="WUF41" s="532"/>
      <c r="WUG41" s="532"/>
      <c r="WUH41" s="532"/>
      <c r="WUI41" s="532"/>
      <c r="WUJ41" s="532"/>
      <c r="WUK41" s="532"/>
      <c r="WUL41" s="532"/>
      <c r="WUM41" s="532"/>
      <c r="WUN41" s="532"/>
      <c r="WUO41" s="532"/>
      <c r="WUP41" s="532"/>
      <c r="WUQ41" s="532"/>
      <c r="WUR41" s="532"/>
      <c r="WUS41" s="532"/>
      <c r="WUT41" s="532"/>
      <c r="WUU41" s="532"/>
      <c r="WUV41" s="532"/>
      <c r="WUW41" s="532"/>
      <c r="WUX41" s="532"/>
      <c r="WUY41" s="532"/>
      <c r="WUZ41" s="532"/>
      <c r="WVA41" s="532"/>
      <c r="WVB41" s="532"/>
      <c r="WVC41" s="532"/>
      <c r="WVD41" s="532"/>
      <c r="WVE41" s="532"/>
      <c r="WVF41" s="532"/>
      <c r="WVG41" s="532"/>
      <c r="WVH41" s="532"/>
      <c r="WVI41" s="532"/>
      <c r="WVJ41" s="532"/>
      <c r="WVK41" s="532"/>
      <c r="WVL41" s="532"/>
      <c r="WVM41" s="532"/>
      <c r="WVN41" s="532"/>
      <c r="WVO41" s="532"/>
      <c r="WVP41" s="532"/>
      <c r="WVQ41" s="532"/>
      <c r="WVR41" s="532"/>
      <c r="WVS41" s="532"/>
      <c r="WVT41" s="532"/>
      <c r="WVU41" s="532"/>
      <c r="WVV41" s="532"/>
      <c r="WVW41" s="532"/>
      <c r="WVX41" s="532"/>
      <c r="WVY41" s="532"/>
      <c r="WVZ41" s="532"/>
      <c r="WWA41" s="532"/>
      <c r="WWB41" s="532"/>
      <c r="WWC41" s="532"/>
      <c r="WWD41" s="532"/>
      <c r="WWE41" s="532"/>
      <c r="WWF41" s="532"/>
      <c r="WWG41" s="532"/>
      <c r="WWH41" s="532"/>
      <c r="WWI41" s="532"/>
      <c r="WWJ41" s="532"/>
      <c r="WWK41" s="532"/>
      <c r="WWL41" s="532"/>
      <c r="WWM41" s="532"/>
      <c r="WWN41" s="532"/>
      <c r="WWO41" s="532"/>
      <c r="WWP41" s="532"/>
      <c r="WWQ41" s="532"/>
      <c r="WWR41" s="532"/>
      <c r="WWS41" s="532"/>
      <c r="WWT41" s="532"/>
      <c r="WWU41" s="532"/>
      <c r="WWV41" s="532"/>
      <c r="WWW41" s="532"/>
      <c r="WWX41" s="532"/>
      <c r="WWY41" s="532"/>
      <c r="WWZ41" s="532"/>
      <c r="WXA41" s="532"/>
      <c r="WXB41" s="532"/>
      <c r="WXC41" s="532"/>
      <c r="WXD41" s="532"/>
      <c r="WXE41" s="532"/>
      <c r="WXF41" s="532"/>
      <c r="WXG41" s="532"/>
      <c r="WXH41" s="532"/>
      <c r="WXI41" s="532"/>
      <c r="WXJ41" s="532"/>
      <c r="WXK41" s="532"/>
      <c r="WXL41" s="532"/>
      <c r="WXM41" s="532"/>
      <c r="WXN41" s="532"/>
      <c r="WXO41" s="532"/>
      <c r="WXP41" s="532"/>
      <c r="WXQ41" s="532"/>
      <c r="WXR41" s="532"/>
      <c r="WXS41" s="532"/>
      <c r="WXT41" s="532"/>
      <c r="WXU41" s="532"/>
      <c r="WXV41" s="532"/>
      <c r="WXW41" s="532"/>
      <c r="WXX41" s="532"/>
      <c r="WXY41" s="532"/>
      <c r="WXZ41" s="532"/>
      <c r="WYA41" s="532"/>
      <c r="WYB41" s="532"/>
      <c r="WYC41" s="532"/>
      <c r="WYD41" s="532"/>
      <c r="WYE41" s="532"/>
      <c r="WYF41" s="532"/>
      <c r="WYG41" s="532"/>
      <c r="WYH41" s="532"/>
      <c r="WYI41" s="532"/>
      <c r="WYJ41" s="532"/>
      <c r="WYK41" s="532"/>
      <c r="WYL41" s="532"/>
      <c r="WYM41" s="532"/>
      <c r="WYN41" s="532"/>
      <c r="WYO41" s="532"/>
      <c r="WYP41" s="532"/>
      <c r="WYQ41" s="532"/>
      <c r="WYR41" s="532"/>
      <c r="WYS41" s="532"/>
      <c r="WYT41" s="532"/>
      <c r="WYU41" s="532"/>
      <c r="WYV41" s="532"/>
      <c r="WYW41" s="532"/>
      <c r="WYX41" s="532"/>
      <c r="WYY41" s="532"/>
      <c r="WYZ41" s="532"/>
      <c r="WZA41" s="532"/>
      <c r="WZB41" s="532"/>
      <c r="WZC41" s="532"/>
      <c r="WZD41" s="532"/>
      <c r="WZE41" s="532"/>
      <c r="WZF41" s="532"/>
      <c r="WZG41" s="532"/>
      <c r="WZH41" s="532"/>
      <c r="WZI41" s="532"/>
      <c r="WZJ41" s="532"/>
      <c r="WZK41" s="532"/>
      <c r="WZL41" s="532"/>
      <c r="WZM41" s="532"/>
      <c r="WZN41" s="532"/>
      <c r="WZO41" s="532"/>
      <c r="WZP41" s="532"/>
      <c r="WZQ41" s="532"/>
      <c r="WZR41" s="532"/>
      <c r="WZS41" s="532"/>
      <c r="WZT41" s="532"/>
      <c r="WZU41" s="532"/>
      <c r="WZV41" s="532"/>
      <c r="WZW41" s="532"/>
      <c r="WZX41" s="532"/>
      <c r="WZY41" s="532"/>
      <c r="WZZ41" s="532"/>
      <c r="XAA41" s="532"/>
      <c r="XAB41" s="532"/>
      <c r="XAC41" s="532"/>
      <c r="XAD41" s="532"/>
      <c r="XAE41" s="532"/>
      <c r="XAF41" s="532"/>
      <c r="XAG41" s="532"/>
      <c r="XAH41" s="532"/>
      <c r="XAI41" s="532"/>
      <c r="XAJ41" s="532"/>
      <c r="XAK41" s="532"/>
      <c r="XAL41" s="532"/>
      <c r="XAM41" s="532"/>
      <c r="XAN41" s="532"/>
      <c r="XAO41" s="532"/>
      <c r="XAP41" s="532"/>
      <c r="XAQ41" s="532"/>
      <c r="XAR41" s="532"/>
      <c r="XAS41" s="532"/>
      <c r="XAT41" s="532"/>
      <c r="XAU41" s="532"/>
      <c r="XAV41" s="532"/>
      <c r="XAW41" s="532"/>
      <c r="XAX41" s="532"/>
      <c r="XAY41" s="532"/>
      <c r="XAZ41" s="532"/>
      <c r="XBA41" s="532"/>
      <c r="XBB41" s="532"/>
      <c r="XBC41" s="532"/>
      <c r="XBD41" s="532"/>
      <c r="XBE41" s="532"/>
      <c r="XBF41" s="532"/>
      <c r="XBG41" s="532"/>
      <c r="XBH41" s="532"/>
      <c r="XBI41" s="532"/>
      <c r="XBJ41" s="532"/>
      <c r="XBK41" s="532"/>
      <c r="XBL41" s="532"/>
      <c r="XBM41" s="532"/>
      <c r="XBN41" s="532"/>
      <c r="XBO41" s="532"/>
      <c r="XBP41" s="532"/>
      <c r="XBQ41" s="532"/>
      <c r="XBR41" s="532"/>
      <c r="XBS41" s="532"/>
      <c r="XBT41" s="532"/>
      <c r="XBU41" s="532"/>
      <c r="XBV41" s="532"/>
      <c r="XBW41" s="532"/>
      <c r="XBX41" s="532"/>
      <c r="XBY41" s="532"/>
      <c r="XBZ41" s="532"/>
      <c r="XCA41" s="532"/>
      <c r="XCB41" s="532"/>
      <c r="XCC41" s="532"/>
      <c r="XCD41" s="532"/>
      <c r="XCE41" s="532"/>
      <c r="XCF41" s="532"/>
      <c r="XCG41" s="532"/>
      <c r="XCH41" s="532"/>
      <c r="XCI41" s="532"/>
      <c r="XCJ41" s="532"/>
      <c r="XCK41" s="532"/>
      <c r="XCL41" s="532"/>
      <c r="XCM41" s="532"/>
      <c r="XCN41" s="532"/>
      <c r="XCO41" s="532"/>
      <c r="XCP41" s="532"/>
      <c r="XCQ41" s="532"/>
      <c r="XCR41" s="532"/>
      <c r="XCS41" s="532"/>
      <c r="XCT41" s="532"/>
      <c r="XCU41" s="532"/>
      <c r="XCV41" s="532"/>
      <c r="XCW41" s="532"/>
      <c r="XCX41" s="532"/>
      <c r="XCY41" s="532"/>
      <c r="XCZ41" s="532"/>
      <c r="XDA41" s="532"/>
      <c r="XDB41" s="532"/>
      <c r="XDC41" s="532"/>
      <c r="XDD41" s="532"/>
      <c r="XDE41" s="532"/>
      <c r="XDF41" s="532"/>
      <c r="XDG41" s="532"/>
      <c r="XDH41" s="532"/>
      <c r="XDI41" s="532"/>
      <c r="XDJ41" s="532"/>
      <c r="XDK41" s="532"/>
      <c r="XDL41" s="532"/>
      <c r="XDM41" s="532"/>
      <c r="XDN41" s="532"/>
      <c r="XDO41" s="532"/>
      <c r="XDP41" s="532"/>
      <c r="XDQ41" s="532"/>
      <c r="XDR41" s="532"/>
      <c r="XDS41" s="532"/>
      <c r="XDT41" s="532"/>
      <c r="XDU41" s="532"/>
      <c r="XDV41" s="532"/>
      <c r="XDW41" s="532"/>
      <c r="XDX41" s="532"/>
      <c r="XDY41" s="532"/>
      <c r="XDZ41" s="532"/>
      <c r="XEA41" s="532"/>
      <c r="XEB41" s="532"/>
      <c r="XEC41" s="532"/>
      <c r="XED41" s="532"/>
      <c r="XEE41" s="532"/>
      <c r="XEF41" s="532"/>
      <c r="XEG41" s="532"/>
      <c r="XEH41" s="532"/>
      <c r="XEI41" s="532"/>
      <c r="XEJ41" s="532"/>
      <c r="XEK41" s="532"/>
      <c r="XEL41" s="532"/>
      <c r="XEM41" s="532"/>
      <c r="XEN41" s="532"/>
      <c r="XEO41" s="532"/>
      <c r="XEP41" s="532"/>
      <c r="XEQ41" s="532"/>
      <c r="XER41" s="532"/>
      <c r="XES41" s="532"/>
      <c r="XET41" s="532"/>
      <c r="XEU41" s="532"/>
      <c r="XEV41" s="532"/>
      <c r="XEW41" s="532"/>
      <c r="XEX41" s="532"/>
      <c r="XEY41" s="532"/>
      <c r="XEZ41" s="532"/>
      <c r="XFA41" s="532"/>
      <c r="XFB41" s="532"/>
      <c r="XFC41" s="532"/>
      <c r="XFD41" s="532"/>
    </row>
    <row r="43" spans="1:16384" ht="15" customHeight="1">
      <c r="A43" s="279" t="s">
        <v>150</v>
      </c>
      <c r="B43" s="280" t="s">
        <v>151</v>
      </c>
      <c r="C43" s="281" t="s">
        <v>159</v>
      </c>
      <c r="D43" s="265"/>
      <c r="E43" s="265"/>
    </row>
    <row r="44" spans="1:16384" ht="15" customHeight="1">
      <c r="A44" s="282"/>
      <c r="B44" s="280" t="s">
        <v>152</v>
      </c>
      <c r="C44" s="281" t="s">
        <v>158</v>
      </c>
      <c r="D44" s="265"/>
      <c r="E44" s="265"/>
    </row>
    <row r="45" spans="1:16384" ht="15" customHeight="1">
      <c r="A45" s="282"/>
      <c r="B45" s="283" t="s">
        <v>153</v>
      </c>
      <c r="C45" s="281" t="s">
        <v>154</v>
      </c>
      <c r="D45" s="265"/>
      <c r="E45" s="265"/>
    </row>
  </sheetData>
  <mergeCells count="210">
    <mergeCell ref="KK7:KL7"/>
    <mergeCell ref="KN7:KO7"/>
    <mergeCell ref="KQ7:KR7"/>
    <mergeCell ref="JJ7:JK7"/>
    <mergeCell ref="JM7:JN7"/>
    <mergeCell ref="JP7:JQ7"/>
    <mergeCell ref="JS7:JT7"/>
    <mergeCell ref="JV7:JW7"/>
    <mergeCell ref="JY7:JZ7"/>
    <mergeCell ref="KB7:KC7"/>
    <mergeCell ref="KE7:KF7"/>
    <mergeCell ref="KH7:KI7"/>
    <mergeCell ref="II7:IJ7"/>
    <mergeCell ref="IL7:IM7"/>
    <mergeCell ref="IO7:IP7"/>
    <mergeCell ref="IR7:IS7"/>
    <mergeCell ref="IU7:IV7"/>
    <mergeCell ref="IX7:IY7"/>
    <mergeCell ref="JA7:JB7"/>
    <mergeCell ref="JD7:JE7"/>
    <mergeCell ref="JG7:JH7"/>
    <mergeCell ref="HH7:HI7"/>
    <mergeCell ref="HK7:HL7"/>
    <mergeCell ref="HN7:HO7"/>
    <mergeCell ref="HQ7:HR7"/>
    <mergeCell ref="HT7:HU7"/>
    <mergeCell ref="HW7:HX7"/>
    <mergeCell ref="HZ7:IA7"/>
    <mergeCell ref="IC7:ID7"/>
    <mergeCell ref="IF7:IG7"/>
    <mergeCell ref="GG7:GH7"/>
    <mergeCell ref="GJ7:GK7"/>
    <mergeCell ref="GM7:GN7"/>
    <mergeCell ref="GP7:GQ7"/>
    <mergeCell ref="GS7:GT7"/>
    <mergeCell ref="GV7:GW7"/>
    <mergeCell ref="GY7:GZ7"/>
    <mergeCell ref="HB7:HC7"/>
    <mergeCell ref="HE7:HF7"/>
    <mergeCell ref="FF7:FG7"/>
    <mergeCell ref="FI7:FJ7"/>
    <mergeCell ref="FL7:FM7"/>
    <mergeCell ref="FO7:FP7"/>
    <mergeCell ref="FR7:FS7"/>
    <mergeCell ref="FU7:FV7"/>
    <mergeCell ref="FX7:FY7"/>
    <mergeCell ref="GA7:GB7"/>
    <mergeCell ref="GD7:GE7"/>
    <mergeCell ref="EE7:EF7"/>
    <mergeCell ref="EH7:EI7"/>
    <mergeCell ref="EK7:EL7"/>
    <mergeCell ref="EN7:EO7"/>
    <mergeCell ref="EQ7:ER7"/>
    <mergeCell ref="ET7:EU7"/>
    <mergeCell ref="EW7:EX7"/>
    <mergeCell ref="EZ7:FA7"/>
    <mergeCell ref="FC7:FD7"/>
    <mergeCell ref="DD7:DE7"/>
    <mergeCell ref="DG7:DH7"/>
    <mergeCell ref="DJ7:DK7"/>
    <mergeCell ref="DM7:DN7"/>
    <mergeCell ref="DP7:DQ7"/>
    <mergeCell ref="DS7:DT7"/>
    <mergeCell ref="DV7:DW7"/>
    <mergeCell ref="DY7:DZ7"/>
    <mergeCell ref="EB7:EC7"/>
    <mergeCell ref="CC7:CD7"/>
    <mergeCell ref="CF7:CG7"/>
    <mergeCell ref="CI7:CJ7"/>
    <mergeCell ref="CL7:CM7"/>
    <mergeCell ref="CO7:CP7"/>
    <mergeCell ref="CR7:CS7"/>
    <mergeCell ref="CU7:CV7"/>
    <mergeCell ref="CX7:CY7"/>
    <mergeCell ref="DA7:DB7"/>
    <mergeCell ref="KQ6:KS6"/>
    <mergeCell ref="F7:G7"/>
    <mergeCell ref="I7:J7"/>
    <mergeCell ref="L7:M7"/>
    <mergeCell ref="O7:P7"/>
    <mergeCell ref="R7:S7"/>
    <mergeCell ref="U7:V7"/>
    <mergeCell ref="X7:Y7"/>
    <mergeCell ref="AA7:AB7"/>
    <mergeCell ref="AD7:AE7"/>
    <mergeCell ref="AG7:AH7"/>
    <mergeCell ref="AJ7:AK7"/>
    <mergeCell ref="AM7:AN7"/>
    <mergeCell ref="AP7:AQ7"/>
    <mergeCell ref="AS7:AT7"/>
    <mergeCell ref="AV7:AW7"/>
    <mergeCell ref="AY7:AZ7"/>
    <mergeCell ref="BB7:BC7"/>
    <mergeCell ref="BK7:BL7"/>
    <mergeCell ref="BN7:BO7"/>
    <mergeCell ref="BQ7:BR7"/>
    <mergeCell ref="BT7:BU7"/>
    <mergeCell ref="BW7:BX7"/>
    <mergeCell ref="BZ7:CA7"/>
    <mergeCell ref="JP6:JR6"/>
    <mergeCell ref="JS6:JU6"/>
    <mergeCell ref="JV6:JX6"/>
    <mergeCell ref="JY6:KA6"/>
    <mergeCell ref="KB6:KD6"/>
    <mergeCell ref="KE6:KG6"/>
    <mergeCell ref="KH6:KJ6"/>
    <mergeCell ref="KK6:KM6"/>
    <mergeCell ref="KN6:KP6"/>
    <mergeCell ref="IO6:IQ6"/>
    <mergeCell ref="IR6:IT6"/>
    <mergeCell ref="IU6:IW6"/>
    <mergeCell ref="IX6:IZ6"/>
    <mergeCell ref="JA6:JC6"/>
    <mergeCell ref="JD6:JF6"/>
    <mergeCell ref="JG6:JI6"/>
    <mergeCell ref="JJ6:JL6"/>
    <mergeCell ref="JM6:JO6"/>
    <mergeCell ref="HN6:HP6"/>
    <mergeCell ref="HQ6:HS6"/>
    <mergeCell ref="HT6:HV6"/>
    <mergeCell ref="HW6:HY6"/>
    <mergeCell ref="HZ6:IB6"/>
    <mergeCell ref="IC6:IE6"/>
    <mergeCell ref="IF6:IH6"/>
    <mergeCell ref="II6:IK6"/>
    <mergeCell ref="IL6:IN6"/>
    <mergeCell ref="GM6:GO6"/>
    <mergeCell ref="GP6:GR6"/>
    <mergeCell ref="GS6:GU6"/>
    <mergeCell ref="GV6:GX6"/>
    <mergeCell ref="GY6:HA6"/>
    <mergeCell ref="HB6:HD6"/>
    <mergeCell ref="HE6:HG6"/>
    <mergeCell ref="HH6:HJ6"/>
    <mergeCell ref="HK6:HM6"/>
    <mergeCell ref="FL6:FN6"/>
    <mergeCell ref="FO6:FQ6"/>
    <mergeCell ref="FR6:FT6"/>
    <mergeCell ref="FU6:FW6"/>
    <mergeCell ref="FX6:FZ6"/>
    <mergeCell ref="GA6:GC6"/>
    <mergeCell ref="GD6:GF6"/>
    <mergeCell ref="GG6:GI6"/>
    <mergeCell ref="GJ6:GL6"/>
    <mergeCell ref="EK6:EM6"/>
    <mergeCell ref="EN6:EP6"/>
    <mergeCell ref="EQ6:ES6"/>
    <mergeCell ref="ET6:EV6"/>
    <mergeCell ref="EW6:EY6"/>
    <mergeCell ref="EZ6:FB6"/>
    <mergeCell ref="FC6:FE6"/>
    <mergeCell ref="FF6:FH6"/>
    <mergeCell ref="FI6:FK6"/>
    <mergeCell ref="DJ6:DL6"/>
    <mergeCell ref="DM6:DO6"/>
    <mergeCell ref="DP6:DR6"/>
    <mergeCell ref="DS6:DU6"/>
    <mergeCell ref="DV6:DX6"/>
    <mergeCell ref="DY6:EA6"/>
    <mergeCell ref="EB6:ED6"/>
    <mergeCell ref="EE6:EG6"/>
    <mergeCell ref="EH6:EJ6"/>
    <mergeCell ref="GD5:KS5"/>
    <mergeCell ref="KT5:KT8"/>
    <mergeCell ref="KU5:KU8"/>
    <mergeCell ref="F6:H6"/>
    <mergeCell ref="I6:K6"/>
    <mergeCell ref="L6:N6"/>
    <mergeCell ref="O6:Q6"/>
    <mergeCell ref="R6:T6"/>
    <mergeCell ref="U6:W6"/>
    <mergeCell ref="X6:Z6"/>
    <mergeCell ref="AA6:AC6"/>
    <mergeCell ref="AD6:AF6"/>
    <mergeCell ref="AG6:AI6"/>
    <mergeCell ref="AJ6:AL6"/>
    <mergeCell ref="AM6:AO6"/>
    <mergeCell ref="AP6:AR6"/>
    <mergeCell ref="AS6:AU6"/>
    <mergeCell ref="AV6:AX6"/>
    <mergeCell ref="AY6:BA6"/>
    <mergeCell ref="BB6:BD6"/>
    <mergeCell ref="BE6:BG6"/>
    <mergeCell ref="BH6:BJ6"/>
    <mergeCell ref="BK6:BM6"/>
    <mergeCell ref="BN6:BP6"/>
    <mergeCell ref="A41:C41"/>
    <mergeCell ref="A6:A8"/>
    <mergeCell ref="B6:B8"/>
    <mergeCell ref="C6:C8"/>
    <mergeCell ref="E6:E8"/>
    <mergeCell ref="D6:D8"/>
    <mergeCell ref="F5:GC5"/>
    <mergeCell ref="BQ6:BS6"/>
    <mergeCell ref="BT6:BV6"/>
    <mergeCell ref="BW6:BY6"/>
    <mergeCell ref="BZ6:CB6"/>
    <mergeCell ref="CC6:CE6"/>
    <mergeCell ref="BE7:BF7"/>
    <mergeCell ref="BH7:BI7"/>
    <mergeCell ref="CF6:CH6"/>
    <mergeCell ref="CI6:CK6"/>
    <mergeCell ref="CL6:CN6"/>
    <mergeCell ref="CO6:CQ6"/>
    <mergeCell ref="CR6:CT6"/>
    <mergeCell ref="CU6:CW6"/>
    <mergeCell ref="CX6:CZ6"/>
    <mergeCell ref="DA6:DC6"/>
    <mergeCell ref="DD6:DF6"/>
    <mergeCell ref="DG6:DI6"/>
  </mergeCells>
  <phoneticPr fontId="31"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G48"/>
  <sheetViews>
    <sheetView zoomScale="85" workbookViewId="0">
      <pane xSplit="5" ySplit="9" topLeftCell="F22" activePane="bottomRight" state="frozen"/>
      <selection pane="topRight"/>
      <selection pane="bottomLeft"/>
      <selection pane="bottomRight" activeCell="EV24" sqref="EV23:EV24"/>
    </sheetView>
  </sheetViews>
  <sheetFormatPr defaultColWidth="9.140625" defaultRowHeight="12.75"/>
  <cols>
    <col min="1" max="1" width="8" customWidth="1"/>
    <col min="4" max="4" width="12.5703125" customWidth="1"/>
    <col min="5" max="6" width="10" customWidth="1"/>
    <col min="7" max="7" width="13.140625" hidden="1" customWidth="1"/>
    <col min="8" max="8" width="8.85546875" hidden="1" customWidth="1"/>
    <col min="9" max="9" width="10.285156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0.570312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 customWidth="1"/>
    <col min="79" max="79" width="10.5703125" hidden="1" customWidth="1"/>
    <col min="80" max="80" width="13.140625" hidden="1" customWidth="1"/>
    <col min="81" max="81" width="11.5703125" hidden="1" customWidth="1"/>
    <col min="82" max="82" width="13.140625" hidden="1" customWidth="1"/>
    <col min="83" max="83" width="10.5703125" hidden="1" customWidth="1"/>
    <col min="84" max="84" width="7" hidden="1" customWidth="1"/>
    <col min="85" max="85" width="10.5703125" hidden="1" customWidth="1"/>
    <col min="86" max="86" width="7" hidden="1" customWidth="1"/>
    <col min="87" max="87" width="11.5703125" bestFit="1" customWidth="1"/>
    <col min="88" max="88" width="7" bestFit="1" customWidth="1"/>
    <col min="89" max="89" width="11.5703125" customWidth="1"/>
    <col min="90" max="90" width="7" bestFit="1" customWidth="1"/>
    <col min="91" max="91" width="12.7109375" hidden="1" customWidth="1"/>
    <col min="92" max="92" width="8" hidden="1" customWidth="1"/>
    <col min="93" max="93" width="12.140625" hidden="1" customWidth="1"/>
    <col min="94" max="94" width="7" hidden="1" customWidth="1"/>
    <col min="95" max="95" width="11.5703125" hidden="1" customWidth="1"/>
    <col min="96" max="96" width="7.7109375" hidden="1" customWidth="1"/>
    <col min="97" max="97" width="11.42578125" hidden="1" customWidth="1"/>
    <col min="98" max="98" width="7.7109375" hidden="1" customWidth="1"/>
    <col min="99" max="99" width="13.140625" hidden="1" customWidth="1"/>
    <col min="100" max="100" width="7.7109375" hidden="1" customWidth="1"/>
    <col min="101" max="101" width="13.140625" hidden="1" customWidth="1"/>
    <col min="102" max="102" width="8.85546875" hidden="1" customWidth="1"/>
    <col min="103" max="103" width="12.85546875" hidden="1" customWidth="1"/>
    <col min="104" max="104" width="7.7109375" hidden="1" customWidth="1"/>
    <col min="105" max="105" width="12.42578125" hidden="1" customWidth="1"/>
    <col min="106" max="106" width="7.7109375" hidden="1" customWidth="1"/>
    <col min="107" max="107" width="17.7109375" hidden="1" customWidth="1"/>
    <col min="108" max="108" width="12.28515625" hidden="1" customWidth="1"/>
    <col min="109" max="109" width="14.42578125" hidden="1" customWidth="1"/>
    <col min="110" max="110" width="9.42578125" hidden="1" customWidth="1"/>
    <col min="111" max="111" width="17.7109375" hidden="1" customWidth="1"/>
    <col min="112" max="112" width="9.28515625" hidden="1" customWidth="1"/>
    <col min="113" max="113" width="14.42578125" hidden="1" customWidth="1"/>
    <col min="114" max="114" width="8.140625" hidden="1" customWidth="1"/>
    <col min="115" max="115" width="10.28515625" hidden="1" customWidth="1"/>
    <col min="116" max="116" width="8.140625" hidden="1" customWidth="1"/>
    <col min="117" max="117" width="11.42578125" hidden="1" customWidth="1"/>
    <col min="118" max="118" width="7" hidden="1" customWidth="1"/>
    <col min="119" max="119" width="12.140625" hidden="1" customWidth="1"/>
    <col min="120" max="120" width="8" hidden="1" customWidth="1"/>
    <col min="121" max="121" width="12.140625" hidden="1" customWidth="1"/>
    <col min="122" max="122" width="9.140625" hidden="1" customWidth="1"/>
    <col min="123" max="123" width="12.28515625" hidden="1" customWidth="1"/>
    <col min="124" max="124" width="7.7109375" hidden="1" customWidth="1"/>
    <col min="125" max="125" width="11.42578125" hidden="1" customWidth="1"/>
    <col min="126" max="126" width="7.7109375" hidden="1" customWidth="1"/>
    <col min="127" max="127" width="13.7109375" customWidth="1"/>
    <col min="128" max="128" width="8.140625" customWidth="1"/>
    <col min="129" max="129" width="13.140625" customWidth="1"/>
    <col min="130" max="130" width="8.140625" customWidth="1"/>
    <col min="131" max="131" width="12.140625" hidden="1" customWidth="1"/>
    <col min="132" max="132" width="7.7109375" hidden="1" customWidth="1"/>
    <col min="133" max="133" width="12.140625" hidden="1" customWidth="1"/>
    <col min="134" max="134" width="7.7109375" hidden="1" customWidth="1"/>
    <col min="135" max="135" width="13.28515625" hidden="1" customWidth="1"/>
    <col min="136" max="136" width="8.85546875" hidden="1" customWidth="1"/>
    <col min="137" max="137" width="15.28515625" hidden="1" customWidth="1"/>
    <col min="138" max="138" width="7.7109375" hidden="1" customWidth="1"/>
    <col min="139" max="139" width="13.28515625" hidden="1" customWidth="1"/>
    <col min="140" max="140" width="8.140625" hidden="1" customWidth="1"/>
    <col min="141" max="141" width="11.42578125" hidden="1" customWidth="1"/>
    <col min="142" max="142" width="7.7109375" hidden="1" customWidth="1"/>
    <col min="143" max="143" width="10.5703125" bestFit="1" customWidth="1"/>
    <col min="144" max="144" width="9.28515625" customWidth="1"/>
    <col min="145" max="145" width="14.42578125" customWidth="1"/>
    <col min="146" max="146" width="10" customWidth="1"/>
    <col min="147" max="147" width="15.42578125" hidden="1" customWidth="1"/>
    <col min="148" max="148" width="8.7109375" hidden="1" customWidth="1"/>
    <col min="149" max="149" width="12.85546875" hidden="1" customWidth="1"/>
    <col min="150" max="150" width="8.42578125" hidden="1" customWidth="1"/>
    <col min="151" max="151" width="17.7109375" bestFit="1" customWidth="1"/>
    <col min="152" max="152" width="14.42578125" bestFit="1" customWidth="1"/>
    <col min="153" max="153" width="8.85546875" bestFit="1" customWidth="1"/>
    <col min="154" max="154" width="10.28515625" bestFit="1" customWidth="1"/>
    <col min="155" max="155" width="13.28515625" hidden="1" customWidth="1"/>
    <col min="156" max="156" width="10.42578125" hidden="1" customWidth="1"/>
    <col min="157" max="157" width="12.28515625" customWidth="1"/>
    <col min="158" max="158" width="15.42578125" bestFit="1" customWidth="1"/>
    <col min="159" max="159" width="10.42578125" bestFit="1" customWidth="1"/>
    <col min="162" max="162" width="10.42578125" bestFit="1" customWidth="1"/>
  </cols>
  <sheetData>
    <row r="1" spans="1:157" ht="15.75">
      <c r="A1" s="151"/>
      <c r="DB1" s="4"/>
      <c r="DG1" s="257"/>
      <c r="DV1" t="s">
        <v>1</v>
      </c>
    </row>
    <row r="2" spans="1:157" ht="15.75">
      <c r="A2" s="151"/>
      <c r="DG2" s="257"/>
    </row>
    <row r="3" spans="1:157" ht="15">
      <c r="A3" s="153"/>
      <c r="DG3" s="257"/>
    </row>
    <row r="4" spans="1:157" ht="15.75">
      <c r="A4" s="154" t="s">
        <v>388</v>
      </c>
      <c r="G4" s="15"/>
      <c r="AV4" s="21"/>
      <c r="AY4" s="15"/>
      <c r="DC4" s="15"/>
      <c r="DG4" s="257"/>
      <c r="EF4" s="21"/>
    </row>
    <row r="5" spans="1:157" ht="15.75">
      <c r="A5" s="154"/>
      <c r="G5" s="15"/>
      <c r="AY5" s="15"/>
      <c r="DC5" s="15"/>
      <c r="DG5" s="15"/>
    </row>
    <row r="6" spans="1:157" ht="18">
      <c r="A6" s="258"/>
      <c r="DC6" s="15"/>
      <c r="DG6" s="15"/>
      <c r="EN6" s="15"/>
      <c r="EO6" s="15"/>
      <c r="EP6" s="15"/>
      <c r="EV6" s="15"/>
    </row>
    <row r="7" spans="1:157" ht="16.5" thickBot="1">
      <c r="A7" s="259"/>
      <c r="B7" s="259"/>
      <c r="C7" s="259"/>
      <c r="D7" s="259"/>
      <c r="E7" s="259"/>
      <c r="F7" s="259"/>
      <c r="G7" s="491">
        <v>250</v>
      </c>
      <c r="K7" s="259">
        <v>250.01900000000001</v>
      </c>
      <c r="O7" s="462">
        <v>214.10599999999999</v>
      </c>
      <c r="S7">
        <v>250</v>
      </c>
      <c r="W7" s="260">
        <v>228.40600000000001</v>
      </c>
      <c r="X7" s="260"/>
      <c r="Y7" s="260"/>
      <c r="Z7" s="260"/>
      <c r="BG7">
        <v>200.64</v>
      </c>
      <c r="BK7" s="259"/>
      <c r="BL7" s="259"/>
      <c r="BM7" s="259"/>
      <c r="BN7" s="259"/>
      <c r="BO7" s="259"/>
      <c r="BP7" s="259"/>
      <c r="BQ7" s="259"/>
      <c r="BR7" s="259"/>
      <c r="BS7" s="259"/>
      <c r="BT7" s="259"/>
      <c r="BU7" s="259"/>
      <c r="BV7" s="259"/>
      <c r="BW7" s="259"/>
      <c r="BX7" s="259"/>
      <c r="BY7" s="260"/>
      <c r="BZ7" s="260"/>
      <c r="CA7" s="584">
        <v>251.43899999999999</v>
      </c>
      <c r="CB7" s="260"/>
      <c r="CC7" s="260"/>
      <c r="CD7" s="260"/>
      <c r="CE7" s="260">
        <v>250</v>
      </c>
      <c r="CF7" s="260"/>
      <c r="CG7" s="260"/>
      <c r="CH7" s="260"/>
      <c r="CI7" s="260"/>
      <c r="CJ7" s="260"/>
      <c r="CK7" s="260"/>
      <c r="CL7" s="260"/>
      <c r="CM7" s="259"/>
      <c r="CN7" s="259"/>
      <c r="CO7" s="259"/>
      <c r="CP7" s="259"/>
      <c r="CQ7" s="259"/>
      <c r="CR7" s="259"/>
      <c r="CS7" s="259"/>
      <c r="CT7" s="259"/>
      <c r="DC7" s="259"/>
      <c r="DD7" s="259"/>
      <c r="DE7" s="259"/>
      <c r="DF7" s="259"/>
      <c r="DG7" s="259"/>
      <c r="DH7" s="259"/>
      <c r="DI7" s="259"/>
      <c r="DJ7" s="259"/>
      <c r="DK7" s="259"/>
      <c r="DL7" s="259"/>
      <c r="DM7" s="259"/>
      <c r="DN7" s="259"/>
      <c r="DO7" s="259"/>
      <c r="DP7" s="259"/>
      <c r="DQ7" s="259"/>
      <c r="DR7" s="259"/>
      <c r="DV7" s="259"/>
      <c r="DW7" s="259"/>
      <c r="DX7" s="259"/>
      <c r="DY7" s="259"/>
      <c r="DZ7" s="259"/>
      <c r="EA7" s="259">
        <v>250</v>
      </c>
      <c r="EB7" s="259"/>
      <c r="EC7" s="259"/>
      <c r="ED7" s="259"/>
      <c r="EE7" s="259"/>
      <c r="EF7" s="259"/>
      <c r="EG7" s="259"/>
      <c r="EH7" s="259"/>
      <c r="EI7" s="259"/>
      <c r="EJ7" s="259"/>
      <c r="EK7" s="259"/>
      <c r="EL7" s="259"/>
      <c r="EM7" s="260"/>
      <c r="EN7" s="260"/>
      <c r="EO7" s="259"/>
      <c r="EP7" s="259"/>
      <c r="EQ7" s="259"/>
      <c r="ER7" s="259"/>
      <c r="ES7" s="259"/>
      <c r="ET7" s="259"/>
      <c r="EU7" s="259"/>
      <c r="EV7" s="259"/>
      <c r="EW7" s="259"/>
      <c r="EX7" s="259"/>
    </row>
    <row r="8" spans="1:157" ht="38.25" customHeight="1" thickTop="1">
      <c r="A8" s="748" t="s">
        <v>30</v>
      </c>
      <c r="B8" s="748" t="s">
        <v>6</v>
      </c>
      <c r="C8" s="748" t="s">
        <v>7</v>
      </c>
      <c r="D8" s="750" t="s">
        <v>45</v>
      </c>
      <c r="E8" s="752" t="s">
        <v>43</v>
      </c>
      <c r="F8" s="753"/>
      <c r="G8" s="745" t="s">
        <v>437</v>
      </c>
      <c r="H8" s="746"/>
      <c r="I8" s="746"/>
      <c r="J8" s="747"/>
      <c r="K8" s="745" t="s">
        <v>281</v>
      </c>
      <c r="L8" s="746"/>
      <c r="M8" s="746"/>
      <c r="N8" s="747"/>
      <c r="O8" s="745" t="s">
        <v>381</v>
      </c>
      <c r="P8" s="746"/>
      <c r="Q8" s="746"/>
      <c r="R8" s="747"/>
      <c r="S8" s="745" t="s">
        <v>369</v>
      </c>
      <c r="T8" s="746"/>
      <c r="U8" s="746"/>
      <c r="V8" s="747"/>
      <c r="W8" s="745" t="s">
        <v>376</v>
      </c>
      <c r="X8" s="746"/>
      <c r="Y8" s="746"/>
      <c r="Z8" s="746"/>
      <c r="AA8" s="745" t="s">
        <v>47</v>
      </c>
      <c r="AB8" s="746"/>
      <c r="AC8" s="746"/>
      <c r="AD8" s="747"/>
      <c r="AE8" s="745" t="s">
        <v>104</v>
      </c>
      <c r="AF8" s="746"/>
      <c r="AG8" s="746"/>
      <c r="AH8" s="747"/>
      <c r="AI8" s="745" t="s">
        <v>48</v>
      </c>
      <c r="AJ8" s="746"/>
      <c r="AK8" s="746"/>
      <c r="AL8" s="747"/>
      <c r="AM8" s="745" t="s">
        <v>49</v>
      </c>
      <c r="AN8" s="746"/>
      <c r="AO8" s="746"/>
      <c r="AP8" s="747"/>
      <c r="AQ8" s="745" t="s">
        <v>50</v>
      </c>
      <c r="AR8" s="746"/>
      <c r="AS8" s="746"/>
      <c r="AT8" s="747"/>
      <c r="AU8" s="745" t="s">
        <v>51</v>
      </c>
      <c r="AV8" s="746"/>
      <c r="AW8" s="746"/>
      <c r="AX8" s="747"/>
      <c r="AY8" s="745" t="s">
        <v>52</v>
      </c>
      <c r="AZ8" s="746"/>
      <c r="BA8" s="746"/>
      <c r="BB8" s="747"/>
      <c r="BC8" s="745" t="s">
        <v>53</v>
      </c>
      <c r="BD8" s="746"/>
      <c r="BE8" s="746"/>
      <c r="BF8" s="747"/>
      <c r="BG8" s="745" t="s">
        <v>54</v>
      </c>
      <c r="BH8" s="746"/>
      <c r="BI8" s="746"/>
      <c r="BJ8" s="747"/>
      <c r="BK8" s="745" t="s">
        <v>46</v>
      </c>
      <c r="BL8" s="746"/>
      <c r="BM8" s="746"/>
      <c r="BN8" s="747"/>
      <c r="BO8" s="745" t="s">
        <v>55</v>
      </c>
      <c r="BP8" s="746"/>
      <c r="BQ8" s="746"/>
      <c r="BR8" s="747"/>
      <c r="BS8" s="745" t="s">
        <v>56</v>
      </c>
      <c r="BT8" s="746"/>
      <c r="BU8" s="746"/>
      <c r="BV8" s="747"/>
      <c r="BW8" s="745" t="s">
        <v>57</v>
      </c>
      <c r="BX8" s="746"/>
      <c r="BY8" s="746"/>
      <c r="BZ8" s="746"/>
      <c r="CA8" s="745" t="s">
        <v>401</v>
      </c>
      <c r="CB8" s="746"/>
      <c r="CC8" s="746"/>
      <c r="CD8" s="746"/>
      <c r="CE8" s="745" t="s">
        <v>378</v>
      </c>
      <c r="CF8" s="746"/>
      <c r="CG8" s="746"/>
      <c r="CH8" s="746"/>
      <c r="CI8" s="745" t="s">
        <v>371</v>
      </c>
      <c r="CJ8" s="746"/>
      <c r="CK8" s="746"/>
      <c r="CL8" s="746"/>
      <c r="CM8" s="745" t="s">
        <v>190</v>
      </c>
      <c r="CN8" s="746"/>
      <c r="CO8" s="746"/>
      <c r="CP8" s="747"/>
      <c r="CQ8" s="745" t="s">
        <v>438</v>
      </c>
      <c r="CR8" s="746"/>
      <c r="CS8" s="746"/>
      <c r="CT8" s="746"/>
      <c r="CU8" s="755" t="s">
        <v>439</v>
      </c>
      <c r="CV8" s="756"/>
      <c r="CW8" s="756"/>
      <c r="CX8" s="757"/>
      <c r="CY8" s="755" t="s">
        <v>440</v>
      </c>
      <c r="CZ8" s="756"/>
      <c r="DA8" s="756"/>
      <c r="DB8" s="757"/>
      <c r="DC8" s="746" t="s">
        <v>441</v>
      </c>
      <c r="DD8" s="746"/>
      <c r="DE8" s="746"/>
      <c r="DF8" s="747"/>
      <c r="DG8" s="745" t="s">
        <v>463</v>
      </c>
      <c r="DH8" s="746"/>
      <c r="DI8" s="746"/>
      <c r="DJ8" s="747"/>
      <c r="DK8" s="745" t="s">
        <v>370</v>
      </c>
      <c r="DL8" s="746"/>
      <c r="DM8" s="746"/>
      <c r="DN8" s="747"/>
      <c r="DO8" s="745" t="s">
        <v>282</v>
      </c>
      <c r="DP8" s="746"/>
      <c r="DQ8" s="746"/>
      <c r="DR8" s="747"/>
      <c r="DS8" s="745" t="s">
        <v>382</v>
      </c>
      <c r="DT8" s="746"/>
      <c r="DU8" s="746"/>
      <c r="DV8" s="747"/>
      <c r="DW8" s="745" t="s">
        <v>283</v>
      </c>
      <c r="DX8" s="746"/>
      <c r="DY8" s="746"/>
      <c r="DZ8" s="747"/>
      <c r="EA8" s="745" t="s">
        <v>708</v>
      </c>
      <c r="EB8" s="746"/>
      <c r="EC8" s="746"/>
      <c r="ED8" s="747"/>
      <c r="EE8" s="745" t="s">
        <v>284</v>
      </c>
      <c r="EF8" s="746"/>
      <c r="EG8" s="746"/>
      <c r="EH8" s="747"/>
      <c r="EI8" s="745" t="s">
        <v>285</v>
      </c>
      <c r="EJ8" s="746"/>
      <c r="EK8" s="746"/>
      <c r="EL8" s="747"/>
      <c r="EM8" s="745" t="s">
        <v>103</v>
      </c>
      <c r="EN8" s="746"/>
      <c r="EO8" s="746"/>
      <c r="EP8" s="746"/>
      <c r="EQ8" s="745"/>
      <c r="ER8" s="746"/>
      <c r="ES8" s="746"/>
      <c r="ET8" s="747"/>
      <c r="EU8" s="745" t="s">
        <v>58</v>
      </c>
      <c r="EV8" s="747"/>
      <c r="EW8" s="745" t="s">
        <v>59</v>
      </c>
      <c r="EX8" s="747"/>
      <c r="EY8" s="754" t="s">
        <v>286</v>
      </c>
      <c r="EZ8" s="754"/>
      <c r="FA8" s="492" t="s">
        <v>287</v>
      </c>
    </row>
    <row r="9" spans="1:157">
      <c r="A9" s="749"/>
      <c r="B9" s="749"/>
      <c r="C9" s="749"/>
      <c r="D9" s="751"/>
      <c r="E9" s="2" t="s">
        <v>41</v>
      </c>
      <c r="F9" s="490" t="s">
        <v>42</v>
      </c>
      <c r="G9" s="10" t="s">
        <v>41</v>
      </c>
      <c r="H9" s="10" t="s">
        <v>12</v>
      </c>
      <c r="I9" s="489" t="s">
        <v>42</v>
      </c>
      <c r="J9" s="489" t="s">
        <v>12</v>
      </c>
      <c r="K9" s="10" t="s">
        <v>41</v>
      </c>
      <c r="L9" s="10" t="s">
        <v>12</v>
      </c>
      <c r="M9" s="489" t="s">
        <v>42</v>
      </c>
      <c r="N9" s="489" t="s">
        <v>12</v>
      </c>
      <c r="O9" s="10" t="s">
        <v>41</v>
      </c>
      <c r="P9" s="10" t="s">
        <v>12</v>
      </c>
      <c r="Q9" s="489" t="s">
        <v>42</v>
      </c>
      <c r="R9" s="489" t="s">
        <v>12</v>
      </c>
      <c r="S9" s="10" t="s">
        <v>41</v>
      </c>
      <c r="T9" s="10" t="s">
        <v>12</v>
      </c>
      <c r="U9" s="489" t="s">
        <v>42</v>
      </c>
      <c r="V9" s="489" t="s">
        <v>12</v>
      </c>
      <c r="W9" s="10" t="s">
        <v>41</v>
      </c>
      <c r="X9" s="10" t="s">
        <v>12</v>
      </c>
      <c r="Y9" s="489" t="s">
        <v>42</v>
      </c>
      <c r="Z9" s="489" t="s">
        <v>12</v>
      </c>
      <c r="AA9" s="10" t="s">
        <v>41</v>
      </c>
      <c r="AB9" s="10" t="s">
        <v>12</v>
      </c>
      <c r="AC9" s="489" t="s">
        <v>42</v>
      </c>
      <c r="AD9" s="489" t="s">
        <v>12</v>
      </c>
      <c r="AE9" s="10" t="s">
        <v>41</v>
      </c>
      <c r="AF9" s="10" t="s">
        <v>12</v>
      </c>
      <c r="AG9" s="489" t="s">
        <v>42</v>
      </c>
      <c r="AH9" s="489" t="s">
        <v>12</v>
      </c>
      <c r="AI9" s="489" t="s">
        <v>41</v>
      </c>
      <c r="AJ9" s="489" t="s">
        <v>12</v>
      </c>
      <c r="AK9" s="489" t="s">
        <v>42</v>
      </c>
      <c r="AL9" s="489" t="s">
        <v>12</v>
      </c>
      <c r="AM9" s="489" t="s">
        <v>41</v>
      </c>
      <c r="AN9" s="489" t="s">
        <v>12</v>
      </c>
      <c r="AO9" s="489" t="s">
        <v>42</v>
      </c>
      <c r="AP9" s="489" t="s">
        <v>12</v>
      </c>
      <c r="AQ9" s="489" t="s">
        <v>41</v>
      </c>
      <c r="AR9" s="489" t="s">
        <v>12</v>
      </c>
      <c r="AS9" s="489" t="s">
        <v>42</v>
      </c>
      <c r="AT9" s="489" t="s">
        <v>12</v>
      </c>
      <c r="AU9" s="489" t="s">
        <v>41</v>
      </c>
      <c r="AV9" s="489" t="s">
        <v>12</v>
      </c>
      <c r="AW9" s="489" t="s">
        <v>42</v>
      </c>
      <c r="AX9" s="489" t="s">
        <v>12</v>
      </c>
      <c r="AY9" s="489" t="s">
        <v>41</v>
      </c>
      <c r="AZ9" s="489" t="s">
        <v>12</v>
      </c>
      <c r="BA9" s="489" t="s">
        <v>42</v>
      </c>
      <c r="BB9" s="489" t="s">
        <v>12</v>
      </c>
      <c r="BC9" s="489" t="s">
        <v>41</v>
      </c>
      <c r="BD9" s="489" t="s">
        <v>12</v>
      </c>
      <c r="BE9" s="489" t="s">
        <v>42</v>
      </c>
      <c r="BF9" s="489" t="s">
        <v>12</v>
      </c>
      <c r="BG9" s="489" t="s">
        <v>41</v>
      </c>
      <c r="BH9" s="489" t="s">
        <v>12</v>
      </c>
      <c r="BI9" s="489" t="s">
        <v>42</v>
      </c>
      <c r="BJ9" s="489" t="s">
        <v>12</v>
      </c>
      <c r="BK9" s="489" t="s">
        <v>41</v>
      </c>
      <c r="BL9" s="489" t="s">
        <v>12</v>
      </c>
      <c r="BM9" s="489" t="s">
        <v>42</v>
      </c>
      <c r="BN9" s="489" t="s">
        <v>12</v>
      </c>
      <c r="BO9" s="489" t="s">
        <v>41</v>
      </c>
      <c r="BP9" s="489" t="s">
        <v>12</v>
      </c>
      <c r="BQ9" s="489" t="s">
        <v>42</v>
      </c>
      <c r="BR9" s="489" t="s">
        <v>12</v>
      </c>
      <c r="BS9" s="489" t="s">
        <v>41</v>
      </c>
      <c r="BT9" s="489" t="s">
        <v>12</v>
      </c>
      <c r="BU9" s="489" t="s">
        <v>42</v>
      </c>
      <c r="BV9" s="489" t="s">
        <v>12</v>
      </c>
      <c r="BW9" s="489" t="s">
        <v>41</v>
      </c>
      <c r="BX9" s="489" t="s">
        <v>12</v>
      </c>
      <c r="BY9" s="489" t="s">
        <v>42</v>
      </c>
      <c r="BZ9" s="489" t="s">
        <v>12</v>
      </c>
      <c r="CA9" s="555" t="s">
        <v>41</v>
      </c>
      <c r="CB9" s="555" t="s">
        <v>12</v>
      </c>
      <c r="CC9" s="555" t="s">
        <v>42</v>
      </c>
      <c r="CD9" s="555" t="s">
        <v>12</v>
      </c>
      <c r="CE9" s="555" t="s">
        <v>41</v>
      </c>
      <c r="CF9" s="555" t="s">
        <v>12</v>
      </c>
      <c r="CG9" s="555" t="s">
        <v>42</v>
      </c>
      <c r="CH9" s="555" t="s">
        <v>12</v>
      </c>
      <c r="CI9" s="555" t="s">
        <v>41</v>
      </c>
      <c r="CJ9" s="555" t="s">
        <v>12</v>
      </c>
      <c r="CK9" s="555" t="s">
        <v>42</v>
      </c>
      <c r="CL9" s="555" t="s">
        <v>12</v>
      </c>
      <c r="CM9" s="489" t="s">
        <v>41</v>
      </c>
      <c r="CN9" s="489" t="s">
        <v>12</v>
      </c>
      <c r="CO9" s="489" t="s">
        <v>42</v>
      </c>
      <c r="CP9" s="489" t="s">
        <v>12</v>
      </c>
      <c r="CQ9" s="489" t="s">
        <v>41</v>
      </c>
      <c r="CR9" s="489" t="s">
        <v>12</v>
      </c>
      <c r="CS9" s="489" t="s">
        <v>42</v>
      </c>
      <c r="CT9" s="489" t="s">
        <v>12</v>
      </c>
      <c r="CU9" s="489" t="s">
        <v>41</v>
      </c>
      <c r="CV9" s="489" t="s">
        <v>12</v>
      </c>
      <c r="CW9" s="489" t="s">
        <v>42</v>
      </c>
      <c r="CX9" s="489" t="s">
        <v>12</v>
      </c>
      <c r="CY9" s="489" t="s">
        <v>41</v>
      </c>
      <c r="CZ9" s="489" t="s">
        <v>12</v>
      </c>
      <c r="DA9" s="489" t="s">
        <v>42</v>
      </c>
      <c r="DB9" s="489" t="s">
        <v>12</v>
      </c>
      <c r="DC9" s="489" t="s">
        <v>41</v>
      </c>
      <c r="DD9" s="489" t="s">
        <v>12</v>
      </c>
      <c r="DE9" s="489" t="s">
        <v>42</v>
      </c>
      <c r="DF9" s="489" t="s">
        <v>12</v>
      </c>
      <c r="DG9" s="489" t="s">
        <v>41</v>
      </c>
      <c r="DH9" s="489" t="s">
        <v>12</v>
      </c>
      <c r="DI9" s="489" t="s">
        <v>42</v>
      </c>
      <c r="DJ9" s="489" t="s">
        <v>12</v>
      </c>
      <c r="DK9" s="561" t="s">
        <v>41</v>
      </c>
      <c r="DL9" s="561" t="s">
        <v>12</v>
      </c>
      <c r="DM9" s="561" t="s">
        <v>42</v>
      </c>
      <c r="DN9" s="561" t="s">
        <v>12</v>
      </c>
      <c r="DO9" s="489" t="s">
        <v>41</v>
      </c>
      <c r="DP9" s="489" t="s">
        <v>12</v>
      </c>
      <c r="DQ9" s="489" t="s">
        <v>42</v>
      </c>
      <c r="DR9" s="489" t="s">
        <v>12</v>
      </c>
      <c r="DS9" s="489" t="s">
        <v>41</v>
      </c>
      <c r="DT9" s="489" t="s">
        <v>12</v>
      </c>
      <c r="DU9" s="489" t="s">
        <v>42</v>
      </c>
      <c r="DV9" s="489" t="s">
        <v>12</v>
      </c>
      <c r="DW9" s="489" t="s">
        <v>41</v>
      </c>
      <c r="DX9" s="489" t="s">
        <v>12</v>
      </c>
      <c r="DY9" s="489" t="s">
        <v>42</v>
      </c>
      <c r="DZ9" s="489" t="s">
        <v>12</v>
      </c>
      <c r="EA9" s="489" t="s">
        <v>41</v>
      </c>
      <c r="EB9" s="489" t="s">
        <v>12</v>
      </c>
      <c r="EC9" s="489" t="s">
        <v>42</v>
      </c>
      <c r="ED9" s="489" t="s">
        <v>12</v>
      </c>
      <c r="EE9" s="489" t="s">
        <v>41</v>
      </c>
      <c r="EF9" s="489" t="s">
        <v>12</v>
      </c>
      <c r="EG9" s="489" t="s">
        <v>42</v>
      </c>
      <c r="EH9" s="489" t="s">
        <v>12</v>
      </c>
      <c r="EI9" s="489" t="s">
        <v>41</v>
      </c>
      <c r="EJ9" s="489" t="s">
        <v>12</v>
      </c>
      <c r="EK9" s="489" t="s">
        <v>42</v>
      </c>
      <c r="EL9" s="489" t="s">
        <v>12</v>
      </c>
      <c r="EM9" s="489" t="s">
        <v>41</v>
      </c>
      <c r="EN9" s="489" t="s">
        <v>12</v>
      </c>
      <c r="EO9" s="489" t="s">
        <v>42</v>
      </c>
      <c r="EP9" s="489" t="s">
        <v>12</v>
      </c>
      <c r="EQ9" s="489" t="s">
        <v>41</v>
      </c>
      <c r="ER9" s="489" t="s">
        <v>12</v>
      </c>
      <c r="ES9" s="489" t="s">
        <v>42</v>
      </c>
      <c r="ET9" s="489" t="s">
        <v>12</v>
      </c>
      <c r="EU9" s="489" t="s">
        <v>41</v>
      </c>
      <c r="EV9" s="489" t="s">
        <v>42</v>
      </c>
      <c r="EW9" s="489" t="s">
        <v>41</v>
      </c>
      <c r="EX9" s="489" t="s">
        <v>42</v>
      </c>
      <c r="EY9" s="489" t="s">
        <v>41</v>
      </c>
      <c r="EZ9" s="489" t="s">
        <v>42</v>
      </c>
      <c r="FA9" s="6"/>
    </row>
    <row r="10" spans="1:157">
      <c r="A10" s="18">
        <f>+Chem!A9</f>
        <v>46082</v>
      </c>
      <c r="B10" s="6" t="str">
        <f>+Chem!B9</f>
        <v>Toilet</v>
      </c>
      <c r="C10" s="6" t="str">
        <f>+Chem!C9</f>
        <v>14/15,5</v>
      </c>
      <c r="D10" s="9">
        <f>+Chem!D9</f>
        <v>39.513000000000005</v>
      </c>
      <c r="E10" s="7">
        <f>+Chem!E9</f>
        <v>35.520000000000003</v>
      </c>
      <c r="F10" s="7">
        <f>+E10</f>
        <v>35.520000000000003</v>
      </c>
      <c r="G10" s="99">
        <f>4*G7</f>
        <v>1000</v>
      </c>
      <c r="H10" s="11">
        <f t="shared" ref="H10:H39" si="0">G10/EU10*100</f>
        <v>3.518381551092812</v>
      </c>
      <c r="I10" s="9">
        <f>G10</f>
        <v>1000</v>
      </c>
      <c r="J10" s="11">
        <f t="shared" ref="J10:J39" si="1">I10/EV10*100</f>
        <v>3.518381551092812</v>
      </c>
      <c r="K10" s="99"/>
      <c r="L10" s="11">
        <f t="shared" ref="L10:L39" si="2">+K10/EU10*100</f>
        <v>0</v>
      </c>
      <c r="M10" s="11">
        <f>+K10</f>
        <v>0</v>
      </c>
      <c r="N10" s="11">
        <f t="shared" ref="N10:N39" si="3">+M10/EV10*100</f>
        <v>0</v>
      </c>
      <c r="O10" s="99"/>
      <c r="P10" s="11">
        <f t="shared" ref="P10:P39" si="4">+O10/EU10*100</f>
        <v>0</v>
      </c>
      <c r="Q10" s="11">
        <f>+O10</f>
        <v>0</v>
      </c>
      <c r="R10" s="11">
        <f t="shared" ref="R10:R39" si="5">+Q10/EV10*100</f>
        <v>0</v>
      </c>
      <c r="S10" s="99"/>
      <c r="T10" s="11">
        <f t="shared" ref="T10:T39" si="6">+S10/EU10*100</f>
        <v>0</v>
      </c>
      <c r="U10" s="11">
        <f>+S10</f>
        <v>0</v>
      </c>
      <c r="V10" s="11">
        <f t="shared" ref="V10:V39" si="7">+U10/EV10*100</f>
        <v>0</v>
      </c>
      <c r="W10" s="11"/>
      <c r="X10" s="11">
        <f t="shared" ref="X10:X39" si="8">+W10/EU10*100</f>
        <v>0</v>
      </c>
      <c r="Y10" s="11">
        <f>+W10</f>
        <v>0</v>
      </c>
      <c r="Z10" s="11">
        <f t="shared" ref="Z10:Z39" si="9">+Y10/EV10*100</f>
        <v>0</v>
      </c>
      <c r="AA10" s="99"/>
      <c r="AB10" s="11">
        <f t="shared" ref="AB10:AB39" si="10">AA10/EU10*100</f>
        <v>0</v>
      </c>
      <c r="AC10" s="11">
        <f>AA10</f>
        <v>0</v>
      </c>
      <c r="AD10" s="11">
        <f t="shared" ref="AD10:AD39" si="11">AC10/EV10*100</f>
        <v>0</v>
      </c>
      <c r="AE10" s="99"/>
      <c r="AF10" s="11">
        <f t="shared" ref="AF10:AF39" si="12">+AE10/EU10*100</f>
        <v>0</v>
      </c>
      <c r="AG10" s="11">
        <f>+AE10</f>
        <v>0</v>
      </c>
      <c r="AH10" s="11">
        <f t="shared" ref="AH10:AH39" si="13">+AG10/EV10*100</f>
        <v>0</v>
      </c>
      <c r="AI10" s="99"/>
      <c r="AJ10" s="11">
        <f t="shared" ref="AJ10:AJ39" si="14">AI10/EU10*100</f>
        <v>0</v>
      </c>
      <c r="AK10" s="11">
        <f>AI10</f>
        <v>0</v>
      </c>
      <c r="AL10" s="11">
        <f t="shared" ref="AL10:AL39" si="15">AK10/EV10*100</f>
        <v>0</v>
      </c>
      <c r="AM10" s="99"/>
      <c r="AN10" s="11">
        <f t="shared" ref="AN10:AN39" si="16">AM10/EU10*100</f>
        <v>0</v>
      </c>
      <c r="AO10" s="11">
        <f>AM10</f>
        <v>0</v>
      </c>
      <c r="AP10" s="11">
        <f t="shared" ref="AP10:AP39" si="17">+AO10/EV10*100</f>
        <v>0</v>
      </c>
      <c r="AQ10" s="99"/>
      <c r="AR10" s="11">
        <f t="shared" ref="AR10:AR39" si="18">AQ10/EU10*100</f>
        <v>0</v>
      </c>
      <c r="AS10" s="11">
        <f>AQ10</f>
        <v>0</v>
      </c>
      <c r="AT10" s="11">
        <f t="shared" ref="AT10:AT39" si="19">AS10/EV10*100</f>
        <v>0</v>
      </c>
      <c r="AU10" s="256"/>
      <c r="AV10" s="11">
        <f t="shared" ref="AV10:AV39" si="20">AU10/EU10*100</f>
        <v>0</v>
      </c>
      <c r="AW10" s="9">
        <f>AU10</f>
        <v>0</v>
      </c>
      <c r="AX10" s="11">
        <f t="shared" ref="AX10:AX39" si="21">AW10/EV10*100</f>
        <v>0</v>
      </c>
      <c r="AY10" s="99">
        <v>0</v>
      </c>
      <c r="AZ10" s="11">
        <f t="shared" ref="AZ10:AZ39" si="22">AY10/EU10*100</f>
        <v>0</v>
      </c>
      <c r="BA10" s="11">
        <f>AY10</f>
        <v>0</v>
      </c>
      <c r="BB10" s="11">
        <f t="shared" ref="BB10:BB39" si="23">BA10/EV10*100</f>
        <v>0</v>
      </c>
      <c r="BC10" s="99"/>
      <c r="BD10" s="11">
        <f t="shared" ref="BD10:BD39" si="24">BC10/EU10*100</f>
        <v>0</v>
      </c>
      <c r="BE10" s="11">
        <f>BC10</f>
        <v>0</v>
      </c>
      <c r="BF10" s="11">
        <f t="shared" ref="BF10:BF39" si="25">BE10/EV10*100</f>
        <v>0</v>
      </c>
      <c r="BG10" s="99">
        <v>0</v>
      </c>
      <c r="BH10" s="11">
        <f t="shared" ref="BH10:BH39" si="26">BG10/EU10*100</f>
        <v>0</v>
      </c>
      <c r="BI10" s="11">
        <f>BG10</f>
        <v>0</v>
      </c>
      <c r="BJ10" s="11">
        <f t="shared" ref="BJ10:BJ39" si="27">BI10/EV10*100</f>
        <v>0</v>
      </c>
      <c r="BK10" s="99"/>
      <c r="BL10" s="11">
        <f>BK10/EU10*100</f>
        <v>0</v>
      </c>
      <c r="BM10" s="11">
        <f>BK10</f>
        <v>0</v>
      </c>
      <c r="BN10" s="11">
        <f>BM10/EV10*100</f>
        <v>0</v>
      </c>
      <c r="BO10" s="99"/>
      <c r="BP10" s="11">
        <f>BO10/EU10*100</f>
        <v>0</v>
      </c>
      <c r="BQ10" s="11">
        <f>+BO10</f>
        <v>0</v>
      </c>
      <c r="BR10" s="11">
        <f>BQ10/EV10*100</f>
        <v>0</v>
      </c>
      <c r="BS10" s="99"/>
      <c r="BT10" s="11">
        <v>0</v>
      </c>
      <c r="BU10" s="11">
        <f>BS10</f>
        <v>0</v>
      </c>
      <c r="BV10" s="11">
        <f>BU10/EV10*100</f>
        <v>0</v>
      </c>
      <c r="BW10" s="11">
        <f>G10+AY10+BK10+BG10+BS10+BO10+AU10+AI10+BC10+AQ10+AA10+AM10+AE10+K10+W10+S10+O10</f>
        <v>1000</v>
      </c>
      <c r="BX10" s="11">
        <f t="shared" ref="BX10:BX39" si="28">BW10/EU10*100</f>
        <v>3.518381551092812</v>
      </c>
      <c r="BY10" s="11">
        <f>BW10</f>
        <v>1000</v>
      </c>
      <c r="BZ10" s="11">
        <f t="shared" ref="BZ10:BZ39" si="29">BY10/EV10*100</f>
        <v>3.518381551092812</v>
      </c>
      <c r="CA10" s="11"/>
      <c r="CB10" s="11">
        <f>CA10/EU10*100</f>
        <v>0</v>
      </c>
      <c r="CC10" s="11">
        <f>CA10</f>
        <v>0</v>
      </c>
      <c r="CD10" s="11">
        <f>CC10/EV10*100</f>
        <v>0</v>
      </c>
      <c r="CE10" s="11"/>
      <c r="CF10" s="11">
        <f>CE10/EU10*100</f>
        <v>0</v>
      </c>
      <c r="CG10" s="11">
        <f>CE10</f>
        <v>0</v>
      </c>
      <c r="CH10" s="11">
        <f>CG10/EV10*100</f>
        <v>0</v>
      </c>
      <c r="CI10" s="11">
        <f>+CA10+CE10</f>
        <v>0</v>
      </c>
      <c r="CJ10" s="11">
        <f>CI10/EU10*100</f>
        <v>0</v>
      </c>
      <c r="CK10" s="11">
        <f>CI10</f>
        <v>0</v>
      </c>
      <c r="CL10" s="11">
        <f>CK10/EV10*100</f>
        <v>0</v>
      </c>
      <c r="CM10" s="99">
        <v>4016.6746690629147</v>
      </c>
      <c r="CN10" s="11">
        <f>CM10/EU10*100</f>
        <v>14.132194052372785</v>
      </c>
      <c r="CO10" s="11">
        <f>CM10</f>
        <v>4016.6746690629147</v>
      </c>
      <c r="CP10" s="11">
        <f>CO10/EV10*100</f>
        <v>14.132194052372785</v>
      </c>
      <c r="CQ10" s="99">
        <v>15234.532798648086</v>
      </c>
      <c r="CR10" s="11">
        <f t="shared" ref="CR10:CR39" si="30">CQ10/EU10*100</f>
        <v>53.600899138281775</v>
      </c>
      <c r="CS10" s="11">
        <f>CQ10</f>
        <v>15234.532798648086</v>
      </c>
      <c r="CT10" s="11">
        <f t="shared" ref="CT10:CT39" si="31">CS10/EV10*100</f>
        <v>53.600899138281775</v>
      </c>
      <c r="CU10" s="99">
        <v>6645.8601681844393</v>
      </c>
      <c r="CV10" s="11">
        <f t="shared" ref="CV10:CV39" si="32">CU10/EU10*100</f>
        <v>23.382671806882705</v>
      </c>
      <c r="CW10" s="11">
        <f>CU10</f>
        <v>6645.8601681844393</v>
      </c>
      <c r="CX10" s="11">
        <f t="shared" ref="CX10:CX39" si="33">CW10/EV10*100</f>
        <v>23.382671806882705</v>
      </c>
      <c r="CY10" s="99">
        <v>763.36476173871051</v>
      </c>
      <c r="CZ10" s="11">
        <f t="shared" ref="CZ10:CZ39" si="34">CY10/EU10*100</f>
        <v>2.6858084944558391</v>
      </c>
      <c r="DA10" s="11">
        <f>CY10</f>
        <v>763.36476173871051</v>
      </c>
      <c r="DB10" s="11">
        <f t="shared" ref="DB10:DB39" si="35">DA10/EV10*100</f>
        <v>2.6858084944558391</v>
      </c>
      <c r="DC10" s="99">
        <v>761.72663993240428</v>
      </c>
      <c r="DD10" s="11">
        <f t="shared" ref="DD10:DD39" si="36">DC10/EU10*100</f>
        <v>2.6800449569140885</v>
      </c>
      <c r="DE10" s="11">
        <f>DC10</f>
        <v>761.72663993240428</v>
      </c>
      <c r="DF10" s="11">
        <f t="shared" ref="DF10:DF39" si="37">DE10/EV10*100</f>
        <v>2.6800449569140885</v>
      </c>
      <c r="DG10" s="99"/>
      <c r="DH10" s="11">
        <f t="shared" ref="DH10:DH39" si="38">DG10/EU10*100</f>
        <v>0</v>
      </c>
      <c r="DI10" s="11">
        <f>DG10</f>
        <v>0</v>
      </c>
      <c r="DJ10" s="11">
        <f t="shared" ref="DJ10:DJ39" si="39">DI10/EV10*100</f>
        <v>0</v>
      </c>
      <c r="DK10" s="99"/>
      <c r="DL10" s="11">
        <f>DK10/EU10*100</f>
        <v>0</v>
      </c>
      <c r="DM10" s="11">
        <f>DK10</f>
        <v>0</v>
      </c>
      <c r="DN10" s="11">
        <f>DM10/EV10*100</f>
        <v>0</v>
      </c>
      <c r="DO10" s="496"/>
      <c r="DP10" s="11">
        <f>DO10/EU10*100</f>
        <v>0</v>
      </c>
      <c r="DQ10" s="11">
        <f>DO10</f>
        <v>0</v>
      </c>
      <c r="DR10" s="11">
        <f>DQ10/EV10*100</f>
        <v>0</v>
      </c>
      <c r="DS10" s="99"/>
      <c r="DT10" s="11">
        <f>DS10/EU10*100</f>
        <v>0</v>
      </c>
      <c r="DU10" s="11">
        <f>DS10</f>
        <v>0</v>
      </c>
      <c r="DV10" s="11">
        <f>DU10/EV10*100</f>
        <v>0</v>
      </c>
      <c r="DW10" s="11">
        <f>CQ10+CU10+CY10+DC10+DG10+DK10+DO10+DS10+CM10</f>
        <v>27422.159037566555</v>
      </c>
      <c r="DX10" s="11">
        <f t="shared" ref="DX10:DX39" si="40">DW10/EU10*100</f>
        <v>96.481618448907199</v>
      </c>
      <c r="DY10" s="11">
        <f>DW10</f>
        <v>27422.159037566555</v>
      </c>
      <c r="DZ10" s="11">
        <f t="shared" ref="DZ10:DZ39" si="41">DY10/EV10*100</f>
        <v>96.481618448907199</v>
      </c>
      <c r="EA10" s="99"/>
      <c r="EB10" s="11">
        <f t="shared" ref="EB10:EB39" si="42">+EA10/EU10*100</f>
        <v>0</v>
      </c>
      <c r="EC10" s="11">
        <f>+EA10</f>
        <v>0</v>
      </c>
      <c r="ED10" s="11">
        <f t="shared" ref="ED10:ED39" si="43">+EC10/EV10*100</f>
        <v>0</v>
      </c>
      <c r="EE10" s="99">
        <f>14*EF6</f>
        <v>0</v>
      </c>
      <c r="EF10" s="11">
        <f t="shared" ref="EF10:EF39" si="44">EE10/EU10*100</f>
        <v>0</v>
      </c>
      <c r="EG10" s="11">
        <f>EE10</f>
        <v>0</v>
      </c>
      <c r="EH10" s="11">
        <f t="shared" ref="EH10:EH39" si="45">EG10/EV10*100</f>
        <v>0</v>
      </c>
      <c r="EI10" s="99">
        <f>14*EJ6</f>
        <v>0</v>
      </c>
      <c r="EJ10" s="17">
        <f t="shared" ref="EJ10:EJ39" si="46">EI10/EU10*100</f>
        <v>0</v>
      </c>
      <c r="EK10" s="11">
        <f>EI10</f>
        <v>0</v>
      </c>
      <c r="EL10" s="11">
        <f t="shared" ref="EL10:EL39" si="47">EK10/EV10*100</f>
        <v>0</v>
      </c>
      <c r="EM10" s="11">
        <f>EA10+EE10+EI10</f>
        <v>0</v>
      </c>
      <c r="EN10" s="11">
        <f t="shared" ref="EN10:EN39" si="48">EM10/EU10*100</f>
        <v>0</v>
      </c>
      <c r="EO10" s="11">
        <f>EM10</f>
        <v>0</v>
      </c>
      <c r="EP10" s="11">
        <f t="shared" ref="EP10:EP39" si="49">EO10/EV10*100</f>
        <v>0</v>
      </c>
      <c r="EQ10" s="99"/>
      <c r="ER10" s="11">
        <f t="shared" ref="ER10:ER39" si="50">EQ10/EU10*100</f>
        <v>0</v>
      </c>
      <c r="ES10" s="11">
        <f>EQ10</f>
        <v>0</v>
      </c>
      <c r="ET10" s="11">
        <f t="shared" ref="ET10:ET39" si="51">ES10/EV10*100</f>
        <v>0</v>
      </c>
      <c r="EU10" s="11">
        <f>BW10+DW10+EM10+EQ10+CI10</f>
        <v>28422.159037566555</v>
      </c>
      <c r="EV10" s="11">
        <f>EU10</f>
        <v>28422.159037566555</v>
      </c>
      <c r="EW10" s="11">
        <f t="shared" ref="EW10:EW39" si="52">EU10/1000/E10</f>
        <v>0.8001733963278872</v>
      </c>
      <c r="EX10" s="11">
        <f t="shared" ref="EX10:EX39" si="53">(EV10/1000)/F10</f>
        <v>0.8001733963278872</v>
      </c>
      <c r="EY10" s="493">
        <f>+(E10*1000)/DW10</f>
        <v>1.2953028224852732</v>
      </c>
      <c r="EZ10" s="494">
        <f>+(F10*1000)/DY10</f>
        <v>1.2953028224852732</v>
      </c>
      <c r="FA10" s="6" t="s">
        <v>425</v>
      </c>
    </row>
    <row r="11" spans="1:157">
      <c r="A11" s="18">
        <f>+Chem!A10</f>
        <v>46083</v>
      </c>
      <c r="B11" s="6" t="str">
        <f>+Chem!B10</f>
        <v>Toilet</v>
      </c>
      <c r="C11" s="6" t="str">
        <f>+Chem!C10</f>
        <v>15,5</v>
      </c>
      <c r="D11" s="9">
        <f>+Chem!D10</f>
        <v>24.8813</v>
      </c>
      <c r="E11" s="7">
        <f>+Chem!E10</f>
        <v>28.408000000000001</v>
      </c>
      <c r="F11" s="7">
        <f t="shared" ref="F11:F39" si="54">+E11+F10</f>
        <v>63.928000000000004</v>
      </c>
      <c r="G11" s="99"/>
      <c r="H11" s="11">
        <f t="shared" si="0"/>
        <v>0</v>
      </c>
      <c r="I11" s="9">
        <f t="shared" ref="I11:I39" si="55">G11+I10</f>
        <v>1000</v>
      </c>
      <c r="J11" s="11">
        <f t="shared" si="1"/>
        <v>1.7363972926662312</v>
      </c>
      <c r="K11" s="99"/>
      <c r="L11" s="11">
        <f t="shared" si="2"/>
        <v>0</v>
      </c>
      <c r="M11" s="11">
        <f t="shared" ref="M11:M39" si="56">+K11+M10</f>
        <v>0</v>
      </c>
      <c r="N11" s="11">
        <f t="shared" si="3"/>
        <v>0</v>
      </c>
      <c r="O11" s="99"/>
      <c r="P11" s="11">
        <f t="shared" si="4"/>
        <v>0</v>
      </c>
      <c r="Q11" s="11">
        <f t="shared" ref="Q11:Q39" si="57">+O11+Q10</f>
        <v>0</v>
      </c>
      <c r="R11" s="11">
        <f t="shared" si="5"/>
        <v>0</v>
      </c>
      <c r="S11" s="99"/>
      <c r="T11" s="11">
        <f t="shared" si="6"/>
        <v>0</v>
      </c>
      <c r="U11" s="11">
        <f t="shared" ref="U11:U39" si="58">+S11+U10</f>
        <v>0</v>
      </c>
      <c r="V11" s="11">
        <f t="shared" si="7"/>
        <v>0</v>
      </c>
      <c r="W11" s="11"/>
      <c r="X11" s="11">
        <f t="shared" si="8"/>
        <v>0</v>
      </c>
      <c r="Y11" s="11">
        <f t="shared" ref="Y11:Y39" si="59">+W11+Y10</f>
        <v>0</v>
      </c>
      <c r="Z11" s="11">
        <f t="shared" si="9"/>
        <v>0</v>
      </c>
      <c r="AA11" s="99"/>
      <c r="AB11" s="11">
        <f t="shared" si="10"/>
        <v>0</v>
      </c>
      <c r="AC11" s="11">
        <f t="shared" ref="AC11:AC39" si="60">AA11+AC10</f>
        <v>0</v>
      </c>
      <c r="AD11" s="11">
        <f t="shared" si="11"/>
        <v>0</v>
      </c>
      <c r="AE11" s="99"/>
      <c r="AF11" s="11">
        <f t="shared" si="12"/>
        <v>0</v>
      </c>
      <c r="AG11" s="11">
        <f t="shared" ref="AG11:AG39" si="61">+AE11+AG10</f>
        <v>0</v>
      </c>
      <c r="AH11" s="11">
        <f t="shared" si="13"/>
        <v>0</v>
      </c>
      <c r="AI11" s="99"/>
      <c r="AJ11" s="11">
        <f t="shared" si="14"/>
        <v>0</v>
      </c>
      <c r="AK11" s="11">
        <f t="shared" ref="AK11:AK39" si="62">AI11+AK10</f>
        <v>0</v>
      </c>
      <c r="AL11" s="11">
        <f t="shared" si="15"/>
        <v>0</v>
      </c>
      <c r="AM11" s="99"/>
      <c r="AN11" s="11">
        <f t="shared" si="16"/>
        <v>0</v>
      </c>
      <c r="AO11" s="11">
        <f t="shared" ref="AO11:AO39" si="63">+AM11+AO10</f>
        <v>0</v>
      </c>
      <c r="AP11" s="11">
        <f t="shared" si="17"/>
        <v>0</v>
      </c>
      <c r="AQ11" s="99"/>
      <c r="AR11" s="11">
        <f t="shared" si="18"/>
        <v>0</v>
      </c>
      <c r="AS11" s="11">
        <f t="shared" ref="AS11:AS39" si="64">AQ11+AS10</f>
        <v>0</v>
      </c>
      <c r="AT11" s="11">
        <f t="shared" si="19"/>
        <v>0</v>
      </c>
      <c r="AU11" s="256"/>
      <c r="AV11" s="11">
        <f t="shared" si="20"/>
        <v>0</v>
      </c>
      <c r="AW11" s="9">
        <f t="shared" ref="AW11:AW39" si="65">AU11+AW10</f>
        <v>0</v>
      </c>
      <c r="AX11" s="11">
        <f t="shared" si="21"/>
        <v>0</v>
      </c>
      <c r="AY11" s="99"/>
      <c r="AZ11" s="11">
        <f t="shared" si="22"/>
        <v>0</v>
      </c>
      <c r="BA11" s="11">
        <f t="shared" ref="BA11:BA39" si="66">AY11+BA10</f>
        <v>0</v>
      </c>
      <c r="BB11" s="11">
        <f t="shared" si="23"/>
        <v>0</v>
      </c>
      <c r="BC11" s="99"/>
      <c r="BD11" s="11">
        <f t="shared" si="24"/>
        <v>0</v>
      </c>
      <c r="BE11" s="11">
        <f t="shared" ref="BE11:BE39" si="67">BC11+BE10</f>
        <v>0</v>
      </c>
      <c r="BF11" s="11">
        <f t="shared" si="25"/>
        <v>0</v>
      </c>
      <c r="BG11" s="99">
        <v>0</v>
      </c>
      <c r="BH11" s="11">
        <f t="shared" si="26"/>
        <v>0</v>
      </c>
      <c r="BI11" s="11">
        <f t="shared" ref="BI11:BI39" si="68">BG11+BI10</f>
        <v>0</v>
      </c>
      <c r="BJ11" s="11">
        <f t="shared" si="27"/>
        <v>0</v>
      </c>
      <c r="BK11" s="99"/>
      <c r="BL11" s="11"/>
      <c r="BM11" s="11"/>
      <c r="BN11" s="11"/>
      <c r="BO11" s="99"/>
      <c r="BP11" s="11"/>
      <c r="BQ11" s="11"/>
      <c r="BR11" s="11"/>
      <c r="BS11" s="99"/>
      <c r="BT11" s="11"/>
      <c r="BU11" s="11"/>
      <c r="BV11" s="11"/>
      <c r="BW11" s="11">
        <f t="shared" ref="BW11:BW39" si="69">G11+AY11+BK11+BG11+BS11+BO11+AU11+AI11+BC11+AQ11+AA11+AM11+AE11+K11+W11+S11+O11</f>
        <v>0</v>
      </c>
      <c r="BX11" s="11">
        <f t="shared" si="28"/>
        <v>0</v>
      </c>
      <c r="BY11" s="11">
        <f t="shared" ref="BY11:BY39" si="70">BW11+BY10</f>
        <v>1000</v>
      </c>
      <c r="BZ11" s="11">
        <f t="shared" si="29"/>
        <v>1.7363972926662312</v>
      </c>
      <c r="CA11" s="11"/>
      <c r="CB11" s="11">
        <f t="shared" ref="CB11:CB39" si="71">CA11/EU11*100</f>
        <v>0</v>
      </c>
      <c r="CC11" s="11">
        <f>+CA11+CC10</f>
        <v>0</v>
      </c>
      <c r="CD11" s="11">
        <f t="shared" ref="CD11:CD39" si="72">CC11/EV11*100</f>
        <v>0</v>
      </c>
      <c r="CE11" s="11"/>
      <c r="CF11" s="11">
        <f>CE11/EU11*100</f>
        <v>0</v>
      </c>
      <c r="CG11" s="11">
        <f>+CE11+CG10</f>
        <v>0</v>
      </c>
      <c r="CH11" s="11">
        <f>CG11/EV11*100</f>
        <v>0</v>
      </c>
      <c r="CI11" s="11">
        <f t="shared" ref="CI11:CI39" si="73">+CA11+CE11</f>
        <v>0</v>
      </c>
      <c r="CJ11" s="11">
        <f>CI11/EU11*100</f>
        <v>0</v>
      </c>
      <c r="CK11" s="11">
        <f>+CI11+CK10</f>
        <v>0</v>
      </c>
      <c r="CL11" s="11">
        <f>CK11/EV11*100</f>
        <v>0</v>
      </c>
      <c r="CM11" s="99">
        <v>4319.5026541803336</v>
      </c>
      <c r="CN11" s="11">
        <f t="shared" ref="CN11:CN39" si="74">CM11/EU11*100</f>
        <v>14.80886986504964</v>
      </c>
      <c r="CO11" s="11">
        <f t="shared" ref="CO11:CO39" si="75">CM11</f>
        <v>4319.5026541803336</v>
      </c>
      <c r="CP11" s="11">
        <f t="shared" ref="CP11:CP39" si="76">CO11/EV11*100</f>
        <v>7.5003727143833316</v>
      </c>
      <c r="CQ11" s="99">
        <v>15965.33959736585</v>
      </c>
      <c r="CR11" s="11">
        <f t="shared" si="30"/>
        <v>54.735152487961479</v>
      </c>
      <c r="CS11" s="11">
        <f t="shared" ref="CS11:CS39" si="77">CQ11+CS10</f>
        <v>31199.872396013936</v>
      </c>
      <c r="CT11" s="11">
        <f t="shared" si="31"/>
        <v>54.175373959970472</v>
      </c>
      <c r="CU11" s="99">
        <v>7017.6745248766802</v>
      </c>
      <c r="CV11" s="11">
        <f t="shared" si="32"/>
        <v>24.059211699661137</v>
      </c>
      <c r="CW11" s="11">
        <f t="shared" ref="CW11:CW39" si="78">CU11+CW10</f>
        <v>13663.534693061119</v>
      </c>
      <c r="CX11" s="11">
        <f t="shared" si="33"/>
        <v>23.725324649282449</v>
      </c>
      <c r="CY11" s="99">
        <v>955.45803390339779</v>
      </c>
      <c r="CZ11" s="11">
        <f t="shared" si="34"/>
        <v>3.2756673206111411</v>
      </c>
      <c r="DA11" s="11">
        <f t="shared" ref="DA11:DA39" si="79">CY11+DA10</f>
        <v>1718.8227956421083</v>
      </c>
      <c r="DB11" s="11">
        <f t="shared" si="35"/>
        <v>2.9845592489259594</v>
      </c>
      <c r="DC11" s="99">
        <v>518.479041991136</v>
      </c>
      <c r="DD11" s="11">
        <f t="shared" si="36"/>
        <v>1.7775399797871707</v>
      </c>
      <c r="DE11" s="11">
        <f t="shared" ref="DE11:DE39" si="80">DC11+DE10</f>
        <v>1280.2056819235404</v>
      </c>
      <c r="DF11" s="11">
        <f t="shared" si="37"/>
        <v>2.2229456801479617</v>
      </c>
      <c r="DG11" s="99">
        <v>391.89385782607604</v>
      </c>
      <c r="DH11" s="11">
        <f t="shared" si="38"/>
        <v>1.3435586469294336</v>
      </c>
      <c r="DI11" s="11">
        <f t="shared" ref="DI11:DI39" si="81">DG11+DI10</f>
        <v>391.89385782607604</v>
      </c>
      <c r="DJ11" s="11">
        <f t="shared" si="39"/>
        <v>0.68048343374172326</v>
      </c>
      <c r="DK11" s="99"/>
      <c r="DL11" s="11">
        <f t="shared" ref="DL11:DL40" si="82">DK11/EU11*100</f>
        <v>0</v>
      </c>
      <c r="DM11" s="11">
        <f t="shared" ref="DM11:DM40" si="83">DK11+DM10</f>
        <v>0</v>
      </c>
      <c r="DN11" s="11">
        <f t="shared" ref="DN11:DN40" si="84">DM11/EV11*100</f>
        <v>0</v>
      </c>
      <c r="DO11" s="496"/>
      <c r="DP11" s="11">
        <f t="shared" ref="DP11:DP39" si="85">DO11/EU11*100</f>
        <v>0</v>
      </c>
      <c r="DQ11" s="11">
        <f t="shared" ref="DQ11:DQ39" si="86">DO11+DQ10</f>
        <v>0</v>
      </c>
      <c r="DR11" s="11">
        <f t="shared" ref="DR11:DR39" si="87">DQ11/EV11*100</f>
        <v>0</v>
      </c>
      <c r="DS11" s="99"/>
      <c r="DT11" s="11">
        <f>DS11/EU11*100</f>
        <v>0</v>
      </c>
      <c r="DU11" s="11">
        <f t="shared" ref="DU11:DU39" si="88">DS11+DU10</f>
        <v>0</v>
      </c>
      <c r="DV11" s="11">
        <f>DU11/EV11*100</f>
        <v>0</v>
      </c>
      <c r="DW11" s="11">
        <f t="shared" ref="DW11:DW39" si="89">CQ11+CU11+CY11+DC11+DG11+DK11+DO11+DS11+CM11</f>
        <v>29168.347710143473</v>
      </c>
      <c r="DX11" s="11">
        <f t="shared" si="40"/>
        <v>100</v>
      </c>
      <c r="DY11" s="11">
        <f t="shared" ref="DY11:DY39" si="90">DW11+DY10</f>
        <v>56590.506747710024</v>
      </c>
      <c r="DZ11" s="11">
        <f t="shared" si="41"/>
        <v>98.26360270733376</v>
      </c>
      <c r="EA11" s="99"/>
      <c r="EB11" s="11">
        <f t="shared" si="42"/>
        <v>0</v>
      </c>
      <c r="EC11" s="11">
        <f t="shared" ref="EC11:EC39" si="91">+EA11+EC10</f>
        <v>0</v>
      </c>
      <c r="ED11" s="11">
        <f t="shared" si="43"/>
        <v>0</v>
      </c>
      <c r="EE11" s="99"/>
      <c r="EF11" s="11">
        <f t="shared" si="44"/>
        <v>0</v>
      </c>
      <c r="EG11" s="11">
        <f t="shared" ref="EG11:EG39" si="92">EE11+EG10</f>
        <v>0</v>
      </c>
      <c r="EH11" s="11">
        <f t="shared" si="45"/>
        <v>0</v>
      </c>
      <c r="EI11" s="99"/>
      <c r="EJ11" s="17">
        <f t="shared" si="46"/>
        <v>0</v>
      </c>
      <c r="EK11" s="11">
        <f t="shared" ref="EK11:EK39" si="93">EI11+EK10</f>
        <v>0</v>
      </c>
      <c r="EL11" s="11">
        <f t="shared" si="47"/>
        <v>0</v>
      </c>
      <c r="EM11" s="11">
        <f t="shared" ref="EM11:EM39" si="94">EA11+EE11+EI11</f>
        <v>0</v>
      </c>
      <c r="EN11" s="11">
        <f t="shared" si="48"/>
        <v>0</v>
      </c>
      <c r="EO11" s="11">
        <f t="shared" ref="EO11:EO39" si="95">EM11+EO10</f>
        <v>0</v>
      </c>
      <c r="EP11" s="11">
        <f t="shared" si="49"/>
        <v>0</v>
      </c>
      <c r="EQ11" s="99"/>
      <c r="ER11" s="11">
        <f t="shared" si="50"/>
        <v>0</v>
      </c>
      <c r="ES11" s="11">
        <f t="shared" ref="ES11:ES39" si="96">EQ11+ES10</f>
        <v>0</v>
      </c>
      <c r="ET11" s="11">
        <f t="shared" si="51"/>
        <v>0</v>
      </c>
      <c r="EU11" s="11">
        <f t="shared" ref="EU11:EU39" si="97">BW11+DW11+EM11+EQ11+CI11</f>
        <v>29168.347710143473</v>
      </c>
      <c r="EV11" s="11">
        <f t="shared" ref="EV11:EV39" si="98">EU11+EV10</f>
        <v>57590.506747710024</v>
      </c>
      <c r="EW11" s="11">
        <f t="shared" si="52"/>
        <v>1.0267652671833101</v>
      </c>
      <c r="EX11" s="11">
        <f t="shared" si="53"/>
        <v>0.90086514121683803</v>
      </c>
      <c r="EY11" s="493">
        <f t="shared" ref="EY11:EY39" si="99">+(E11*1000)/DW11</f>
        <v>0.97393243807639274</v>
      </c>
      <c r="EZ11" s="494">
        <f t="shared" ref="EZ11:EZ39" si="100">+(F11*1000)/DY11</f>
        <v>1.1296594371384896</v>
      </c>
      <c r="FA11" s="6" t="s">
        <v>425</v>
      </c>
    </row>
    <row r="12" spans="1:157">
      <c r="A12" s="18">
        <f>+Chem!A11</f>
        <v>46084</v>
      </c>
      <c r="B12" s="6" t="str">
        <f>+Chem!B11</f>
        <v>Toilet</v>
      </c>
      <c r="C12" s="6" t="str">
        <f>+Chem!C11</f>
        <v>15,5/14</v>
      </c>
      <c r="D12" s="9">
        <f>+Chem!D11</f>
        <v>43.93</v>
      </c>
      <c r="E12" s="7">
        <f>+Chem!E11</f>
        <v>40.793999999999997</v>
      </c>
      <c r="F12" s="7">
        <f t="shared" si="54"/>
        <v>104.72200000000001</v>
      </c>
      <c r="G12" s="99">
        <f>14*G7</f>
        <v>3500</v>
      </c>
      <c r="H12" s="11">
        <f t="shared" si="0"/>
        <v>8.2286267631991805</v>
      </c>
      <c r="I12" s="9">
        <f t="shared" si="55"/>
        <v>4500</v>
      </c>
      <c r="J12" s="11">
        <f t="shared" si="1"/>
        <v>4.4943845838177685</v>
      </c>
      <c r="K12" s="99"/>
      <c r="L12" s="11">
        <f t="shared" si="2"/>
        <v>0</v>
      </c>
      <c r="M12" s="11">
        <f t="shared" si="56"/>
        <v>0</v>
      </c>
      <c r="N12" s="11">
        <f t="shared" si="3"/>
        <v>0</v>
      </c>
      <c r="O12" s="99"/>
      <c r="P12" s="11">
        <f t="shared" si="4"/>
        <v>0</v>
      </c>
      <c r="Q12" s="11">
        <f t="shared" si="57"/>
        <v>0</v>
      </c>
      <c r="R12" s="11">
        <f t="shared" si="5"/>
        <v>0</v>
      </c>
      <c r="S12" s="99"/>
      <c r="T12" s="11">
        <f t="shared" si="6"/>
        <v>0</v>
      </c>
      <c r="U12" s="11">
        <f t="shared" si="58"/>
        <v>0</v>
      </c>
      <c r="V12" s="11">
        <f t="shared" si="7"/>
        <v>0</v>
      </c>
      <c r="W12" s="11"/>
      <c r="X12" s="11">
        <f t="shared" si="8"/>
        <v>0</v>
      </c>
      <c r="Y12" s="11">
        <f t="shared" si="59"/>
        <v>0</v>
      </c>
      <c r="Z12" s="11">
        <f t="shared" si="9"/>
        <v>0</v>
      </c>
      <c r="AA12" s="99"/>
      <c r="AB12" s="11">
        <f t="shared" si="10"/>
        <v>0</v>
      </c>
      <c r="AC12" s="11">
        <f t="shared" si="60"/>
        <v>0</v>
      </c>
      <c r="AD12" s="11">
        <f t="shared" si="11"/>
        <v>0</v>
      </c>
      <c r="AE12" s="99"/>
      <c r="AF12" s="11">
        <f t="shared" si="12"/>
        <v>0</v>
      </c>
      <c r="AG12" s="11">
        <f t="shared" si="61"/>
        <v>0</v>
      </c>
      <c r="AH12" s="11">
        <f t="shared" si="13"/>
        <v>0</v>
      </c>
      <c r="AI12" s="99"/>
      <c r="AJ12" s="11">
        <f t="shared" si="14"/>
        <v>0</v>
      </c>
      <c r="AK12" s="11">
        <f t="shared" si="62"/>
        <v>0</v>
      </c>
      <c r="AL12" s="11">
        <f t="shared" si="15"/>
        <v>0</v>
      </c>
      <c r="AM12" s="99"/>
      <c r="AN12" s="11">
        <f t="shared" si="16"/>
        <v>0</v>
      </c>
      <c r="AO12" s="11">
        <f t="shared" si="63"/>
        <v>0</v>
      </c>
      <c r="AP12" s="11">
        <f t="shared" si="17"/>
        <v>0</v>
      </c>
      <c r="AQ12" s="99"/>
      <c r="AR12" s="11">
        <f t="shared" si="18"/>
        <v>0</v>
      </c>
      <c r="AS12" s="11">
        <f t="shared" si="64"/>
        <v>0</v>
      </c>
      <c r="AT12" s="11">
        <f t="shared" si="19"/>
        <v>0</v>
      </c>
      <c r="AU12" s="256"/>
      <c r="AV12" s="11">
        <f t="shared" si="20"/>
        <v>0</v>
      </c>
      <c r="AW12" s="9">
        <f t="shared" si="65"/>
        <v>0</v>
      </c>
      <c r="AX12" s="11">
        <f t="shared" si="21"/>
        <v>0</v>
      </c>
      <c r="AY12" s="99"/>
      <c r="AZ12" s="11">
        <f t="shared" si="22"/>
        <v>0</v>
      </c>
      <c r="BA12" s="11">
        <f t="shared" si="66"/>
        <v>0</v>
      </c>
      <c r="BB12" s="11">
        <f t="shared" si="23"/>
        <v>0</v>
      </c>
      <c r="BC12" s="99"/>
      <c r="BD12" s="11">
        <f t="shared" si="24"/>
        <v>0</v>
      </c>
      <c r="BE12" s="11">
        <f t="shared" si="67"/>
        <v>0</v>
      </c>
      <c r="BF12" s="11">
        <f t="shared" si="25"/>
        <v>0</v>
      </c>
      <c r="BG12" s="99"/>
      <c r="BH12" s="11">
        <f t="shared" si="26"/>
        <v>0</v>
      </c>
      <c r="BI12" s="11">
        <f t="shared" si="68"/>
        <v>0</v>
      </c>
      <c r="BJ12" s="11">
        <f t="shared" si="27"/>
        <v>0</v>
      </c>
      <c r="BK12" s="99"/>
      <c r="BL12" s="11"/>
      <c r="BM12" s="11"/>
      <c r="BN12" s="11"/>
      <c r="BO12" s="99"/>
      <c r="BP12" s="11"/>
      <c r="BQ12" s="11"/>
      <c r="BR12" s="11"/>
      <c r="BS12" s="99"/>
      <c r="BT12" s="11"/>
      <c r="BU12" s="11"/>
      <c r="BV12" s="11"/>
      <c r="BW12" s="11">
        <f t="shared" si="69"/>
        <v>3500</v>
      </c>
      <c r="BX12" s="11">
        <f t="shared" si="28"/>
        <v>8.2286267631991805</v>
      </c>
      <c r="BY12" s="11">
        <f t="shared" si="70"/>
        <v>4500</v>
      </c>
      <c r="BZ12" s="11">
        <f t="shared" si="29"/>
        <v>4.4943845838177685</v>
      </c>
      <c r="CA12" s="11"/>
      <c r="CB12" s="11">
        <f t="shared" si="71"/>
        <v>0</v>
      </c>
      <c r="CC12" s="11">
        <f t="shared" ref="CC12:CC39" si="101">+CA12+CC11</f>
        <v>0</v>
      </c>
      <c r="CD12" s="11">
        <f t="shared" si="72"/>
        <v>0</v>
      </c>
      <c r="CE12" s="11"/>
      <c r="CF12" s="11">
        <f t="shared" ref="CF12:CF39" si="102">CE12/EU12*100</f>
        <v>0</v>
      </c>
      <c r="CG12" s="11">
        <f t="shared" ref="CG12:CG39" si="103">+CE12+CG11</f>
        <v>0</v>
      </c>
      <c r="CH12" s="11">
        <f t="shared" ref="CH12:CH39" si="104">CG12/EV12*100</f>
        <v>0</v>
      </c>
      <c r="CI12" s="11">
        <f t="shared" si="73"/>
        <v>0</v>
      </c>
      <c r="CJ12" s="11">
        <f t="shared" ref="CJ12:CJ39" si="105">CI12/EU12*100</f>
        <v>0</v>
      </c>
      <c r="CK12" s="11">
        <f t="shared" ref="CK12:CK39" si="106">+CI12+CK11</f>
        <v>0</v>
      </c>
      <c r="CL12" s="11">
        <f t="shared" ref="CL12:CL39" si="107">CK12/EV12*100</f>
        <v>0</v>
      </c>
      <c r="CM12" s="99">
        <v>5828.5879677062421</v>
      </c>
      <c r="CN12" s="11">
        <f t="shared" si="74"/>
        <v>13.703221412208086</v>
      </c>
      <c r="CO12" s="11">
        <f t="shared" si="75"/>
        <v>5828.5879677062421</v>
      </c>
      <c r="CP12" s="11">
        <f t="shared" si="76"/>
        <v>5.8213146461077052</v>
      </c>
      <c r="CQ12" s="99">
        <v>20956.361726978404</v>
      </c>
      <c r="CR12" s="11">
        <f t="shared" si="30"/>
        <v>49.269165418827853</v>
      </c>
      <c r="CS12" s="11">
        <f t="shared" si="77"/>
        <v>52156.23412299234</v>
      </c>
      <c r="CT12" s="11">
        <f t="shared" si="31"/>
        <v>52.091149909414888</v>
      </c>
      <c r="CU12" s="99">
        <v>8967.9239580345075</v>
      </c>
      <c r="CV12" s="11">
        <f t="shared" si="32"/>
        <v>21.083914026119391</v>
      </c>
      <c r="CW12" s="11">
        <f t="shared" si="78"/>
        <v>22631.458651095629</v>
      </c>
      <c r="CX12" s="11">
        <f t="shared" si="33"/>
        <v>22.603217526842993</v>
      </c>
      <c r="CY12" s="99">
        <v>1701.7676529650425</v>
      </c>
      <c r="CZ12" s="11">
        <f t="shared" si="34"/>
        <v>4.0009173868385162</v>
      </c>
      <c r="DA12" s="11">
        <f t="shared" si="79"/>
        <v>3420.5904486071508</v>
      </c>
      <c r="DB12" s="11">
        <f t="shared" si="35"/>
        <v>3.4163219955053963</v>
      </c>
      <c r="DC12" s="99">
        <v>1228.7293553542888</v>
      </c>
      <c r="DD12" s="11">
        <f t="shared" si="36"/>
        <v>2.8887872166276507</v>
      </c>
      <c r="DE12" s="11">
        <f t="shared" si="80"/>
        <v>2508.935037277829</v>
      </c>
      <c r="DF12" s="11">
        <f t="shared" si="37"/>
        <v>2.5058042118537185</v>
      </c>
      <c r="DG12" s="99">
        <v>351.06553010122536</v>
      </c>
      <c r="DH12" s="11">
        <f t="shared" si="38"/>
        <v>0.82536777617932877</v>
      </c>
      <c r="DI12" s="11">
        <f t="shared" si="81"/>
        <v>742.95938792730135</v>
      </c>
      <c r="DJ12" s="11">
        <f t="shared" si="39"/>
        <v>0.74203227100069957</v>
      </c>
      <c r="DK12" s="99"/>
      <c r="DL12" s="11">
        <f t="shared" si="82"/>
        <v>0</v>
      </c>
      <c r="DM12" s="11">
        <f t="shared" si="83"/>
        <v>0</v>
      </c>
      <c r="DN12" s="11">
        <f t="shared" si="84"/>
        <v>0</v>
      </c>
      <c r="DO12" s="496"/>
      <c r="DP12" s="11">
        <f t="shared" si="85"/>
        <v>0</v>
      </c>
      <c r="DQ12" s="11">
        <f t="shared" si="86"/>
        <v>0</v>
      </c>
      <c r="DR12" s="11">
        <f t="shared" si="87"/>
        <v>0</v>
      </c>
      <c r="DS12" s="99"/>
      <c r="DT12" s="11">
        <f t="shared" ref="DT12:DT39" si="108">DS12/EU12*100</f>
        <v>0</v>
      </c>
      <c r="DU12" s="11">
        <f t="shared" si="88"/>
        <v>0</v>
      </c>
      <c r="DV12" s="11">
        <f t="shared" ref="DV12:DV39" si="109">DU12/EV12*100</f>
        <v>0</v>
      </c>
      <c r="DW12" s="11">
        <f t="shared" si="89"/>
        <v>39034.436191139706</v>
      </c>
      <c r="DX12" s="11">
        <f t="shared" si="40"/>
        <v>91.771373236800827</v>
      </c>
      <c r="DY12" s="11">
        <f t="shared" si="90"/>
        <v>95624.942938849737</v>
      </c>
      <c r="DZ12" s="11">
        <f t="shared" si="41"/>
        <v>95.505615416182238</v>
      </c>
      <c r="EA12" s="99"/>
      <c r="EB12" s="11">
        <f t="shared" si="42"/>
        <v>0</v>
      </c>
      <c r="EC12" s="11">
        <f t="shared" si="91"/>
        <v>0</v>
      </c>
      <c r="ED12" s="11">
        <f t="shared" si="43"/>
        <v>0</v>
      </c>
      <c r="EE12" s="99"/>
      <c r="EF12" s="11">
        <f t="shared" si="44"/>
        <v>0</v>
      </c>
      <c r="EG12" s="11">
        <f t="shared" si="92"/>
        <v>0</v>
      </c>
      <c r="EH12" s="11">
        <f t="shared" si="45"/>
        <v>0</v>
      </c>
      <c r="EI12" s="99"/>
      <c r="EJ12" s="17">
        <f t="shared" si="46"/>
        <v>0</v>
      </c>
      <c r="EK12" s="11">
        <f t="shared" si="93"/>
        <v>0</v>
      </c>
      <c r="EL12" s="11">
        <f t="shared" si="47"/>
        <v>0</v>
      </c>
      <c r="EM12" s="11">
        <f t="shared" si="94"/>
        <v>0</v>
      </c>
      <c r="EN12" s="11">
        <f t="shared" si="48"/>
        <v>0</v>
      </c>
      <c r="EO12" s="11">
        <f t="shared" si="95"/>
        <v>0</v>
      </c>
      <c r="EP12" s="11">
        <f t="shared" si="49"/>
        <v>0</v>
      </c>
      <c r="EQ12" s="99"/>
      <c r="ER12" s="11">
        <f t="shared" si="50"/>
        <v>0</v>
      </c>
      <c r="ES12" s="11">
        <f t="shared" si="96"/>
        <v>0</v>
      </c>
      <c r="ET12" s="11">
        <f t="shared" si="51"/>
        <v>0</v>
      </c>
      <c r="EU12" s="11">
        <f t="shared" si="97"/>
        <v>42534.436191139706</v>
      </c>
      <c r="EV12" s="11">
        <f t="shared" si="98"/>
        <v>100124.94293884974</v>
      </c>
      <c r="EW12" s="11">
        <f t="shared" si="52"/>
        <v>1.0426640239039984</v>
      </c>
      <c r="EX12" s="11">
        <f t="shared" si="53"/>
        <v>0.9561022797392118</v>
      </c>
      <c r="EY12" s="493">
        <f t="shared" si="99"/>
        <v>1.0450772184909818</v>
      </c>
      <c r="EZ12" s="494">
        <f t="shared" si="100"/>
        <v>1.0951326796290761</v>
      </c>
      <c r="FA12" s="6" t="s">
        <v>425</v>
      </c>
    </row>
    <row r="13" spans="1:157">
      <c r="A13" s="18">
        <f>+Chem!A12</f>
        <v>46085</v>
      </c>
      <c r="B13" s="6" t="str">
        <f>+Chem!B12</f>
        <v>Toilet</v>
      </c>
      <c r="C13" s="6" t="str">
        <f>+Chem!C12</f>
        <v>14/15,5</v>
      </c>
      <c r="D13" s="9">
        <f>+Chem!D12</f>
        <v>38.302</v>
      </c>
      <c r="E13" s="7">
        <f>+Chem!E12</f>
        <v>38.091999999999999</v>
      </c>
      <c r="F13" s="7">
        <f t="shared" si="54"/>
        <v>142.81400000000002</v>
      </c>
      <c r="G13" s="99">
        <f>2*G7</f>
        <v>500</v>
      </c>
      <c r="H13" s="11">
        <f t="shared" si="0"/>
        <v>1.166101442340205</v>
      </c>
      <c r="I13" s="9">
        <f t="shared" si="55"/>
        <v>5000</v>
      </c>
      <c r="J13" s="11">
        <f t="shared" si="1"/>
        <v>3.4964335873223917</v>
      </c>
      <c r="K13" s="99"/>
      <c r="L13" s="11">
        <f t="shared" si="2"/>
        <v>0</v>
      </c>
      <c r="M13" s="11">
        <f t="shared" si="56"/>
        <v>0</v>
      </c>
      <c r="N13" s="11">
        <f t="shared" si="3"/>
        <v>0</v>
      </c>
      <c r="O13" s="99"/>
      <c r="P13" s="11">
        <f t="shared" si="4"/>
        <v>0</v>
      </c>
      <c r="Q13" s="11">
        <f t="shared" si="57"/>
        <v>0</v>
      </c>
      <c r="R13" s="11">
        <f t="shared" si="5"/>
        <v>0</v>
      </c>
      <c r="S13" s="99"/>
      <c r="T13" s="11">
        <f t="shared" si="6"/>
        <v>0</v>
      </c>
      <c r="U13" s="11">
        <f t="shared" si="58"/>
        <v>0</v>
      </c>
      <c r="V13" s="11">
        <f t="shared" si="7"/>
        <v>0</v>
      </c>
      <c r="W13" s="11"/>
      <c r="X13" s="11">
        <f t="shared" si="8"/>
        <v>0</v>
      </c>
      <c r="Y13" s="11">
        <f t="shared" si="59"/>
        <v>0</v>
      </c>
      <c r="Z13" s="11">
        <f t="shared" si="9"/>
        <v>0</v>
      </c>
      <c r="AA13" s="99"/>
      <c r="AB13" s="11">
        <f t="shared" si="10"/>
        <v>0</v>
      </c>
      <c r="AC13" s="11">
        <f t="shared" si="60"/>
        <v>0</v>
      </c>
      <c r="AD13" s="11">
        <f t="shared" si="11"/>
        <v>0</v>
      </c>
      <c r="AE13" s="99"/>
      <c r="AF13" s="11">
        <f t="shared" si="12"/>
        <v>0</v>
      </c>
      <c r="AG13" s="11">
        <f t="shared" si="61"/>
        <v>0</v>
      </c>
      <c r="AH13" s="11">
        <f t="shared" si="13"/>
        <v>0</v>
      </c>
      <c r="AI13" s="99"/>
      <c r="AJ13" s="11">
        <f t="shared" si="14"/>
        <v>0</v>
      </c>
      <c r="AK13" s="11">
        <f t="shared" si="62"/>
        <v>0</v>
      </c>
      <c r="AL13" s="11">
        <f t="shared" si="15"/>
        <v>0</v>
      </c>
      <c r="AM13" s="99"/>
      <c r="AN13" s="11">
        <f t="shared" si="16"/>
        <v>0</v>
      </c>
      <c r="AO13" s="11">
        <f t="shared" si="63"/>
        <v>0</v>
      </c>
      <c r="AP13" s="11">
        <f t="shared" si="17"/>
        <v>0</v>
      </c>
      <c r="AQ13" s="99"/>
      <c r="AR13" s="11">
        <f t="shared" si="18"/>
        <v>0</v>
      </c>
      <c r="AS13" s="11">
        <f t="shared" si="64"/>
        <v>0</v>
      </c>
      <c r="AT13" s="11">
        <f t="shared" si="19"/>
        <v>0</v>
      </c>
      <c r="AU13" s="256"/>
      <c r="AV13" s="11">
        <f t="shared" si="20"/>
        <v>0</v>
      </c>
      <c r="AW13" s="9">
        <f t="shared" si="65"/>
        <v>0</v>
      </c>
      <c r="AX13" s="11">
        <f t="shared" si="21"/>
        <v>0</v>
      </c>
      <c r="AY13" s="99"/>
      <c r="AZ13" s="11">
        <f t="shared" si="22"/>
        <v>0</v>
      </c>
      <c r="BA13" s="11">
        <f t="shared" si="66"/>
        <v>0</v>
      </c>
      <c r="BB13" s="11">
        <f t="shared" si="23"/>
        <v>0</v>
      </c>
      <c r="BC13" s="99"/>
      <c r="BD13" s="11">
        <f t="shared" si="24"/>
        <v>0</v>
      </c>
      <c r="BE13" s="11">
        <f t="shared" si="67"/>
        <v>0</v>
      </c>
      <c r="BF13" s="11">
        <f t="shared" si="25"/>
        <v>0</v>
      </c>
      <c r="BG13" s="99"/>
      <c r="BH13" s="11">
        <f t="shared" si="26"/>
        <v>0</v>
      </c>
      <c r="BI13" s="11">
        <f t="shared" si="68"/>
        <v>0</v>
      </c>
      <c r="BJ13" s="11">
        <f t="shared" si="27"/>
        <v>0</v>
      </c>
      <c r="BK13" s="99"/>
      <c r="BL13" s="11"/>
      <c r="BM13" s="11"/>
      <c r="BN13" s="11"/>
      <c r="BO13" s="99"/>
      <c r="BP13" s="11"/>
      <c r="BQ13" s="11"/>
      <c r="BR13" s="11"/>
      <c r="BS13" s="99"/>
      <c r="BT13" s="11"/>
      <c r="BU13" s="11"/>
      <c r="BV13" s="11"/>
      <c r="BW13" s="11">
        <f t="shared" si="69"/>
        <v>500</v>
      </c>
      <c r="BX13" s="11">
        <f t="shared" si="28"/>
        <v>1.166101442340205</v>
      </c>
      <c r="BY13" s="11">
        <f t="shared" si="70"/>
        <v>5000</v>
      </c>
      <c r="BZ13" s="11">
        <f t="shared" si="29"/>
        <v>3.4964335873223917</v>
      </c>
      <c r="CA13" s="11"/>
      <c r="CB13" s="11">
        <f t="shared" si="71"/>
        <v>0</v>
      </c>
      <c r="CC13" s="11">
        <f t="shared" si="101"/>
        <v>0</v>
      </c>
      <c r="CD13" s="11">
        <f t="shared" si="72"/>
        <v>0</v>
      </c>
      <c r="CE13" s="11"/>
      <c r="CF13" s="11">
        <f t="shared" si="102"/>
        <v>0</v>
      </c>
      <c r="CG13" s="11">
        <f t="shared" si="103"/>
        <v>0</v>
      </c>
      <c r="CH13" s="11">
        <f t="shared" si="104"/>
        <v>0</v>
      </c>
      <c r="CI13" s="11">
        <f t="shared" si="73"/>
        <v>0</v>
      </c>
      <c r="CJ13" s="11">
        <f t="shared" si="105"/>
        <v>0</v>
      </c>
      <c r="CK13" s="11">
        <f t="shared" si="106"/>
        <v>0</v>
      </c>
      <c r="CL13" s="11">
        <f t="shared" si="107"/>
        <v>0</v>
      </c>
      <c r="CM13" s="99">
        <v>6364.7728994175559</v>
      </c>
      <c r="CN13" s="11">
        <f t="shared" si="74"/>
        <v>14.843941716357319</v>
      </c>
      <c r="CO13" s="11">
        <f t="shared" si="75"/>
        <v>6364.7728994175559</v>
      </c>
      <c r="CP13" s="11">
        <f t="shared" si="76"/>
        <v>4.4508011482405729</v>
      </c>
      <c r="CQ13" s="99">
        <v>23141.596677723508</v>
      </c>
      <c r="CR13" s="11">
        <f t="shared" si="30"/>
        <v>53.970898527897361</v>
      </c>
      <c r="CS13" s="11">
        <f t="shared" si="77"/>
        <v>75297.830800715848</v>
      </c>
      <c r="CT13" s="11">
        <f t="shared" si="31"/>
        <v>52.654772932828287</v>
      </c>
      <c r="CU13" s="99">
        <v>9929.95533732076</v>
      </c>
      <c r="CV13" s="11">
        <f t="shared" si="32"/>
        <v>23.158670482447111</v>
      </c>
      <c r="CW13" s="11">
        <f t="shared" si="78"/>
        <v>32561.413988416389</v>
      </c>
      <c r="CX13" s="11">
        <f t="shared" si="33"/>
        <v>22.769764303961644</v>
      </c>
      <c r="CY13" s="99">
        <v>1554.4296497505679</v>
      </c>
      <c r="CZ13" s="11">
        <f t="shared" si="34"/>
        <v>3.6252453131810336</v>
      </c>
      <c r="DA13" s="11">
        <f t="shared" si="79"/>
        <v>4975.0200983577188</v>
      </c>
      <c r="DB13" s="11">
        <f t="shared" si="35"/>
        <v>3.4789654739003759</v>
      </c>
      <c r="DC13" s="99">
        <v>1109.2240185963904</v>
      </c>
      <c r="DD13" s="11">
        <f t="shared" si="36"/>
        <v>2.5869354559272981</v>
      </c>
      <c r="DE13" s="11">
        <f t="shared" si="80"/>
        <v>3618.1590558742191</v>
      </c>
      <c r="DF13" s="11">
        <f t="shared" si="37"/>
        <v>2.5301305694466589</v>
      </c>
      <c r="DG13" s="99">
        <v>277.93768119727321</v>
      </c>
      <c r="DH13" s="11">
        <f t="shared" si="38"/>
        <v>0.6482070618496647</v>
      </c>
      <c r="DI13" s="11">
        <f t="shared" si="81"/>
        <v>1020.8970691245745</v>
      </c>
      <c r="DJ13" s="11">
        <f t="shared" si="39"/>
        <v>0.71389976033723035</v>
      </c>
      <c r="DK13" s="99"/>
      <c r="DL13" s="11">
        <f t="shared" si="82"/>
        <v>0</v>
      </c>
      <c r="DM13" s="11">
        <f t="shared" si="83"/>
        <v>0</v>
      </c>
      <c r="DN13" s="11">
        <f t="shared" si="84"/>
        <v>0</v>
      </c>
      <c r="DO13" s="496"/>
      <c r="DP13" s="11">
        <f t="shared" si="85"/>
        <v>0</v>
      </c>
      <c r="DQ13" s="11">
        <f t="shared" si="86"/>
        <v>0</v>
      </c>
      <c r="DR13" s="11">
        <f t="shared" si="87"/>
        <v>0</v>
      </c>
      <c r="DS13" s="99"/>
      <c r="DT13" s="11">
        <f t="shared" si="108"/>
        <v>0</v>
      </c>
      <c r="DU13" s="11">
        <f t="shared" si="88"/>
        <v>0</v>
      </c>
      <c r="DV13" s="11">
        <f t="shared" si="109"/>
        <v>0</v>
      </c>
      <c r="DW13" s="11">
        <f t="shared" si="89"/>
        <v>42377.91626400606</v>
      </c>
      <c r="DX13" s="11">
        <f t="shared" si="40"/>
        <v>98.833898557659793</v>
      </c>
      <c r="DY13" s="11">
        <f t="shared" si="90"/>
        <v>138002.85920285579</v>
      </c>
      <c r="DZ13" s="11">
        <f t="shared" si="41"/>
        <v>96.503566412677614</v>
      </c>
      <c r="EA13" s="99"/>
      <c r="EB13" s="11">
        <f t="shared" si="42"/>
        <v>0</v>
      </c>
      <c r="EC13" s="11">
        <f t="shared" si="91"/>
        <v>0</v>
      </c>
      <c r="ED13" s="11">
        <f t="shared" si="43"/>
        <v>0</v>
      </c>
      <c r="EE13" s="99"/>
      <c r="EF13" s="11">
        <f t="shared" si="44"/>
        <v>0</v>
      </c>
      <c r="EG13" s="11">
        <f t="shared" si="92"/>
        <v>0</v>
      </c>
      <c r="EH13" s="11">
        <f t="shared" si="45"/>
        <v>0</v>
      </c>
      <c r="EI13" s="99"/>
      <c r="EJ13" s="17">
        <f t="shared" si="46"/>
        <v>0</v>
      </c>
      <c r="EK13" s="11">
        <f t="shared" si="93"/>
        <v>0</v>
      </c>
      <c r="EL13" s="11">
        <f t="shared" si="47"/>
        <v>0</v>
      </c>
      <c r="EM13" s="11">
        <f t="shared" si="94"/>
        <v>0</v>
      </c>
      <c r="EN13" s="11">
        <f t="shared" si="48"/>
        <v>0</v>
      </c>
      <c r="EO13" s="11">
        <f t="shared" si="95"/>
        <v>0</v>
      </c>
      <c r="EP13" s="11">
        <f t="shared" si="49"/>
        <v>0</v>
      </c>
      <c r="EQ13" s="99"/>
      <c r="ER13" s="11">
        <f t="shared" si="50"/>
        <v>0</v>
      </c>
      <c r="ES13" s="11">
        <f t="shared" si="96"/>
        <v>0</v>
      </c>
      <c r="ET13" s="11">
        <f t="shared" si="51"/>
        <v>0</v>
      </c>
      <c r="EU13" s="11">
        <f t="shared" si="97"/>
        <v>42877.91626400606</v>
      </c>
      <c r="EV13" s="11">
        <f t="shared" si="98"/>
        <v>143002.85920285579</v>
      </c>
      <c r="EW13" s="11">
        <f t="shared" si="52"/>
        <v>1.1256409814135793</v>
      </c>
      <c r="EX13" s="11">
        <f t="shared" si="53"/>
        <v>1.0013224137889547</v>
      </c>
      <c r="EY13" s="493">
        <f t="shared" si="99"/>
        <v>0.89886439348962688</v>
      </c>
      <c r="EZ13" s="494">
        <f t="shared" si="100"/>
        <v>1.0348626167960198</v>
      </c>
      <c r="FA13" s="6" t="s">
        <v>425</v>
      </c>
    </row>
    <row r="14" spans="1:157">
      <c r="A14" s="18">
        <f>+Chem!A13</f>
        <v>46086</v>
      </c>
      <c r="B14" s="6" t="str">
        <f>+Chem!B13</f>
        <v>Toilet</v>
      </c>
      <c r="C14" s="6" t="str">
        <f>+Chem!C13</f>
        <v>15,5/13,5</v>
      </c>
      <c r="D14" s="9">
        <f>+Chem!D13</f>
        <v>42.480000000000004</v>
      </c>
      <c r="E14" s="7">
        <f>+Chem!E13</f>
        <v>43.31</v>
      </c>
      <c r="F14" s="7">
        <f t="shared" si="54"/>
        <v>186.12400000000002</v>
      </c>
      <c r="G14" s="100"/>
      <c r="H14" s="90">
        <f t="shared" si="0"/>
        <v>0</v>
      </c>
      <c r="I14" s="9">
        <f t="shared" si="55"/>
        <v>5000</v>
      </c>
      <c r="J14" s="90">
        <f t="shared" si="1"/>
        <v>2.7147525013424292</v>
      </c>
      <c r="K14" s="100"/>
      <c r="L14" s="90">
        <f t="shared" si="2"/>
        <v>0</v>
      </c>
      <c r="M14" s="90">
        <f t="shared" si="56"/>
        <v>0</v>
      </c>
      <c r="N14" s="90">
        <f t="shared" si="3"/>
        <v>0</v>
      </c>
      <c r="O14" s="99"/>
      <c r="P14" s="90">
        <f t="shared" si="4"/>
        <v>0</v>
      </c>
      <c r="Q14" s="90">
        <f t="shared" si="57"/>
        <v>0</v>
      </c>
      <c r="R14" s="90">
        <f t="shared" si="5"/>
        <v>0</v>
      </c>
      <c r="S14" s="100"/>
      <c r="T14" s="90">
        <f t="shared" si="6"/>
        <v>0</v>
      </c>
      <c r="U14" s="90">
        <f t="shared" si="58"/>
        <v>0</v>
      </c>
      <c r="V14" s="90">
        <f t="shared" si="7"/>
        <v>0</v>
      </c>
      <c r="W14" s="11"/>
      <c r="X14" s="90">
        <f t="shared" si="8"/>
        <v>0</v>
      </c>
      <c r="Y14" s="90">
        <f t="shared" si="59"/>
        <v>0</v>
      </c>
      <c r="Z14" s="90">
        <f t="shared" si="9"/>
        <v>0</v>
      </c>
      <c r="AA14" s="100"/>
      <c r="AB14" s="90">
        <f t="shared" si="10"/>
        <v>0</v>
      </c>
      <c r="AC14" s="90">
        <f t="shared" si="60"/>
        <v>0</v>
      </c>
      <c r="AD14" s="90">
        <f t="shared" si="11"/>
        <v>0</v>
      </c>
      <c r="AE14" s="100"/>
      <c r="AF14" s="90">
        <f t="shared" si="12"/>
        <v>0</v>
      </c>
      <c r="AG14" s="90">
        <f t="shared" si="61"/>
        <v>0</v>
      </c>
      <c r="AH14" s="90">
        <f t="shared" si="13"/>
        <v>0</v>
      </c>
      <c r="AI14" s="100"/>
      <c r="AJ14" s="90">
        <f t="shared" si="14"/>
        <v>0</v>
      </c>
      <c r="AK14" s="90">
        <f t="shared" si="62"/>
        <v>0</v>
      </c>
      <c r="AL14" s="90">
        <f t="shared" si="15"/>
        <v>0</v>
      </c>
      <c r="AM14" s="100"/>
      <c r="AN14" s="90">
        <f t="shared" si="16"/>
        <v>0</v>
      </c>
      <c r="AO14" s="90">
        <f t="shared" si="63"/>
        <v>0</v>
      </c>
      <c r="AP14" s="90">
        <f t="shared" si="17"/>
        <v>0</v>
      </c>
      <c r="AQ14" s="100"/>
      <c r="AR14" s="90">
        <f t="shared" si="18"/>
        <v>0</v>
      </c>
      <c r="AS14" s="90">
        <f t="shared" si="64"/>
        <v>0</v>
      </c>
      <c r="AT14" s="90">
        <f t="shared" si="19"/>
        <v>0</v>
      </c>
      <c r="AU14" s="256"/>
      <c r="AV14" s="90">
        <f t="shared" si="20"/>
        <v>0</v>
      </c>
      <c r="AW14" s="9">
        <f t="shared" si="65"/>
        <v>0</v>
      </c>
      <c r="AX14" s="90">
        <f t="shared" si="21"/>
        <v>0</v>
      </c>
      <c r="AY14" s="100"/>
      <c r="AZ14" s="90">
        <f t="shared" si="22"/>
        <v>0</v>
      </c>
      <c r="BA14" s="90">
        <f t="shared" si="66"/>
        <v>0</v>
      </c>
      <c r="BB14" s="90">
        <f t="shared" si="23"/>
        <v>0</v>
      </c>
      <c r="BC14" s="100"/>
      <c r="BD14" s="90">
        <f t="shared" si="24"/>
        <v>0</v>
      </c>
      <c r="BE14" s="90">
        <f t="shared" si="67"/>
        <v>0</v>
      </c>
      <c r="BF14" s="90">
        <f t="shared" si="25"/>
        <v>0</v>
      </c>
      <c r="BG14" s="100"/>
      <c r="BH14" s="90">
        <f t="shared" si="26"/>
        <v>0</v>
      </c>
      <c r="BI14" s="90">
        <f t="shared" si="68"/>
        <v>0</v>
      </c>
      <c r="BJ14" s="90">
        <f t="shared" si="27"/>
        <v>0</v>
      </c>
      <c r="BK14" s="100"/>
      <c r="BL14" s="90"/>
      <c r="BM14" s="90"/>
      <c r="BN14" s="90"/>
      <c r="BO14" s="100"/>
      <c r="BP14" s="90"/>
      <c r="BQ14" s="90"/>
      <c r="BR14" s="90"/>
      <c r="BS14" s="100"/>
      <c r="BT14" s="90"/>
      <c r="BU14" s="90"/>
      <c r="BV14" s="90"/>
      <c r="BW14" s="90">
        <f t="shared" si="69"/>
        <v>0</v>
      </c>
      <c r="BX14" s="90">
        <f t="shared" si="28"/>
        <v>0</v>
      </c>
      <c r="BY14" s="90">
        <f t="shared" si="70"/>
        <v>5000</v>
      </c>
      <c r="BZ14" s="90">
        <f t="shared" si="29"/>
        <v>2.7147525013424292</v>
      </c>
      <c r="CA14" s="90"/>
      <c r="CB14" s="11">
        <f t="shared" si="71"/>
        <v>0</v>
      </c>
      <c r="CC14" s="11">
        <f t="shared" si="101"/>
        <v>0</v>
      </c>
      <c r="CD14" s="11">
        <f t="shared" si="72"/>
        <v>0</v>
      </c>
      <c r="CE14" s="11"/>
      <c r="CF14" s="11">
        <f t="shared" si="102"/>
        <v>0</v>
      </c>
      <c r="CG14" s="11">
        <f t="shared" si="103"/>
        <v>0</v>
      </c>
      <c r="CH14" s="11">
        <f t="shared" si="104"/>
        <v>0</v>
      </c>
      <c r="CI14" s="11">
        <f t="shared" si="73"/>
        <v>0</v>
      </c>
      <c r="CJ14" s="11">
        <f t="shared" si="105"/>
        <v>0</v>
      </c>
      <c r="CK14" s="11">
        <f t="shared" si="106"/>
        <v>0</v>
      </c>
      <c r="CL14" s="11">
        <f t="shared" si="107"/>
        <v>0</v>
      </c>
      <c r="CM14" s="99">
        <v>5959.7713228803232</v>
      </c>
      <c r="CN14" s="11">
        <f t="shared" si="74"/>
        <v>14.473898194828427</v>
      </c>
      <c r="CO14" s="11">
        <f t="shared" si="75"/>
        <v>5959.7713228803232</v>
      </c>
      <c r="CP14" s="11">
        <f t="shared" si="76"/>
        <v>3.235860821243647</v>
      </c>
      <c r="CQ14" s="100">
        <v>22745.34448694775</v>
      </c>
      <c r="CR14" s="90">
        <f t="shared" si="30"/>
        <v>55.23933430910175</v>
      </c>
      <c r="CS14" s="90">
        <f t="shared" si="77"/>
        <v>98043.175287663602</v>
      </c>
      <c r="CT14" s="90">
        <f t="shared" si="31"/>
        <v>53.232591070347802</v>
      </c>
      <c r="CU14" s="100">
        <v>10153.932489806213</v>
      </c>
      <c r="CV14" s="90">
        <f t="shared" si="32"/>
        <v>24.659836287743264</v>
      </c>
      <c r="CW14" s="90">
        <f t="shared" si="78"/>
        <v>42715.3464782226</v>
      </c>
      <c r="CX14" s="90">
        <f t="shared" si="33"/>
        <v>23.192318739492666</v>
      </c>
      <c r="CY14" s="99">
        <v>1674.0930682248097</v>
      </c>
      <c r="CZ14" s="90">
        <f t="shared" si="34"/>
        <v>4.0657017401203444</v>
      </c>
      <c r="DA14" s="90">
        <f t="shared" si="79"/>
        <v>6649.1131665825287</v>
      </c>
      <c r="DB14" s="90">
        <f t="shared" si="35"/>
        <v>3.6101393201377596</v>
      </c>
      <c r="DC14" s="100">
        <v>642.85173819832698</v>
      </c>
      <c r="DD14" s="90">
        <f t="shared" si="36"/>
        <v>1.5612294682062124</v>
      </c>
      <c r="DE14" s="90">
        <f t="shared" si="80"/>
        <v>4261.0107940725466</v>
      </c>
      <c r="DF14" s="90">
        <f t="shared" si="37"/>
        <v>2.3135179422911074</v>
      </c>
      <c r="DG14" s="100"/>
      <c r="DH14" s="90">
        <f t="shared" si="38"/>
        <v>0</v>
      </c>
      <c r="DI14" s="90">
        <f t="shared" si="81"/>
        <v>1020.8970691245745</v>
      </c>
      <c r="DJ14" s="90">
        <f t="shared" si="39"/>
        <v>0.55429657440381863</v>
      </c>
      <c r="DK14" s="100"/>
      <c r="DL14" s="11">
        <f t="shared" si="82"/>
        <v>0</v>
      </c>
      <c r="DM14" s="90">
        <f t="shared" si="83"/>
        <v>0</v>
      </c>
      <c r="DN14" s="11">
        <f t="shared" si="84"/>
        <v>0</v>
      </c>
      <c r="DO14" s="496"/>
      <c r="DP14" s="90">
        <f t="shared" si="85"/>
        <v>0</v>
      </c>
      <c r="DQ14" s="90">
        <f t="shared" si="86"/>
        <v>0</v>
      </c>
      <c r="DR14" s="90">
        <f t="shared" si="87"/>
        <v>0</v>
      </c>
      <c r="DS14" s="100"/>
      <c r="DT14" s="11">
        <f t="shared" si="108"/>
        <v>0</v>
      </c>
      <c r="DU14" s="11">
        <f t="shared" si="88"/>
        <v>0</v>
      </c>
      <c r="DV14" s="11">
        <f t="shared" si="109"/>
        <v>0</v>
      </c>
      <c r="DW14" s="11">
        <f t="shared" si="89"/>
        <v>41175.993106057424</v>
      </c>
      <c r="DX14" s="90">
        <f t="shared" si="40"/>
        <v>100</v>
      </c>
      <c r="DY14" s="90">
        <f t="shared" si="90"/>
        <v>179178.85230891322</v>
      </c>
      <c r="DZ14" s="90">
        <f t="shared" si="41"/>
        <v>97.285247498657569</v>
      </c>
      <c r="EA14" s="100"/>
      <c r="EB14" s="90">
        <f t="shared" si="42"/>
        <v>0</v>
      </c>
      <c r="EC14" s="90">
        <f t="shared" si="91"/>
        <v>0</v>
      </c>
      <c r="ED14" s="90">
        <f t="shared" si="43"/>
        <v>0</v>
      </c>
      <c r="EE14" s="100"/>
      <c r="EF14" s="90">
        <f t="shared" si="44"/>
        <v>0</v>
      </c>
      <c r="EG14" s="90">
        <f t="shared" si="92"/>
        <v>0</v>
      </c>
      <c r="EH14" s="90">
        <f t="shared" si="45"/>
        <v>0</v>
      </c>
      <c r="EI14" s="100"/>
      <c r="EJ14" s="91">
        <f t="shared" si="46"/>
        <v>0</v>
      </c>
      <c r="EK14" s="90">
        <f t="shared" si="93"/>
        <v>0</v>
      </c>
      <c r="EL14" s="90">
        <f t="shared" si="47"/>
        <v>0</v>
      </c>
      <c r="EM14" s="90">
        <f t="shared" si="94"/>
        <v>0</v>
      </c>
      <c r="EN14" s="90">
        <f t="shared" si="48"/>
        <v>0</v>
      </c>
      <c r="EO14" s="90">
        <f t="shared" si="95"/>
        <v>0</v>
      </c>
      <c r="EP14" s="90">
        <f t="shared" si="49"/>
        <v>0</v>
      </c>
      <c r="EQ14" s="100"/>
      <c r="ER14" s="90">
        <f t="shared" si="50"/>
        <v>0</v>
      </c>
      <c r="ES14" s="90">
        <f t="shared" si="96"/>
        <v>0</v>
      </c>
      <c r="ET14" s="90">
        <f t="shared" si="51"/>
        <v>0</v>
      </c>
      <c r="EU14" s="11">
        <f t="shared" si="97"/>
        <v>41175.993106057424</v>
      </c>
      <c r="EV14" s="90">
        <f t="shared" si="98"/>
        <v>184178.85230891322</v>
      </c>
      <c r="EW14" s="90">
        <f t="shared" si="52"/>
        <v>0.95072715553122655</v>
      </c>
      <c r="EX14" s="90">
        <f t="shared" si="53"/>
        <v>0.98954918392530367</v>
      </c>
      <c r="EY14" s="493">
        <f t="shared" si="99"/>
        <v>1.051826482689707</v>
      </c>
      <c r="EZ14" s="494">
        <f t="shared" si="100"/>
        <v>1.0387609787739516</v>
      </c>
      <c r="FA14" s="6" t="s">
        <v>425</v>
      </c>
    </row>
    <row r="15" spans="1:157">
      <c r="A15" s="18">
        <f>+Chem!A14</f>
        <v>46087</v>
      </c>
      <c r="B15" s="6" t="str">
        <f>+Chem!B14</f>
        <v>Toilet</v>
      </c>
      <c r="C15" s="6" t="str">
        <f>+Chem!C14</f>
        <v>13,5/20/14</v>
      </c>
      <c r="D15" s="9">
        <f>+Chem!D14</f>
        <v>26.557000000000002</v>
      </c>
      <c r="E15" s="7">
        <f>+Chem!E14</f>
        <v>26.603000000000002</v>
      </c>
      <c r="F15" s="7">
        <f t="shared" si="54"/>
        <v>212.72700000000003</v>
      </c>
      <c r="G15" s="100">
        <f>4*G7</f>
        <v>1000</v>
      </c>
      <c r="H15" s="90">
        <f t="shared" si="0"/>
        <v>2.9230211472549077</v>
      </c>
      <c r="I15" s="9">
        <f t="shared" si="55"/>
        <v>6000</v>
      </c>
      <c r="J15" s="90">
        <f t="shared" si="1"/>
        <v>2.7473781477666348</v>
      </c>
      <c r="K15" s="100"/>
      <c r="L15" s="90">
        <f t="shared" si="2"/>
        <v>0</v>
      </c>
      <c r="M15" s="90">
        <f t="shared" si="56"/>
        <v>0</v>
      </c>
      <c r="N15" s="90">
        <f t="shared" si="3"/>
        <v>0</v>
      </c>
      <c r="O15" s="99"/>
      <c r="P15" s="90">
        <f t="shared" si="4"/>
        <v>0</v>
      </c>
      <c r="Q15" s="90">
        <f t="shared" si="57"/>
        <v>0</v>
      </c>
      <c r="R15" s="90">
        <f t="shared" si="5"/>
        <v>0</v>
      </c>
      <c r="S15" s="100"/>
      <c r="T15" s="90">
        <f t="shared" si="6"/>
        <v>0</v>
      </c>
      <c r="U15" s="90">
        <f t="shared" si="58"/>
        <v>0</v>
      </c>
      <c r="V15" s="90">
        <f t="shared" si="7"/>
        <v>0</v>
      </c>
      <c r="W15" s="11"/>
      <c r="X15" s="90">
        <f t="shared" si="8"/>
        <v>0</v>
      </c>
      <c r="Y15" s="90">
        <f t="shared" si="59"/>
        <v>0</v>
      </c>
      <c r="Z15" s="90">
        <f t="shared" si="9"/>
        <v>0</v>
      </c>
      <c r="AA15" s="100"/>
      <c r="AB15" s="90">
        <f t="shared" si="10"/>
        <v>0</v>
      </c>
      <c r="AC15" s="90">
        <f t="shared" si="60"/>
        <v>0</v>
      </c>
      <c r="AD15" s="90">
        <f t="shared" si="11"/>
        <v>0</v>
      </c>
      <c r="AE15" s="100"/>
      <c r="AF15" s="90">
        <f t="shared" si="12"/>
        <v>0</v>
      </c>
      <c r="AG15" s="90">
        <f t="shared" si="61"/>
        <v>0</v>
      </c>
      <c r="AH15" s="90">
        <f t="shared" si="13"/>
        <v>0</v>
      </c>
      <c r="AI15" s="100"/>
      <c r="AJ15" s="90">
        <f t="shared" si="14"/>
        <v>0</v>
      </c>
      <c r="AK15" s="90">
        <f t="shared" si="62"/>
        <v>0</v>
      </c>
      <c r="AL15" s="90">
        <f t="shared" si="15"/>
        <v>0</v>
      </c>
      <c r="AM15" s="100"/>
      <c r="AN15" s="90">
        <f t="shared" si="16"/>
        <v>0</v>
      </c>
      <c r="AO15" s="90">
        <f t="shared" si="63"/>
        <v>0</v>
      </c>
      <c r="AP15" s="90">
        <f t="shared" si="17"/>
        <v>0</v>
      </c>
      <c r="AQ15" s="100"/>
      <c r="AR15" s="90">
        <f t="shared" si="18"/>
        <v>0</v>
      </c>
      <c r="AS15" s="90">
        <f t="shared" si="64"/>
        <v>0</v>
      </c>
      <c r="AT15" s="90">
        <f t="shared" si="19"/>
        <v>0</v>
      </c>
      <c r="AU15" s="256"/>
      <c r="AV15" s="90">
        <f t="shared" si="20"/>
        <v>0</v>
      </c>
      <c r="AW15" s="9">
        <f t="shared" si="65"/>
        <v>0</v>
      </c>
      <c r="AX15" s="90">
        <f t="shared" si="21"/>
        <v>0</v>
      </c>
      <c r="AY15" s="100"/>
      <c r="AZ15" s="90">
        <f t="shared" si="22"/>
        <v>0</v>
      </c>
      <c r="BA15" s="90">
        <f t="shared" si="66"/>
        <v>0</v>
      </c>
      <c r="BB15" s="90">
        <f t="shared" si="23"/>
        <v>0</v>
      </c>
      <c r="BC15" s="100"/>
      <c r="BD15" s="90">
        <f t="shared" si="24"/>
        <v>0</v>
      </c>
      <c r="BE15" s="90">
        <f t="shared" si="67"/>
        <v>0</v>
      </c>
      <c r="BF15" s="90">
        <f t="shared" si="25"/>
        <v>0</v>
      </c>
      <c r="BG15" s="100"/>
      <c r="BH15" s="90">
        <f t="shared" si="26"/>
        <v>0</v>
      </c>
      <c r="BI15" s="90">
        <f t="shared" si="68"/>
        <v>0</v>
      </c>
      <c r="BJ15" s="90">
        <f t="shared" si="27"/>
        <v>0</v>
      </c>
      <c r="BK15" s="100"/>
      <c r="BL15" s="90"/>
      <c r="BM15" s="90"/>
      <c r="BN15" s="90"/>
      <c r="BO15" s="100"/>
      <c r="BP15" s="90"/>
      <c r="BQ15" s="90"/>
      <c r="BR15" s="90"/>
      <c r="BS15" s="100"/>
      <c r="BT15" s="90"/>
      <c r="BU15" s="90"/>
      <c r="BV15" s="90"/>
      <c r="BW15" s="90">
        <f t="shared" si="69"/>
        <v>1000</v>
      </c>
      <c r="BX15" s="90">
        <f t="shared" si="28"/>
        <v>2.9230211472549077</v>
      </c>
      <c r="BY15" s="90">
        <f t="shared" si="70"/>
        <v>6000</v>
      </c>
      <c r="BZ15" s="90">
        <f t="shared" si="29"/>
        <v>2.7473781477666348</v>
      </c>
      <c r="CA15" s="90"/>
      <c r="CB15" s="11">
        <f t="shared" si="71"/>
        <v>0</v>
      </c>
      <c r="CC15" s="11">
        <f t="shared" si="101"/>
        <v>0</v>
      </c>
      <c r="CD15" s="11">
        <f t="shared" si="72"/>
        <v>0</v>
      </c>
      <c r="CE15" s="11"/>
      <c r="CF15" s="11">
        <f t="shared" si="102"/>
        <v>0</v>
      </c>
      <c r="CG15" s="11">
        <f t="shared" si="103"/>
        <v>0</v>
      </c>
      <c r="CH15" s="11">
        <f t="shared" si="104"/>
        <v>0</v>
      </c>
      <c r="CI15" s="11">
        <f t="shared" si="73"/>
        <v>0</v>
      </c>
      <c r="CJ15" s="11">
        <f t="shared" si="105"/>
        <v>0</v>
      </c>
      <c r="CK15" s="11">
        <f t="shared" si="106"/>
        <v>0</v>
      </c>
      <c r="CL15" s="11">
        <f t="shared" si="107"/>
        <v>0</v>
      </c>
      <c r="CM15" s="99">
        <v>4814.9132201808889</v>
      </c>
      <c r="CN15" s="11">
        <f t="shared" si="74"/>
        <v>14.074093164785964</v>
      </c>
      <c r="CO15" s="11">
        <f t="shared" si="75"/>
        <v>4814.9132201808889</v>
      </c>
      <c r="CP15" s="11">
        <f t="shared" si="76"/>
        <v>2.2047312274196091</v>
      </c>
      <c r="CQ15" s="100">
        <v>17859.634475406834</v>
      </c>
      <c r="CR15" s="90">
        <f t="shared" si="30"/>
        <v>52.204089253856992</v>
      </c>
      <c r="CS15" s="90">
        <f t="shared" si="77"/>
        <v>115902.80976307043</v>
      </c>
      <c r="CT15" s="90">
        <f t="shared" si="31"/>
        <v>53.071474467968848</v>
      </c>
      <c r="CU15" s="100">
        <v>8333.758848709962</v>
      </c>
      <c r="CV15" s="90">
        <f t="shared" si="32"/>
        <v>24.359753350901933</v>
      </c>
      <c r="CW15" s="90">
        <f t="shared" si="78"/>
        <v>51049.105326932564</v>
      </c>
      <c r="CX15" s="90">
        <f t="shared" si="33"/>
        <v>23.375199406375309</v>
      </c>
      <c r="CY15" s="99">
        <v>1318.1847860486034</v>
      </c>
      <c r="CZ15" s="90">
        <f t="shared" si="34"/>
        <v>3.8530820056097546</v>
      </c>
      <c r="DA15" s="90">
        <f t="shared" si="79"/>
        <v>7967.2979526311319</v>
      </c>
      <c r="DB15" s="90">
        <f t="shared" si="35"/>
        <v>3.6481967153007702</v>
      </c>
      <c r="DC15" s="100">
        <v>818.33619268117991</v>
      </c>
      <c r="DD15" s="90">
        <f t="shared" si="36"/>
        <v>2.3920139967711562</v>
      </c>
      <c r="DE15" s="90">
        <f t="shared" si="80"/>
        <v>5079.346986753726</v>
      </c>
      <c r="DF15" s="90">
        <f t="shared" si="37"/>
        <v>2.3258144860552483</v>
      </c>
      <c r="DG15" s="100">
        <v>66.351583190365943</v>
      </c>
      <c r="DH15" s="90">
        <f t="shared" si="38"/>
        <v>0.19394708081928294</v>
      </c>
      <c r="DI15" s="90">
        <f t="shared" si="81"/>
        <v>1087.2486523149405</v>
      </c>
      <c r="DJ15" s="90">
        <f t="shared" si="39"/>
        <v>0.49784719809313188</v>
      </c>
      <c r="DK15" s="100"/>
      <c r="DL15" s="11">
        <f t="shared" si="82"/>
        <v>0</v>
      </c>
      <c r="DM15" s="90">
        <f t="shared" si="83"/>
        <v>0</v>
      </c>
      <c r="DN15" s="11">
        <f t="shared" si="84"/>
        <v>0</v>
      </c>
      <c r="DO15" s="496"/>
      <c r="DP15" s="90">
        <f t="shared" si="85"/>
        <v>0</v>
      </c>
      <c r="DQ15" s="90">
        <f t="shared" si="86"/>
        <v>0</v>
      </c>
      <c r="DR15" s="90">
        <f t="shared" si="87"/>
        <v>0</v>
      </c>
      <c r="DS15" s="100"/>
      <c r="DT15" s="11">
        <f t="shared" si="108"/>
        <v>0</v>
      </c>
      <c r="DU15" s="11">
        <f t="shared" si="88"/>
        <v>0</v>
      </c>
      <c r="DV15" s="11">
        <f t="shared" si="109"/>
        <v>0</v>
      </c>
      <c r="DW15" s="11">
        <f t="shared" si="89"/>
        <v>33211.179106217838</v>
      </c>
      <c r="DX15" s="90">
        <f t="shared" si="40"/>
        <v>97.076978852745086</v>
      </c>
      <c r="DY15" s="90">
        <f t="shared" si="90"/>
        <v>212390.03141513106</v>
      </c>
      <c r="DZ15" s="90">
        <f t="shared" si="41"/>
        <v>97.252621852233361</v>
      </c>
      <c r="EA15" s="100"/>
      <c r="EB15" s="90">
        <f t="shared" si="42"/>
        <v>0</v>
      </c>
      <c r="EC15" s="90">
        <f t="shared" si="91"/>
        <v>0</v>
      </c>
      <c r="ED15" s="90">
        <f t="shared" si="43"/>
        <v>0</v>
      </c>
      <c r="EE15" s="100"/>
      <c r="EF15" s="90">
        <f t="shared" si="44"/>
        <v>0</v>
      </c>
      <c r="EG15" s="90">
        <f t="shared" si="92"/>
        <v>0</v>
      </c>
      <c r="EH15" s="90">
        <f t="shared" si="45"/>
        <v>0</v>
      </c>
      <c r="EI15" s="100"/>
      <c r="EJ15" s="91">
        <f t="shared" si="46"/>
        <v>0</v>
      </c>
      <c r="EK15" s="90">
        <f t="shared" si="93"/>
        <v>0</v>
      </c>
      <c r="EL15" s="90">
        <f t="shared" si="47"/>
        <v>0</v>
      </c>
      <c r="EM15" s="90">
        <f t="shared" si="94"/>
        <v>0</v>
      </c>
      <c r="EN15" s="90">
        <f t="shared" si="48"/>
        <v>0</v>
      </c>
      <c r="EO15" s="90">
        <f t="shared" si="95"/>
        <v>0</v>
      </c>
      <c r="EP15" s="90">
        <f t="shared" si="49"/>
        <v>0</v>
      </c>
      <c r="EQ15" s="100"/>
      <c r="ER15" s="90">
        <f t="shared" si="50"/>
        <v>0</v>
      </c>
      <c r="ES15" s="90">
        <f t="shared" si="96"/>
        <v>0</v>
      </c>
      <c r="ET15" s="90">
        <f t="shared" si="51"/>
        <v>0</v>
      </c>
      <c r="EU15" s="11">
        <f t="shared" si="97"/>
        <v>34211.179106217838</v>
      </c>
      <c r="EV15" s="90">
        <f t="shared" si="98"/>
        <v>218390.03141513106</v>
      </c>
      <c r="EW15" s="90">
        <f t="shared" si="52"/>
        <v>1.2859895164537021</v>
      </c>
      <c r="EX15" s="90">
        <f t="shared" si="53"/>
        <v>1.0266211219785502</v>
      </c>
      <c r="EY15" s="493">
        <f t="shared" si="99"/>
        <v>0.80102545937669989</v>
      </c>
      <c r="EZ15" s="494">
        <f t="shared" si="100"/>
        <v>1.001586555558299</v>
      </c>
      <c r="FA15" s="6" t="s">
        <v>425</v>
      </c>
    </row>
    <row r="16" spans="1:157">
      <c r="A16" s="18">
        <f>+Chem!A15</f>
        <v>46088</v>
      </c>
      <c r="B16" s="6" t="str">
        <f>+Chem!B15</f>
        <v>Toilet</v>
      </c>
      <c r="C16" s="6" t="str">
        <f>+Chem!C15</f>
        <v>20/17</v>
      </c>
      <c r="D16" s="9">
        <f>+Chem!D15</f>
        <v>37.051000000000002</v>
      </c>
      <c r="E16" s="7">
        <f>+Chem!E15</f>
        <v>31.99</v>
      </c>
      <c r="F16" s="7">
        <f t="shared" si="54"/>
        <v>244.71700000000004</v>
      </c>
      <c r="G16" s="100"/>
      <c r="H16" s="90">
        <f t="shared" si="0"/>
        <v>0</v>
      </c>
      <c r="I16" s="9">
        <f t="shared" si="55"/>
        <v>6000</v>
      </c>
      <c r="J16" s="90">
        <f t="shared" si="1"/>
        <v>2.3944191879236532</v>
      </c>
      <c r="K16" s="100"/>
      <c r="L16" s="90">
        <f t="shared" si="2"/>
        <v>0</v>
      </c>
      <c r="M16" s="90">
        <f t="shared" si="56"/>
        <v>0</v>
      </c>
      <c r="N16" s="90">
        <f t="shared" si="3"/>
        <v>0</v>
      </c>
      <c r="O16" s="99"/>
      <c r="P16" s="90">
        <f t="shared" si="4"/>
        <v>0</v>
      </c>
      <c r="Q16" s="90">
        <f t="shared" si="57"/>
        <v>0</v>
      </c>
      <c r="R16" s="90">
        <f t="shared" si="5"/>
        <v>0</v>
      </c>
      <c r="S16" s="100"/>
      <c r="T16" s="90">
        <f t="shared" si="6"/>
        <v>0</v>
      </c>
      <c r="U16" s="90">
        <f t="shared" si="58"/>
        <v>0</v>
      </c>
      <c r="V16" s="90">
        <f t="shared" si="7"/>
        <v>0</v>
      </c>
      <c r="W16" s="11"/>
      <c r="X16" s="90">
        <f t="shared" si="8"/>
        <v>0</v>
      </c>
      <c r="Y16" s="90">
        <f t="shared" si="59"/>
        <v>0</v>
      </c>
      <c r="Z16" s="90">
        <f t="shared" si="9"/>
        <v>0</v>
      </c>
      <c r="AA16" s="100"/>
      <c r="AB16" s="90">
        <f t="shared" si="10"/>
        <v>0</v>
      </c>
      <c r="AC16" s="90">
        <f t="shared" si="60"/>
        <v>0</v>
      </c>
      <c r="AD16" s="90">
        <f t="shared" si="11"/>
        <v>0</v>
      </c>
      <c r="AE16" s="100"/>
      <c r="AF16" s="90">
        <f t="shared" si="12"/>
        <v>0</v>
      </c>
      <c r="AG16" s="90">
        <f t="shared" si="61"/>
        <v>0</v>
      </c>
      <c r="AH16" s="90">
        <f t="shared" si="13"/>
        <v>0</v>
      </c>
      <c r="AI16" s="100"/>
      <c r="AJ16" s="90">
        <f t="shared" si="14"/>
        <v>0</v>
      </c>
      <c r="AK16" s="90">
        <f t="shared" si="62"/>
        <v>0</v>
      </c>
      <c r="AL16" s="90">
        <f t="shared" si="15"/>
        <v>0</v>
      </c>
      <c r="AM16" s="100"/>
      <c r="AN16" s="90">
        <f t="shared" si="16"/>
        <v>0</v>
      </c>
      <c r="AO16" s="90">
        <f t="shared" si="63"/>
        <v>0</v>
      </c>
      <c r="AP16" s="90">
        <f t="shared" si="17"/>
        <v>0</v>
      </c>
      <c r="AQ16" s="100"/>
      <c r="AR16" s="90">
        <f t="shared" si="18"/>
        <v>0</v>
      </c>
      <c r="AS16" s="90">
        <f t="shared" si="64"/>
        <v>0</v>
      </c>
      <c r="AT16" s="90">
        <f t="shared" si="19"/>
        <v>0</v>
      </c>
      <c r="AU16" s="256"/>
      <c r="AV16" s="90">
        <f t="shared" si="20"/>
        <v>0</v>
      </c>
      <c r="AW16" s="9">
        <f t="shared" si="65"/>
        <v>0</v>
      </c>
      <c r="AX16" s="90">
        <f t="shared" si="21"/>
        <v>0</v>
      </c>
      <c r="AY16" s="100"/>
      <c r="AZ16" s="90">
        <f t="shared" si="22"/>
        <v>0</v>
      </c>
      <c r="BA16" s="90">
        <f t="shared" si="66"/>
        <v>0</v>
      </c>
      <c r="BB16" s="90">
        <f t="shared" si="23"/>
        <v>0</v>
      </c>
      <c r="BC16" s="100"/>
      <c r="BD16" s="90">
        <f t="shared" si="24"/>
        <v>0</v>
      </c>
      <c r="BE16" s="90">
        <f t="shared" si="67"/>
        <v>0</v>
      </c>
      <c r="BF16" s="90">
        <f t="shared" si="25"/>
        <v>0</v>
      </c>
      <c r="BG16" s="100"/>
      <c r="BH16" s="90">
        <f t="shared" si="26"/>
        <v>0</v>
      </c>
      <c r="BI16" s="90">
        <f t="shared" si="68"/>
        <v>0</v>
      </c>
      <c r="BJ16" s="90">
        <f t="shared" si="27"/>
        <v>0</v>
      </c>
      <c r="BK16" s="100"/>
      <c r="BL16" s="90"/>
      <c r="BM16" s="90"/>
      <c r="BN16" s="90"/>
      <c r="BO16" s="100"/>
      <c r="BP16" s="90"/>
      <c r="BQ16" s="90"/>
      <c r="BR16" s="90"/>
      <c r="BS16" s="100"/>
      <c r="BT16" s="90"/>
      <c r="BU16" s="90"/>
      <c r="BV16" s="90"/>
      <c r="BW16" s="90">
        <f t="shared" si="69"/>
        <v>0</v>
      </c>
      <c r="BX16" s="90">
        <f t="shared" si="28"/>
        <v>0</v>
      </c>
      <c r="BY16" s="90">
        <f t="shared" si="70"/>
        <v>6000</v>
      </c>
      <c r="BZ16" s="90">
        <f t="shared" si="29"/>
        <v>2.3944191879236532</v>
      </c>
      <c r="CA16" s="90"/>
      <c r="CB16" s="11">
        <f t="shared" si="71"/>
        <v>0</v>
      </c>
      <c r="CC16" s="11">
        <f t="shared" si="101"/>
        <v>0</v>
      </c>
      <c r="CD16" s="11">
        <f t="shared" si="72"/>
        <v>0</v>
      </c>
      <c r="CE16" s="11"/>
      <c r="CF16" s="11">
        <f t="shared" si="102"/>
        <v>0</v>
      </c>
      <c r="CG16" s="11">
        <f t="shared" si="103"/>
        <v>0</v>
      </c>
      <c r="CH16" s="11">
        <f t="shared" si="104"/>
        <v>0</v>
      </c>
      <c r="CI16" s="11">
        <f t="shared" si="73"/>
        <v>0</v>
      </c>
      <c r="CJ16" s="11">
        <f t="shared" si="105"/>
        <v>0</v>
      </c>
      <c r="CK16" s="11">
        <f t="shared" si="106"/>
        <v>0</v>
      </c>
      <c r="CL16" s="11">
        <f t="shared" si="107"/>
        <v>0</v>
      </c>
      <c r="CM16" s="99">
        <v>4777.3178542834266</v>
      </c>
      <c r="CN16" s="11">
        <f t="shared" si="74"/>
        <v>14.839774446431027</v>
      </c>
      <c r="CO16" s="11">
        <f t="shared" si="75"/>
        <v>4777.3178542834266</v>
      </c>
      <c r="CP16" s="11">
        <f t="shared" si="76"/>
        <v>1.9064835895177485</v>
      </c>
      <c r="CQ16" s="100">
        <v>17723.450760608484</v>
      </c>
      <c r="CR16" s="90">
        <f t="shared" si="30"/>
        <v>55.054325402283034</v>
      </c>
      <c r="CS16" s="90">
        <f t="shared" si="77"/>
        <v>133626.26052367891</v>
      </c>
      <c r="CT16" s="90">
        <f t="shared" si="31"/>
        <v>53.326213701396966</v>
      </c>
      <c r="CU16" s="100">
        <v>7659.6477181745386</v>
      </c>
      <c r="CV16" s="90">
        <f t="shared" si="32"/>
        <v>23.793150873332415</v>
      </c>
      <c r="CW16" s="90">
        <f t="shared" si="78"/>
        <v>58708.7530451071</v>
      </c>
      <c r="CX16" s="90">
        <f t="shared" si="33"/>
        <v>23.428894131712607</v>
      </c>
      <c r="CY16" s="99">
        <v>1078.1064851881504</v>
      </c>
      <c r="CZ16" s="90">
        <f t="shared" si="34"/>
        <v>3.3489203685875393</v>
      </c>
      <c r="DA16" s="90">
        <f t="shared" si="79"/>
        <v>9045.404437819283</v>
      </c>
      <c r="DB16" s="90">
        <f t="shared" si="35"/>
        <v>3.6097483247407096</v>
      </c>
      <c r="DC16" s="100">
        <v>954.13530824659722</v>
      </c>
      <c r="DD16" s="90">
        <f t="shared" si="36"/>
        <v>2.9638289093659744</v>
      </c>
      <c r="DE16" s="90">
        <f t="shared" si="80"/>
        <v>6033.4822950003236</v>
      </c>
      <c r="DF16" s="90">
        <f t="shared" si="37"/>
        <v>2.4077809628577356</v>
      </c>
      <c r="DG16" s="100"/>
      <c r="DH16" s="90">
        <f t="shared" si="38"/>
        <v>0</v>
      </c>
      <c r="DI16" s="90">
        <f t="shared" si="81"/>
        <v>1087.2486523149405</v>
      </c>
      <c r="DJ16" s="90">
        <f t="shared" si="39"/>
        <v>0.4338881725245044</v>
      </c>
      <c r="DK16" s="100"/>
      <c r="DL16" s="11">
        <f t="shared" si="82"/>
        <v>0</v>
      </c>
      <c r="DM16" s="90">
        <f t="shared" si="83"/>
        <v>0</v>
      </c>
      <c r="DN16" s="11">
        <f t="shared" si="84"/>
        <v>0</v>
      </c>
      <c r="DO16" s="496"/>
      <c r="DP16" s="90">
        <f t="shared" si="85"/>
        <v>0</v>
      </c>
      <c r="DQ16" s="90">
        <f t="shared" si="86"/>
        <v>0</v>
      </c>
      <c r="DR16" s="90">
        <f t="shared" si="87"/>
        <v>0</v>
      </c>
      <c r="DS16" s="100"/>
      <c r="DT16" s="11">
        <f t="shared" si="108"/>
        <v>0</v>
      </c>
      <c r="DU16" s="11">
        <f t="shared" si="88"/>
        <v>0</v>
      </c>
      <c r="DV16" s="11">
        <f t="shared" si="109"/>
        <v>0</v>
      </c>
      <c r="DW16" s="11">
        <f t="shared" si="89"/>
        <v>32192.658126501199</v>
      </c>
      <c r="DX16" s="90">
        <f t="shared" si="40"/>
        <v>100</v>
      </c>
      <c r="DY16" s="90">
        <f t="shared" si="90"/>
        <v>244582.68954163225</v>
      </c>
      <c r="DZ16" s="90">
        <f t="shared" si="41"/>
        <v>97.60558081207634</v>
      </c>
      <c r="EA16" s="100"/>
      <c r="EB16" s="90">
        <f t="shared" si="42"/>
        <v>0</v>
      </c>
      <c r="EC16" s="90">
        <f t="shared" si="91"/>
        <v>0</v>
      </c>
      <c r="ED16" s="90">
        <f t="shared" si="43"/>
        <v>0</v>
      </c>
      <c r="EE16" s="100"/>
      <c r="EF16" s="90">
        <f t="shared" si="44"/>
        <v>0</v>
      </c>
      <c r="EG16" s="90">
        <f t="shared" si="92"/>
        <v>0</v>
      </c>
      <c r="EH16" s="90">
        <f t="shared" si="45"/>
        <v>0</v>
      </c>
      <c r="EI16" s="100"/>
      <c r="EJ16" s="91">
        <f t="shared" si="46"/>
        <v>0</v>
      </c>
      <c r="EK16" s="90">
        <f t="shared" si="93"/>
        <v>0</v>
      </c>
      <c r="EL16" s="90">
        <f t="shared" si="47"/>
        <v>0</v>
      </c>
      <c r="EM16" s="90">
        <f t="shared" si="94"/>
        <v>0</v>
      </c>
      <c r="EN16" s="90">
        <f t="shared" si="48"/>
        <v>0</v>
      </c>
      <c r="EO16" s="90">
        <f t="shared" si="95"/>
        <v>0</v>
      </c>
      <c r="EP16" s="90">
        <f t="shared" si="49"/>
        <v>0</v>
      </c>
      <c r="EQ16" s="100"/>
      <c r="ER16" s="90">
        <f t="shared" si="50"/>
        <v>0</v>
      </c>
      <c r="ES16" s="90">
        <f t="shared" si="96"/>
        <v>0</v>
      </c>
      <c r="ET16" s="90">
        <f t="shared" si="51"/>
        <v>0</v>
      </c>
      <c r="EU16" s="11">
        <f t="shared" si="97"/>
        <v>32192.658126501199</v>
      </c>
      <c r="EV16" s="90">
        <f t="shared" si="98"/>
        <v>250582.68954163225</v>
      </c>
      <c r="EW16" s="90">
        <f t="shared" si="52"/>
        <v>1.006335046155086</v>
      </c>
      <c r="EX16" s="90">
        <f t="shared" si="53"/>
        <v>1.0239692769265405</v>
      </c>
      <c r="EY16" s="493">
        <f t="shared" si="99"/>
        <v>0.99370483401200194</v>
      </c>
      <c r="EZ16" s="494">
        <f t="shared" si="100"/>
        <v>1.0005491413093031</v>
      </c>
      <c r="FA16" s="6" t="s">
        <v>425</v>
      </c>
    </row>
    <row r="17" spans="1:163">
      <c r="A17" s="18">
        <f>+Chem!A16</f>
        <v>46089</v>
      </c>
      <c r="B17" s="6" t="str">
        <f>+Chem!B16</f>
        <v>Toilet</v>
      </c>
      <c r="C17" s="6" t="str">
        <f>+Chem!C16</f>
        <v>17/16</v>
      </c>
      <c r="D17" s="9">
        <f>+Chem!D16</f>
        <v>43.849999999999994</v>
      </c>
      <c r="E17" s="7">
        <f>+Chem!E16</f>
        <v>45.228000000000002</v>
      </c>
      <c r="F17" s="7">
        <f t="shared" si="54"/>
        <v>289.94500000000005</v>
      </c>
      <c r="G17" s="100"/>
      <c r="H17" s="90">
        <f t="shared" si="0"/>
        <v>0</v>
      </c>
      <c r="I17" s="9">
        <f t="shared" si="55"/>
        <v>6000</v>
      </c>
      <c r="J17" s="90">
        <f t="shared" si="1"/>
        <v>2.0049263417435204</v>
      </c>
      <c r="K17" s="100"/>
      <c r="L17" s="90">
        <f t="shared" si="2"/>
        <v>0</v>
      </c>
      <c r="M17" s="90">
        <f t="shared" si="56"/>
        <v>0</v>
      </c>
      <c r="N17" s="90">
        <f t="shared" si="3"/>
        <v>0</v>
      </c>
      <c r="O17" s="99"/>
      <c r="P17" s="90">
        <f t="shared" si="4"/>
        <v>0</v>
      </c>
      <c r="Q17" s="90">
        <f t="shared" si="57"/>
        <v>0</v>
      </c>
      <c r="R17" s="90">
        <f t="shared" si="5"/>
        <v>0</v>
      </c>
      <c r="S17" s="100"/>
      <c r="T17" s="90">
        <f t="shared" si="6"/>
        <v>0</v>
      </c>
      <c r="U17" s="90">
        <f t="shared" si="58"/>
        <v>0</v>
      </c>
      <c r="V17" s="90">
        <f t="shared" si="7"/>
        <v>0</v>
      </c>
      <c r="W17" s="11"/>
      <c r="X17" s="90">
        <f t="shared" si="8"/>
        <v>0</v>
      </c>
      <c r="Y17" s="90">
        <f t="shared" si="59"/>
        <v>0</v>
      </c>
      <c r="Z17" s="90">
        <f t="shared" si="9"/>
        <v>0</v>
      </c>
      <c r="AA17" s="100"/>
      <c r="AB17" s="90">
        <f t="shared" si="10"/>
        <v>0</v>
      </c>
      <c r="AC17" s="90">
        <f t="shared" si="60"/>
        <v>0</v>
      </c>
      <c r="AD17" s="90">
        <f t="shared" si="11"/>
        <v>0</v>
      </c>
      <c r="AE17" s="100"/>
      <c r="AF17" s="90">
        <f t="shared" si="12"/>
        <v>0</v>
      </c>
      <c r="AG17" s="90">
        <f t="shared" si="61"/>
        <v>0</v>
      </c>
      <c r="AH17" s="90">
        <f t="shared" si="13"/>
        <v>0</v>
      </c>
      <c r="AI17" s="100"/>
      <c r="AJ17" s="90">
        <f t="shared" si="14"/>
        <v>0</v>
      </c>
      <c r="AK17" s="90">
        <f t="shared" si="62"/>
        <v>0</v>
      </c>
      <c r="AL17" s="90">
        <f t="shared" si="15"/>
        <v>0</v>
      </c>
      <c r="AM17" s="100"/>
      <c r="AN17" s="90">
        <f t="shared" si="16"/>
        <v>0</v>
      </c>
      <c r="AO17" s="90">
        <f t="shared" si="63"/>
        <v>0</v>
      </c>
      <c r="AP17" s="90">
        <f t="shared" si="17"/>
        <v>0</v>
      </c>
      <c r="AQ17" s="100"/>
      <c r="AR17" s="90">
        <f t="shared" si="18"/>
        <v>0</v>
      </c>
      <c r="AS17" s="90">
        <f t="shared" si="64"/>
        <v>0</v>
      </c>
      <c r="AT17" s="90">
        <f t="shared" si="19"/>
        <v>0</v>
      </c>
      <c r="AU17" s="256"/>
      <c r="AV17" s="90">
        <f t="shared" si="20"/>
        <v>0</v>
      </c>
      <c r="AW17" s="9">
        <f t="shared" si="65"/>
        <v>0</v>
      </c>
      <c r="AX17" s="90">
        <f t="shared" si="21"/>
        <v>0</v>
      </c>
      <c r="AY17" s="100"/>
      <c r="AZ17" s="90">
        <f t="shared" si="22"/>
        <v>0</v>
      </c>
      <c r="BA17" s="90">
        <f t="shared" si="66"/>
        <v>0</v>
      </c>
      <c r="BB17" s="90">
        <f t="shared" si="23"/>
        <v>0</v>
      </c>
      <c r="BC17" s="100"/>
      <c r="BD17" s="90">
        <f t="shared" si="24"/>
        <v>0</v>
      </c>
      <c r="BE17" s="90">
        <f t="shared" si="67"/>
        <v>0</v>
      </c>
      <c r="BF17" s="90">
        <f t="shared" si="25"/>
        <v>0</v>
      </c>
      <c r="BG17" s="100"/>
      <c r="BH17" s="90">
        <f t="shared" si="26"/>
        <v>0</v>
      </c>
      <c r="BI17" s="90">
        <f t="shared" si="68"/>
        <v>0</v>
      </c>
      <c r="BJ17" s="90">
        <f t="shared" si="27"/>
        <v>0</v>
      </c>
      <c r="BK17" s="100"/>
      <c r="BL17" s="90"/>
      <c r="BM17" s="90"/>
      <c r="BN17" s="90"/>
      <c r="BO17" s="100"/>
      <c r="BP17" s="90"/>
      <c r="BQ17" s="90"/>
      <c r="BR17" s="90"/>
      <c r="BS17" s="100"/>
      <c r="BT17" s="90"/>
      <c r="BU17" s="90"/>
      <c r="BV17" s="90"/>
      <c r="BW17" s="90">
        <f t="shared" si="69"/>
        <v>0</v>
      </c>
      <c r="BX17" s="90">
        <f t="shared" si="28"/>
        <v>0</v>
      </c>
      <c r="BY17" s="90">
        <f t="shared" si="70"/>
        <v>6000</v>
      </c>
      <c r="BZ17" s="90">
        <f t="shared" si="29"/>
        <v>2.0049263417435204</v>
      </c>
      <c r="CA17" s="90"/>
      <c r="CB17" s="11">
        <f t="shared" si="71"/>
        <v>0</v>
      </c>
      <c r="CC17" s="11">
        <f t="shared" si="101"/>
        <v>0</v>
      </c>
      <c r="CD17" s="11">
        <f t="shared" si="72"/>
        <v>0</v>
      </c>
      <c r="CE17" s="11"/>
      <c r="CF17" s="11">
        <f t="shared" si="102"/>
        <v>0</v>
      </c>
      <c r="CG17" s="11">
        <f t="shared" si="103"/>
        <v>0</v>
      </c>
      <c r="CH17" s="11">
        <f t="shared" si="104"/>
        <v>0</v>
      </c>
      <c r="CI17" s="11">
        <f t="shared" si="73"/>
        <v>0</v>
      </c>
      <c r="CJ17" s="11">
        <f t="shared" si="105"/>
        <v>0</v>
      </c>
      <c r="CK17" s="11">
        <f t="shared" si="106"/>
        <v>0</v>
      </c>
      <c r="CL17" s="11">
        <f t="shared" si="107"/>
        <v>0</v>
      </c>
      <c r="CM17" s="99">
        <v>7436.2990766927296</v>
      </c>
      <c r="CN17" s="11">
        <f t="shared" si="74"/>
        <v>15.275826543036434</v>
      </c>
      <c r="CO17" s="11">
        <f t="shared" si="75"/>
        <v>7436.2990766927296</v>
      </c>
      <c r="CP17" s="11">
        <f t="shared" si="76"/>
        <v>2.4848719839907121</v>
      </c>
      <c r="CQ17" s="100">
        <v>26895.602853102646</v>
      </c>
      <c r="CR17" s="90">
        <f t="shared" si="30"/>
        <v>55.249601948112769</v>
      </c>
      <c r="CS17" s="90">
        <f t="shared" si="77"/>
        <v>160521.86337678155</v>
      </c>
      <c r="CT17" s="90">
        <f t="shared" si="31"/>
        <v>53.639085384977307</v>
      </c>
      <c r="CU17" s="100">
        <v>11665.095761936449</v>
      </c>
      <c r="CV17" s="90">
        <f t="shared" si="32"/>
        <v>23.962723611501357</v>
      </c>
      <c r="CW17" s="90">
        <f t="shared" si="78"/>
        <v>70373.848807043541</v>
      </c>
      <c r="CX17" s="90">
        <f t="shared" si="33"/>
        <v>23.51573054051957</v>
      </c>
      <c r="CY17" s="99">
        <v>1358.6861587090334</v>
      </c>
      <c r="CZ17" s="90">
        <f t="shared" si="34"/>
        <v>2.7910461740189194</v>
      </c>
      <c r="DA17" s="90">
        <f t="shared" si="79"/>
        <v>10404.090596528316</v>
      </c>
      <c r="DB17" s="90">
        <f t="shared" si="35"/>
        <v>3.4765725498109461</v>
      </c>
      <c r="DC17" s="100">
        <v>1324.491037265014</v>
      </c>
      <c r="DD17" s="90">
        <f t="shared" si="36"/>
        <v>2.7208017233305233</v>
      </c>
      <c r="DE17" s="90">
        <f t="shared" si="80"/>
        <v>7357.9733322653374</v>
      </c>
      <c r="DF17" s="90">
        <f t="shared" si="37"/>
        <v>2.4586990926175205</v>
      </c>
      <c r="DG17" s="100"/>
      <c r="DH17" s="90">
        <f t="shared" si="38"/>
        <v>0</v>
      </c>
      <c r="DI17" s="90">
        <f t="shared" si="81"/>
        <v>1087.2486523149405</v>
      </c>
      <c r="DJ17" s="90">
        <f t="shared" si="39"/>
        <v>0.36330891050856107</v>
      </c>
      <c r="DK17" s="100"/>
      <c r="DL17" s="11">
        <f t="shared" si="82"/>
        <v>0</v>
      </c>
      <c r="DM17" s="90">
        <f t="shared" si="83"/>
        <v>0</v>
      </c>
      <c r="DN17" s="11">
        <f t="shared" si="84"/>
        <v>0</v>
      </c>
      <c r="DO17" s="496"/>
      <c r="DP17" s="90">
        <f t="shared" si="85"/>
        <v>0</v>
      </c>
      <c r="DQ17" s="90">
        <f t="shared" si="86"/>
        <v>0</v>
      </c>
      <c r="DR17" s="90">
        <f t="shared" si="87"/>
        <v>0</v>
      </c>
      <c r="DS17" s="100"/>
      <c r="DT17" s="11">
        <f t="shared" si="108"/>
        <v>0</v>
      </c>
      <c r="DU17" s="11">
        <f t="shared" si="88"/>
        <v>0</v>
      </c>
      <c r="DV17" s="11">
        <f t="shared" si="109"/>
        <v>0</v>
      </c>
      <c r="DW17" s="11">
        <f t="shared" si="89"/>
        <v>48680.174887705871</v>
      </c>
      <c r="DX17" s="90">
        <f t="shared" si="40"/>
        <v>100</v>
      </c>
      <c r="DY17" s="90">
        <f t="shared" si="90"/>
        <v>293262.86442933814</v>
      </c>
      <c r="DZ17" s="90">
        <f t="shared" si="41"/>
        <v>97.995073658256487</v>
      </c>
      <c r="EA17" s="100"/>
      <c r="EB17" s="90">
        <f t="shared" si="42"/>
        <v>0</v>
      </c>
      <c r="EC17" s="90">
        <f t="shared" si="91"/>
        <v>0</v>
      </c>
      <c r="ED17" s="90">
        <f t="shared" si="43"/>
        <v>0</v>
      </c>
      <c r="EE17" s="100"/>
      <c r="EF17" s="90">
        <f t="shared" si="44"/>
        <v>0</v>
      </c>
      <c r="EG17" s="90">
        <f t="shared" si="92"/>
        <v>0</v>
      </c>
      <c r="EH17" s="90">
        <f t="shared" si="45"/>
        <v>0</v>
      </c>
      <c r="EI17" s="100"/>
      <c r="EJ17" s="91">
        <f t="shared" si="46"/>
        <v>0</v>
      </c>
      <c r="EK17" s="90">
        <f t="shared" si="93"/>
        <v>0</v>
      </c>
      <c r="EL17" s="90">
        <f t="shared" si="47"/>
        <v>0</v>
      </c>
      <c r="EM17" s="90">
        <f t="shared" si="94"/>
        <v>0</v>
      </c>
      <c r="EN17" s="90">
        <f t="shared" si="48"/>
        <v>0</v>
      </c>
      <c r="EO17" s="90">
        <f t="shared" si="95"/>
        <v>0</v>
      </c>
      <c r="EP17" s="90">
        <f t="shared" si="49"/>
        <v>0</v>
      </c>
      <c r="EQ17" s="100"/>
      <c r="ER17" s="90">
        <f t="shared" si="50"/>
        <v>0</v>
      </c>
      <c r="ES17" s="90">
        <f t="shared" si="96"/>
        <v>0</v>
      </c>
      <c r="ET17" s="90">
        <f t="shared" si="51"/>
        <v>0</v>
      </c>
      <c r="EU17" s="11">
        <f t="shared" si="97"/>
        <v>48680.174887705871</v>
      </c>
      <c r="EV17" s="90">
        <f t="shared" si="98"/>
        <v>299262.86442933814</v>
      </c>
      <c r="EW17" s="90">
        <f t="shared" si="52"/>
        <v>1.0763282676153241</v>
      </c>
      <c r="EX17" s="90">
        <f t="shared" si="53"/>
        <v>1.0321366618818677</v>
      </c>
      <c r="EY17" s="493">
        <f t="shared" si="99"/>
        <v>0.9290845832894139</v>
      </c>
      <c r="EZ17" s="494">
        <f t="shared" si="100"/>
        <v>0.98868638061012493</v>
      </c>
      <c r="FA17" s="6" t="s">
        <v>425</v>
      </c>
    </row>
    <row r="18" spans="1:163">
      <c r="A18" s="18">
        <f>+Chem!A17</f>
        <v>46090</v>
      </c>
      <c r="B18" s="6" t="str">
        <f>+Chem!B17</f>
        <v>Toilet/Napkin</v>
      </c>
      <c r="C18" s="6" t="str">
        <f>+Chem!C17</f>
        <v>16/15,5</v>
      </c>
      <c r="D18" s="9">
        <f>+Chem!D17</f>
        <v>47.119</v>
      </c>
      <c r="E18" s="7">
        <f>+Chem!E17</f>
        <v>47.545999999999999</v>
      </c>
      <c r="F18" s="7">
        <f t="shared" si="54"/>
        <v>337.49100000000004</v>
      </c>
      <c r="G18" s="99">
        <f>21*G7</f>
        <v>5250</v>
      </c>
      <c r="H18" s="11">
        <f t="shared" si="0"/>
        <v>10.732065492810705</v>
      </c>
      <c r="I18" s="9">
        <f t="shared" si="55"/>
        <v>11250</v>
      </c>
      <c r="J18" s="11">
        <f t="shared" si="1"/>
        <v>3.2310717200529622</v>
      </c>
      <c r="K18" s="99"/>
      <c r="L18" s="11">
        <f t="shared" si="2"/>
        <v>0</v>
      </c>
      <c r="M18" s="11">
        <f t="shared" si="56"/>
        <v>0</v>
      </c>
      <c r="N18" s="11">
        <f t="shared" si="3"/>
        <v>0</v>
      </c>
      <c r="O18" s="99"/>
      <c r="P18" s="11">
        <f t="shared" si="4"/>
        <v>0</v>
      </c>
      <c r="Q18" s="11">
        <f t="shared" si="57"/>
        <v>0</v>
      </c>
      <c r="R18" s="11">
        <f t="shared" si="5"/>
        <v>0</v>
      </c>
      <c r="S18" s="99"/>
      <c r="T18" s="11">
        <f t="shared" si="6"/>
        <v>0</v>
      </c>
      <c r="U18" s="11">
        <f t="shared" si="58"/>
        <v>0</v>
      </c>
      <c r="V18" s="11">
        <f t="shared" si="7"/>
        <v>0</v>
      </c>
      <c r="W18" s="11"/>
      <c r="X18" s="11">
        <f t="shared" si="8"/>
        <v>0</v>
      </c>
      <c r="Y18" s="11">
        <f t="shared" si="59"/>
        <v>0</v>
      </c>
      <c r="Z18" s="11">
        <f t="shared" si="9"/>
        <v>0</v>
      </c>
      <c r="AA18" s="99"/>
      <c r="AB18" s="11">
        <f t="shared" si="10"/>
        <v>0</v>
      </c>
      <c r="AC18" s="11">
        <f t="shared" si="60"/>
        <v>0</v>
      </c>
      <c r="AD18" s="11">
        <f t="shared" si="11"/>
        <v>0</v>
      </c>
      <c r="AE18" s="99"/>
      <c r="AF18" s="11">
        <f t="shared" si="12"/>
        <v>0</v>
      </c>
      <c r="AG18" s="11">
        <f t="shared" si="61"/>
        <v>0</v>
      </c>
      <c r="AH18" s="11">
        <f t="shared" si="13"/>
        <v>0</v>
      </c>
      <c r="AI18" s="99"/>
      <c r="AJ18" s="11">
        <f t="shared" si="14"/>
        <v>0</v>
      </c>
      <c r="AK18" s="11">
        <f t="shared" si="62"/>
        <v>0</v>
      </c>
      <c r="AL18" s="11">
        <f t="shared" si="15"/>
        <v>0</v>
      </c>
      <c r="AM18" s="99"/>
      <c r="AN18" s="11">
        <f t="shared" si="16"/>
        <v>0</v>
      </c>
      <c r="AO18" s="11">
        <f t="shared" si="63"/>
        <v>0</v>
      </c>
      <c r="AP18" s="11">
        <f t="shared" si="17"/>
        <v>0</v>
      </c>
      <c r="AQ18" s="99"/>
      <c r="AR18" s="11">
        <f t="shared" si="18"/>
        <v>0</v>
      </c>
      <c r="AS18" s="11">
        <f t="shared" si="64"/>
        <v>0</v>
      </c>
      <c r="AT18" s="11">
        <f t="shared" si="19"/>
        <v>0</v>
      </c>
      <c r="AU18" s="256"/>
      <c r="AV18" s="11">
        <f t="shared" si="20"/>
        <v>0</v>
      </c>
      <c r="AW18" s="9">
        <f t="shared" si="65"/>
        <v>0</v>
      </c>
      <c r="AX18" s="11">
        <f t="shared" si="21"/>
        <v>0</v>
      </c>
      <c r="AY18" s="99"/>
      <c r="AZ18" s="11">
        <f t="shared" si="22"/>
        <v>0</v>
      </c>
      <c r="BA18" s="11">
        <f t="shared" si="66"/>
        <v>0</v>
      </c>
      <c r="BB18" s="11">
        <f t="shared" si="23"/>
        <v>0</v>
      </c>
      <c r="BC18" s="99"/>
      <c r="BD18" s="11">
        <f t="shared" si="24"/>
        <v>0</v>
      </c>
      <c r="BE18" s="11">
        <f t="shared" si="67"/>
        <v>0</v>
      </c>
      <c r="BF18" s="11">
        <f t="shared" si="25"/>
        <v>0</v>
      </c>
      <c r="BG18" s="99"/>
      <c r="BH18" s="11">
        <f t="shared" si="26"/>
        <v>0</v>
      </c>
      <c r="BI18" s="11">
        <f t="shared" si="68"/>
        <v>0</v>
      </c>
      <c r="BJ18" s="11">
        <f t="shared" si="27"/>
        <v>0</v>
      </c>
      <c r="BK18" s="99"/>
      <c r="BL18" s="11"/>
      <c r="BM18" s="11"/>
      <c r="BN18" s="11"/>
      <c r="BO18" s="99"/>
      <c r="BP18" s="11"/>
      <c r="BQ18" s="11"/>
      <c r="BR18" s="11"/>
      <c r="BS18" s="99"/>
      <c r="BT18" s="11"/>
      <c r="BU18" s="11"/>
      <c r="BV18" s="11"/>
      <c r="BW18" s="11">
        <f t="shared" si="69"/>
        <v>5250</v>
      </c>
      <c r="BX18" s="11">
        <f t="shared" si="28"/>
        <v>10.732065492810705</v>
      </c>
      <c r="BY18" s="11">
        <f t="shared" si="70"/>
        <v>11250</v>
      </c>
      <c r="BZ18" s="11">
        <f t="shared" si="29"/>
        <v>3.2310717200529622</v>
      </c>
      <c r="CA18" s="11"/>
      <c r="CB18" s="11">
        <f t="shared" si="71"/>
        <v>0</v>
      </c>
      <c r="CC18" s="11">
        <f t="shared" si="101"/>
        <v>0</v>
      </c>
      <c r="CD18" s="11">
        <f t="shared" si="72"/>
        <v>0</v>
      </c>
      <c r="CE18" s="11"/>
      <c r="CF18" s="11">
        <f t="shared" si="102"/>
        <v>0</v>
      </c>
      <c r="CG18" s="11">
        <f t="shared" si="103"/>
        <v>0</v>
      </c>
      <c r="CH18" s="11">
        <f t="shared" si="104"/>
        <v>0</v>
      </c>
      <c r="CI18" s="11">
        <f t="shared" si="73"/>
        <v>0</v>
      </c>
      <c r="CJ18" s="11">
        <f t="shared" si="105"/>
        <v>0</v>
      </c>
      <c r="CK18" s="11">
        <f t="shared" si="106"/>
        <v>0</v>
      </c>
      <c r="CL18" s="11">
        <f t="shared" si="107"/>
        <v>0</v>
      </c>
      <c r="CM18" s="99">
        <v>6263.2664418048562</v>
      </c>
      <c r="CN18" s="11">
        <f t="shared" si="74"/>
        <v>12.803387743309177</v>
      </c>
      <c r="CO18" s="11">
        <f t="shared" si="75"/>
        <v>6263.2664418048562</v>
      </c>
      <c r="CP18" s="11">
        <f t="shared" si="76"/>
        <v>1.7988500511353256</v>
      </c>
      <c r="CQ18" s="100">
        <v>22985.157322265208</v>
      </c>
      <c r="CR18" s="11">
        <f t="shared" si="30"/>
        <v>46.986326427639568</v>
      </c>
      <c r="CS18" s="11">
        <f t="shared" si="77"/>
        <v>183507.02069904676</v>
      </c>
      <c r="CT18" s="11">
        <f t="shared" si="31"/>
        <v>52.704386223276764</v>
      </c>
      <c r="CU18" s="99">
        <v>11754.788535935768</v>
      </c>
      <c r="CV18" s="11">
        <f t="shared" si="32"/>
        <v>24.029173413676787</v>
      </c>
      <c r="CW18" s="11">
        <f t="shared" si="78"/>
        <v>82128.637342979317</v>
      </c>
      <c r="CX18" s="11">
        <f t="shared" si="33"/>
        <v>23.587868224478768</v>
      </c>
      <c r="CY18" s="99">
        <v>1747.3024844961992</v>
      </c>
      <c r="CZ18" s="11">
        <f t="shared" si="34"/>
        <v>3.5718408951169662</v>
      </c>
      <c r="DA18" s="11">
        <f t="shared" si="79"/>
        <v>12151.393081024515</v>
      </c>
      <c r="DB18" s="11">
        <f t="shared" si="35"/>
        <v>3.4899575594084928</v>
      </c>
      <c r="DC18" s="99">
        <v>918.30707245475219</v>
      </c>
      <c r="DD18" s="11">
        <f t="shared" si="36"/>
        <v>1.8772060274467934</v>
      </c>
      <c r="DE18" s="11">
        <f t="shared" si="80"/>
        <v>8276.2804047200898</v>
      </c>
      <c r="DF18" s="11">
        <f t="shared" si="37"/>
        <v>2.3770004944817393</v>
      </c>
      <c r="DG18" s="99"/>
      <c r="DH18" s="11">
        <f t="shared" si="38"/>
        <v>0</v>
      </c>
      <c r="DI18" s="11">
        <f t="shared" si="81"/>
        <v>1087.2486523149405</v>
      </c>
      <c r="DJ18" s="11">
        <f t="shared" si="39"/>
        <v>0.31226474428093337</v>
      </c>
      <c r="DK18" s="99"/>
      <c r="DL18" s="11">
        <f t="shared" si="82"/>
        <v>0</v>
      </c>
      <c r="DM18" s="11">
        <f t="shared" si="83"/>
        <v>0</v>
      </c>
      <c r="DN18" s="11">
        <f t="shared" si="84"/>
        <v>0</v>
      </c>
      <c r="DO18" s="496"/>
      <c r="DP18" s="11">
        <f t="shared" si="85"/>
        <v>0</v>
      </c>
      <c r="DQ18" s="11">
        <f t="shared" si="86"/>
        <v>0</v>
      </c>
      <c r="DR18" s="11">
        <f t="shared" si="87"/>
        <v>0</v>
      </c>
      <c r="DS18" s="99"/>
      <c r="DT18" s="11">
        <f t="shared" si="108"/>
        <v>0</v>
      </c>
      <c r="DU18" s="11">
        <f t="shared" si="88"/>
        <v>0</v>
      </c>
      <c r="DV18" s="11">
        <f t="shared" si="109"/>
        <v>0</v>
      </c>
      <c r="DW18" s="11">
        <f t="shared" si="89"/>
        <v>43668.821856956783</v>
      </c>
      <c r="DX18" s="11">
        <f t="shared" si="40"/>
        <v>89.267934507189295</v>
      </c>
      <c r="DY18" s="11">
        <f t="shared" si="90"/>
        <v>336931.68628629495</v>
      </c>
      <c r="DZ18" s="11">
        <f t="shared" si="41"/>
        <v>96.768928279947048</v>
      </c>
      <c r="EA18" s="99"/>
      <c r="EB18" s="11">
        <f t="shared" si="42"/>
        <v>0</v>
      </c>
      <c r="EC18" s="11">
        <f t="shared" si="91"/>
        <v>0</v>
      </c>
      <c r="ED18" s="11">
        <f t="shared" si="43"/>
        <v>0</v>
      </c>
      <c r="EE18" s="99"/>
      <c r="EF18" s="11">
        <f t="shared" si="44"/>
        <v>0</v>
      </c>
      <c r="EG18" s="11">
        <f t="shared" si="92"/>
        <v>0</v>
      </c>
      <c r="EH18" s="11">
        <f t="shared" si="45"/>
        <v>0</v>
      </c>
      <c r="EI18" s="99"/>
      <c r="EJ18" s="17">
        <f t="shared" si="46"/>
        <v>0</v>
      </c>
      <c r="EK18" s="11">
        <f t="shared" si="93"/>
        <v>0</v>
      </c>
      <c r="EL18" s="11">
        <f t="shared" si="47"/>
        <v>0</v>
      </c>
      <c r="EM18" s="11">
        <f t="shared" si="94"/>
        <v>0</v>
      </c>
      <c r="EN18" s="11">
        <f t="shared" si="48"/>
        <v>0</v>
      </c>
      <c r="EO18" s="11">
        <f t="shared" si="95"/>
        <v>0</v>
      </c>
      <c r="EP18" s="11">
        <f t="shared" si="49"/>
        <v>0</v>
      </c>
      <c r="EQ18" s="99"/>
      <c r="ER18" s="11">
        <f t="shared" si="50"/>
        <v>0</v>
      </c>
      <c r="ES18" s="11">
        <f t="shared" si="96"/>
        <v>0</v>
      </c>
      <c r="ET18" s="11">
        <f t="shared" si="51"/>
        <v>0</v>
      </c>
      <c r="EU18" s="11">
        <f t="shared" si="97"/>
        <v>48918.821856956783</v>
      </c>
      <c r="EV18" s="11">
        <f t="shared" si="98"/>
        <v>348181.68628629495</v>
      </c>
      <c r="EW18" s="11">
        <f t="shared" si="52"/>
        <v>1.0288735510233622</v>
      </c>
      <c r="EX18" s="11">
        <f t="shared" si="53"/>
        <v>1.0316769522336742</v>
      </c>
      <c r="EY18" s="493">
        <f t="shared" si="99"/>
        <v>1.0887859570781058</v>
      </c>
      <c r="EZ18" s="494">
        <f t="shared" si="100"/>
        <v>1.0016600211154669</v>
      </c>
      <c r="FA18" s="6" t="s">
        <v>425</v>
      </c>
    </row>
    <row r="19" spans="1:163">
      <c r="A19" s="18">
        <f>+Chem!A18</f>
        <v>46091</v>
      </c>
      <c r="B19" s="6" t="str">
        <f>+Chem!B18</f>
        <v>Napkin/Towel</v>
      </c>
      <c r="C19" s="6" t="str">
        <f>+Chem!C18</f>
        <v>15,5/22</v>
      </c>
      <c r="D19" s="9">
        <f>+Chem!D18</f>
        <v>54.356999999999999</v>
      </c>
      <c r="E19" s="7">
        <f>+Chem!E18</f>
        <v>51.712000000000003</v>
      </c>
      <c r="F19" s="7">
        <f t="shared" si="54"/>
        <v>389.20300000000003</v>
      </c>
      <c r="G19" s="99"/>
      <c r="H19" s="11">
        <f t="shared" si="0"/>
        <v>0</v>
      </c>
      <c r="I19" s="9">
        <f t="shared" si="55"/>
        <v>11250</v>
      </c>
      <c r="J19" s="11">
        <f t="shared" si="1"/>
        <v>2.7898766991923973</v>
      </c>
      <c r="K19" s="99"/>
      <c r="L19" s="11">
        <f t="shared" si="2"/>
        <v>0</v>
      </c>
      <c r="M19" s="11">
        <f t="shared" si="56"/>
        <v>0</v>
      </c>
      <c r="N19" s="11">
        <f t="shared" si="3"/>
        <v>0</v>
      </c>
      <c r="O19" s="99"/>
      <c r="P19" s="11">
        <f t="shared" si="4"/>
        <v>0</v>
      </c>
      <c r="Q19" s="11">
        <f t="shared" si="57"/>
        <v>0</v>
      </c>
      <c r="R19" s="11">
        <f t="shared" si="5"/>
        <v>0</v>
      </c>
      <c r="S19" s="99"/>
      <c r="T19" s="11">
        <f t="shared" si="6"/>
        <v>0</v>
      </c>
      <c r="U19" s="11">
        <f t="shared" si="58"/>
        <v>0</v>
      </c>
      <c r="V19" s="11">
        <f t="shared" si="7"/>
        <v>0</v>
      </c>
      <c r="W19" s="11"/>
      <c r="X19" s="11">
        <f t="shared" si="8"/>
        <v>0</v>
      </c>
      <c r="Y19" s="11">
        <f t="shared" si="59"/>
        <v>0</v>
      </c>
      <c r="Z19" s="11">
        <f t="shared" si="9"/>
        <v>0</v>
      </c>
      <c r="AA19" s="99"/>
      <c r="AB19" s="11">
        <f t="shared" si="10"/>
        <v>0</v>
      </c>
      <c r="AC19" s="11">
        <f t="shared" si="60"/>
        <v>0</v>
      </c>
      <c r="AD19" s="11">
        <f t="shared" si="11"/>
        <v>0</v>
      </c>
      <c r="AE19" s="99"/>
      <c r="AF19" s="11">
        <f t="shared" si="12"/>
        <v>0</v>
      </c>
      <c r="AG19" s="11">
        <f t="shared" si="61"/>
        <v>0</v>
      </c>
      <c r="AH19" s="11">
        <f t="shared" si="13"/>
        <v>0</v>
      </c>
      <c r="AI19" s="99"/>
      <c r="AJ19" s="11">
        <f t="shared" si="14"/>
        <v>0</v>
      </c>
      <c r="AK19" s="11">
        <f t="shared" si="62"/>
        <v>0</v>
      </c>
      <c r="AL19" s="11">
        <f t="shared" si="15"/>
        <v>0</v>
      </c>
      <c r="AM19" s="99"/>
      <c r="AN19" s="11">
        <f t="shared" si="16"/>
        <v>0</v>
      </c>
      <c r="AO19" s="11">
        <f t="shared" si="63"/>
        <v>0</v>
      </c>
      <c r="AP19" s="11">
        <f t="shared" si="17"/>
        <v>0</v>
      </c>
      <c r="AQ19" s="99"/>
      <c r="AR19" s="11">
        <f t="shared" si="18"/>
        <v>0</v>
      </c>
      <c r="AS19" s="11">
        <f t="shared" si="64"/>
        <v>0</v>
      </c>
      <c r="AT19" s="11">
        <f t="shared" si="19"/>
        <v>0</v>
      </c>
      <c r="AU19" s="256"/>
      <c r="AV19" s="11">
        <f t="shared" si="20"/>
        <v>0</v>
      </c>
      <c r="AW19" s="9">
        <f t="shared" si="65"/>
        <v>0</v>
      </c>
      <c r="AX19" s="11">
        <f t="shared" si="21"/>
        <v>0</v>
      </c>
      <c r="AY19" s="99"/>
      <c r="AZ19" s="11">
        <f t="shared" si="22"/>
        <v>0</v>
      </c>
      <c r="BA19" s="11">
        <f t="shared" si="66"/>
        <v>0</v>
      </c>
      <c r="BB19" s="11">
        <f t="shared" si="23"/>
        <v>0</v>
      </c>
      <c r="BC19" s="99"/>
      <c r="BD19" s="11">
        <f t="shared" si="24"/>
        <v>0</v>
      </c>
      <c r="BE19" s="11">
        <f t="shared" si="67"/>
        <v>0</v>
      </c>
      <c r="BF19" s="11">
        <f t="shared" si="25"/>
        <v>0</v>
      </c>
      <c r="BG19" s="99"/>
      <c r="BH19" s="11">
        <f t="shared" si="26"/>
        <v>0</v>
      </c>
      <c r="BI19" s="11">
        <f t="shared" si="68"/>
        <v>0</v>
      </c>
      <c r="BJ19" s="11">
        <f t="shared" si="27"/>
        <v>0</v>
      </c>
      <c r="BK19" s="99"/>
      <c r="BL19" s="11"/>
      <c r="BM19" s="11"/>
      <c r="BN19" s="11"/>
      <c r="BO19" s="99"/>
      <c r="BP19" s="11"/>
      <c r="BQ19" s="11"/>
      <c r="BR19" s="11"/>
      <c r="BS19" s="99"/>
      <c r="BT19" s="11"/>
      <c r="BU19" s="11"/>
      <c r="BV19" s="11"/>
      <c r="BW19" s="11">
        <f t="shared" si="69"/>
        <v>0</v>
      </c>
      <c r="BX19" s="11">
        <f t="shared" si="28"/>
        <v>0</v>
      </c>
      <c r="BY19" s="11">
        <f t="shared" si="70"/>
        <v>11250</v>
      </c>
      <c r="BZ19" s="11">
        <f t="shared" si="29"/>
        <v>2.7898766991923973</v>
      </c>
      <c r="CA19" s="11"/>
      <c r="CB19" s="11">
        <f t="shared" si="71"/>
        <v>0</v>
      </c>
      <c r="CC19" s="11">
        <f t="shared" si="101"/>
        <v>0</v>
      </c>
      <c r="CD19" s="11">
        <f t="shared" si="72"/>
        <v>0</v>
      </c>
      <c r="CE19" s="11"/>
      <c r="CF19" s="11">
        <f t="shared" si="102"/>
        <v>0</v>
      </c>
      <c r="CG19" s="11">
        <f t="shared" si="103"/>
        <v>0</v>
      </c>
      <c r="CH19" s="11">
        <f t="shared" si="104"/>
        <v>0</v>
      </c>
      <c r="CI19" s="11">
        <f t="shared" si="73"/>
        <v>0</v>
      </c>
      <c r="CJ19" s="11">
        <f t="shared" si="105"/>
        <v>0</v>
      </c>
      <c r="CK19" s="11">
        <f t="shared" si="106"/>
        <v>0</v>
      </c>
      <c r="CL19" s="11">
        <f t="shared" si="107"/>
        <v>0</v>
      </c>
      <c r="CM19" s="99">
        <v>8229.1873469717211</v>
      </c>
      <c r="CN19" s="11">
        <f t="shared" si="74"/>
        <v>14.945327371729602</v>
      </c>
      <c r="CO19" s="11">
        <f t="shared" si="75"/>
        <v>8229.1873469717211</v>
      </c>
      <c r="CP19" s="11">
        <f t="shared" si="76"/>
        <v>2.040748269564916</v>
      </c>
      <c r="CQ19" s="100">
        <v>30566.945891891406</v>
      </c>
      <c r="CR19" s="11">
        <f t="shared" si="30"/>
        <v>55.5137456284032</v>
      </c>
      <c r="CS19" s="11">
        <f t="shared" si="77"/>
        <v>214073.96659093816</v>
      </c>
      <c r="CT19" s="11">
        <f t="shared" si="31"/>
        <v>53.087997448511118</v>
      </c>
      <c r="CU19" s="99">
        <v>12170.714580399825</v>
      </c>
      <c r="CV19" s="11">
        <f t="shared" si="32"/>
        <v>22.103678781707909</v>
      </c>
      <c r="CW19" s="11">
        <f t="shared" si="78"/>
        <v>94299.351923379145</v>
      </c>
      <c r="CX19" s="11">
        <f t="shared" si="33"/>
        <v>23.38520574933149</v>
      </c>
      <c r="CY19" s="99">
        <v>2471.6812706840419</v>
      </c>
      <c r="CZ19" s="11">
        <f t="shared" si="34"/>
        <v>4.4889105316747084</v>
      </c>
      <c r="DA19" s="11">
        <f t="shared" si="79"/>
        <v>14623.074351708558</v>
      </c>
      <c r="DB19" s="11">
        <f t="shared" si="35"/>
        <v>3.6263621692790822</v>
      </c>
      <c r="DC19" s="99">
        <v>1243.1533018233347</v>
      </c>
      <c r="DD19" s="11">
        <f t="shared" si="36"/>
        <v>2.2577360662269244</v>
      </c>
      <c r="DE19" s="11">
        <f t="shared" si="80"/>
        <v>9519.4337065434247</v>
      </c>
      <c r="DF19" s="11">
        <f t="shared" si="37"/>
        <v>2.3607152255459751</v>
      </c>
      <c r="DG19" s="99">
        <v>380.25865702831413</v>
      </c>
      <c r="DH19" s="11">
        <f t="shared" si="38"/>
        <v>0.69060162025764749</v>
      </c>
      <c r="DI19" s="11">
        <f t="shared" si="81"/>
        <v>1467.5073093432547</v>
      </c>
      <c r="DJ19" s="11">
        <f t="shared" si="39"/>
        <v>0.36392572873166901</v>
      </c>
      <c r="DK19" s="99"/>
      <c r="DL19" s="11">
        <f t="shared" si="82"/>
        <v>0</v>
      </c>
      <c r="DM19" s="11">
        <f t="shared" si="83"/>
        <v>0</v>
      </c>
      <c r="DN19" s="11">
        <f t="shared" si="84"/>
        <v>0</v>
      </c>
      <c r="DO19" s="496"/>
      <c r="DP19" s="11">
        <f t="shared" si="85"/>
        <v>0</v>
      </c>
      <c r="DQ19" s="11">
        <f t="shared" si="86"/>
        <v>0</v>
      </c>
      <c r="DR19" s="11">
        <f t="shared" si="87"/>
        <v>0</v>
      </c>
      <c r="DS19" s="99"/>
      <c r="DT19" s="11">
        <f t="shared" si="108"/>
        <v>0</v>
      </c>
      <c r="DU19" s="11">
        <f t="shared" si="88"/>
        <v>0</v>
      </c>
      <c r="DV19" s="11">
        <f t="shared" si="109"/>
        <v>0</v>
      </c>
      <c r="DW19" s="11">
        <f t="shared" si="89"/>
        <v>55061.941048798646</v>
      </c>
      <c r="DX19" s="11">
        <f t="shared" si="40"/>
        <v>100</v>
      </c>
      <c r="DY19" s="11">
        <f t="shared" si="90"/>
        <v>391993.62733509357</v>
      </c>
      <c r="DZ19" s="11">
        <f t="shared" si="41"/>
        <v>97.210123300807609</v>
      </c>
      <c r="EA19" s="99"/>
      <c r="EB19" s="11">
        <f t="shared" si="42"/>
        <v>0</v>
      </c>
      <c r="EC19" s="11">
        <f t="shared" si="91"/>
        <v>0</v>
      </c>
      <c r="ED19" s="11">
        <f t="shared" si="43"/>
        <v>0</v>
      </c>
      <c r="EE19" s="99"/>
      <c r="EF19" s="11">
        <f t="shared" si="44"/>
        <v>0</v>
      </c>
      <c r="EG19" s="11">
        <f t="shared" si="92"/>
        <v>0</v>
      </c>
      <c r="EH19" s="11">
        <f t="shared" si="45"/>
        <v>0</v>
      </c>
      <c r="EI19" s="99"/>
      <c r="EJ19" s="17">
        <f t="shared" si="46"/>
        <v>0</v>
      </c>
      <c r="EK19" s="11">
        <f t="shared" si="93"/>
        <v>0</v>
      </c>
      <c r="EL19" s="11">
        <f t="shared" si="47"/>
        <v>0</v>
      </c>
      <c r="EM19" s="11">
        <f t="shared" si="94"/>
        <v>0</v>
      </c>
      <c r="EN19" s="11">
        <f t="shared" si="48"/>
        <v>0</v>
      </c>
      <c r="EO19" s="11">
        <f t="shared" si="95"/>
        <v>0</v>
      </c>
      <c r="EP19" s="11">
        <f t="shared" si="49"/>
        <v>0</v>
      </c>
      <c r="EQ19" s="99"/>
      <c r="ER19" s="11">
        <f t="shared" si="50"/>
        <v>0</v>
      </c>
      <c r="ES19" s="11">
        <f t="shared" si="96"/>
        <v>0</v>
      </c>
      <c r="ET19" s="11">
        <f t="shared" si="51"/>
        <v>0</v>
      </c>
      <c r="EU19" s="11">
        <f t="shared" si="97"/>
        <v>55061.941048798646</v>
      </c>
      <c r="EV19" s="11">
        <f t="shared" si="98"/>
        <v>403243.62733509357</v>
      </c>
      <c r="EW19" s="11">
        <f t="shared" si="52"/>
        <v>1.0647807288211371</v>
      </c>
      <c r="EX19" s="11">
        <f t="shared" si="53"/>
        <v>1.0360753317294407</v>
      </c>
      <c r="EY19" s="493">
        <f t="shared" si="99"/>
        <v>0.93916049843157978</v>
      </c>
      <c r="EZ19" s="494">
        <f t="shared" si="100"/>
        <v>0.99288093698342716</v>
      </c>
      <c r="FA19" s="6" t="s">
        <v>425</v>
      </c>
    </row>
    <row r="20" spans="1:163">
      <c r="A20" s="18">
        <f>+Chem!A19</f>
        <v>46092</v>
      </c>
      <c r="B20" s="6" t="str">
        <f>+Chem!B19</f>
        <v>Towel</v>
      </c>
      <c r="C20" s="6" t="str">
        <f>+Chem!C19</f>
        <v>22</v>
      </c>
      <c r="D20" s="9">
        <f>+Chem!D19</f>
        <v>54.594000000000001</v>
      </c>
      <c r="E20" s="7">
        <f>+Chem!E19</f>
        <v>52.383000000000003</v>
      </c>
      <c r="F20" s="7">
        <f t="shared" si="54"/>
        <v>441.58600000000001</v>
      </c>
      <c r="G20" s="99"/>
      <c r="H20" s="11">
        <f t="shared" si="0"/>
        <v>0</v>
      </c>
      <c r="I20" s="9">
        <f t="shared" si="55"/>
        <v>11250</v>
      </c>
      <c r="J20" s="11">
        <f t="shared" si="1"/>
        <v>2.4585512860737668</v>
      </c>
      <c r="K20" s="99"/>
      <c r="L20" s="11">
        <f t="shared" si="2"/>
        <v>0</v>
      </c>
      <c r="M20" s="11">
        <f t="shared" si="56"/>
        <v>0</v>
      </c>
      <c r="N20" s="11">
        <f t="shared" si="3"/>
        <v>0</v>
      </c>
      <c r="O20" s="99"/>
      <c r="P20" s="11">
        <f t="shared" si="4"/>
        <v>0</v>
      </c>
      <c r="Q20" s="11">
        <f t="shared" si="57"/>
        <v>0</v>
      </c>
      <c r="R20" s="11">
        <f t="shared" si="5"/>
        <v>0</v>
      </c>
      <c r="S20" s="99"/>
      <c r="T20" s="11">
        <f t="shared" si="6"/>
        <v>0</v>
      </c>
      <c r="U20" s="11">
        <f t="shared" si="58"/>
        <v>0</v>
      </c>
      <c r="V20" s="11">
        <f t="shared" si="7"/>
        <v>0</v>
      </c>
      <c r="W20" s="11"/>
      <c r="X20" s="11">
        <f t="shared" si="8"/>
        <v>0</v>
      </c>
      <c r="Y20" s="11">
        <f t="shared" si="59"/>
        <v>0</v>
      </c>
      <c r="Z20" s="11">
        <f t="shared" si="9"/>
        <v>0</v>
      </c>
      <c r="AA20" s="99"/>
      <c r="AB20" s="11">
        <f t="shared" si="10"/>
        <v>0</v>
      </c>
      <c r="AC20" s="11">
        <f t="shared" si="60"/>
        <v>0</v>
      </c>
      <c r="AD20" s="11">
        <f t="shared" si="11"/>
        <v>0</v>
      </c>
      <c r="AE20" s="99"/>
      <c r="AF20" s="11">
        <f t="shared" si="12"/>
        <v>0</v>
      </c>
      <c r="AG20" s="11">
        <f t="shared" si="61"/>
        <v>0</v>
      </c>
      <c r="AH20" s="11">
        <f t="shared" si="13"/>
        <v>0</v>
      </c>
      <c r="AI20" s="99"/>
      <c r="AJ20" s="11">
        <f t="shared" si="14"/>
        <v>0</v>
      </c>
      <c r="AK20" s="11">
        <f t="shared" si="62"/>
        <v>0</v>
      </c>
      <c r="AL20" s="11">
        <f t="shared" si="15"/>
        <v>0</v>
      </c>
      <c r="AM20" s="99"/>
      <c r="AN20" s="11">
        <f t="shared" si="16"/>
        <v>0</v>
      </c>
      <c r="AO20" s="11">
        <f t="shared" si="63"/>
        <v>0</v>
      </c>
      <c r="AP20" s="11">
        <f t="shared" si="17"/>
        <v>0</v>
      </c>
      <c r="AQ20" s="99"/>
      <c r="AR20" s="11">
        <f t="shared" si="18"/>
        <v>0</v>
      </c>
      <c r="AS20" s="11">
        <f t="shared" si="64"/>
        <v>0</v>
      </c>
      <c r="AT20" s="11">
        <f t="shared" si="19"/>
        <v>0</v>
      </c>
      <c r="AU20" s="256"/>
      <c r="AV20" s="11">
        <f t="shared" si="20"/>
        <v>0</v>
      </c>
      <c r="AW20" s="9">
        <f t="shared" si="65"/>
        <v>0</v>
      </c>
      <c r="AX20" s="11">
        <f t="shared" si="21"/>
        <v>0</v>
      </c>
      <c r="AY20" s="99"/>
      <c r="AZ20" s="11">
        <f t="shared" si="22"/>
        <v>0</v>
      </c>
      <c r="BA20" s="11">
        <f t="shared" si="66"/>
        <v>0</v>
      </c>
      <c r="BB20" s="11">
        <f t="shared" si="23"/>
        <v>0</v>
      </c>
      <c r="BC20" s="99"/>
      <c r="BD20" s="11">
        <f t="shared" si="24"/>
        <v>0</v>
      </c>
      <c r="BE20" s="11">
        <f t="shared" si="67"/>
        <v>0</v>
      </c>
      <c r="BF20" s="11">
        <f t="shared" si="25"/>
        <v>0</v>
      </c>
      <c r="BG20" s="99"/>
      <c r="BH20" s="11">
        <f t="shared" si="26"/>
        <v>0</v>
      </c>
      <c r="BI20" s="11">
        <f t="shared" si="68"/>
        <v>0</v>
      </c>
      <c r="BJ20" s="11">
        <f t="shared" si="27"/>
        <v>0</v>
      </c>
      <c r="BK20" s="99"/>
      <c r="BL20" s="11"/>
      <c r="BM20" s="11"/>
      <c r="BN20" s="11"/>
      <c r="BO20" s="99"/>
      <c r="BP20" s="11"/>
      <c r="BQ20" s="11"/>
      <c r="BR20" s="11"/>
      <c r="BS20" s="99"/>
      <c r="BT20" s="11"/>
      <c r="BU20" s="11"/>
      <c r="BV20" s="11"/>
      <c r="BW20" s="11">
        <f t="shared" si="69"/>
        <v>0</v>
      </c>
      <c r="BX20" s="11">
        <f t="shared" si="28"/>
        <v>0</v>
      </c>
      <c r="BY20" s="11">
        <f t="shared" si="70"/>
        <v>11250</v>
      </c>
      <c r="BZ20" s="11">
        <f t="shared" si="29"/>
        <v>2.4585512860737668</v>
      </c>
      <c r="CA20" s="11"/>
      <c r="CB20" s="11">
        <f t="shared" si="71"/>
        <v>0</v>
      </c>
      <c r="CC20" s="11">
        <f t="shared" si="101"/>
        <v>0</v>
      </c>
      <c r="CD20" s="11">
        <f t="shared" si="72"/>
        <v>0</v>
      </c>
      <c r="CE20" s="11"/>
      <c r="CF20" s="11">
        <f t="shared" si="102"/>
        <v>0</v>
      </c>
      <c r="CG20" s="11">
        <f t="shared" si="103"/>
        <v>0</v>
      </c>
      <c r="CH20" s="11">
        <f t="shared" si="104"/>
        <v>0</v>
      </c>
      <c r="CI20" s="11">
        <f t="shared" si="73"/>
        <v>0</v>
      </c>
      <c r="CJ20" s="11">
        <f t="shared" si="105"/>
        <v>0</v>
      </c>
      <c r="CK20" s="11">
        <f t="shared" si="106"/>
        <v>0</v>
      </c>
      <c r="CL20" s="11">
        <f t="shared" si="107"/>
        <v>0</v>
      </c>
      <c r="CM20" s="99">
        <v>7961.7407719285247</v>
      </c>
      <c r="CN20" s="11">
        <f t="shared" si="74"/>
        <v>14.650924979083385</v>
      </c>
      <c r="CO20" s="11">
        <f t="shared" si="75"/>
        <v>7961.7407719285247</v>
      </c>
      <c r="CP20" s="11">
        <f t="shared" si="76"/>
        <v>1.7399420457076284</v>
      </c>
      <c r="CQ20" s="100">
        <v>29773.172106193375</v>
      </c>
      <c r="CR20" s="11">
        <f t="shared" si="30"/>
        <v>54.787580180347675</v>
      </c>
      <c r="CS20" s="11">
        <f t="shared" si="77"/>
        <v>243847.13869713154</v>
      </c>
      <c r="CT20" s="11">
        <f t="shared" si="31"/>
        <v>53.289839684376972</v>
      </c>
      <c r="CU20" s="99">
        <v>12902.465692579603</v>
      </c>
      <c r="CV20" s="11">
        <f t="shared" si="32"/>
        <v>23.742679185646555</v>
      </c>
      <c r="CW20" s="11">
        <f t="shared" si="78"/>
        <v>107201.81761595875</v>
      </c>
      <c r="CX20" s="11">
        <f t="shared" si="33"/>
        <v>23.427659250592072</v>
      </c>
      <c r="CY20" s="99">
        <v>1702.4788325760869</v>
      </c>
      <c r="CZ20" s="11">
        <f t="shared" si="34"/>
        <v>3.1328437296644043</v>
      </c>
      <c r="DA20" s="11">
        <f t="shared" si="79"/>
        <v>16325.553184284645</v>
      </c>
      <c r="DB20" s="11">
        <f t="shared" si="35"/>
        <v>3.5677519801856619</v>
      </c>
      <c r="DC20" s="99">
        <v>2003.064857912221</v>
      </c>
      <c r="DD20" s="11">
        <f t="shared" si="36"/>
        <v>3.6859719252579715</v>
      </c>
      <c r="DE20" s="11">
        <f t="shared" si="80"/>
        <v>11522.498564455645</v>
      </c>
      <c r="DF20" s="11">
        <f t="shared" si="37"/>
        <v>2.518102547948939</v>
      </c>
      <c r="DG20" s="99"/>
      <c r="DH20" s="11">
        <f t="shared" si="38"/>
        <v>0</v>
      </c>
      <c r="DI20" s="11">
        <f t="shared" si="81"/>
        <v>1467.5073093432547</v>
      </c>
      <c r="DJ20" s="11">
        <f t="shared" si="39"/>
        <v>0.32070595401853441</v>
      </c>
      <c r="DK20" s="99"/>
      <c r="DL20" s="11">
        <f t="shared" si="82"/>
        <v>0</v>
      </c>
      <c r="DM20" s="11">
        <f t="shared" si="83"/>
        <v>0</v>
      </c>
      <c r="DN20" s="11">
        <f t="shared" si="84"/>
        <v>0</v>
      </c>
      <c r="DO20" s="496"/>
      <c r="DP20" s="11">
        <f t="shared" si="85"/>
        <v>0</v>
      </c>
      <c r="DQ20" s="11">
        <f t="shared" si="86"/>
        <v>0</v>
      </c>
      <c r="DR20" s="11">
        <f t="shared" si="87"/>
        <v>0</v>
      </c>
      <c r="DS20" s="99"/>
      <c r="DT20" s="11">
        <f t="shared" si="108"/>
        <v>0</v>
      </c>
      <c r="DU20" s="11">
        <f t="shared" si="88"/>
        <v>0</v>
      </c>
      <c r="DV20" s="11">
        <f t="shared" si="109"/>
        <v>0</v>
      </c>
      <c r="DW20" s="11">
        <f t="shared" si="89"/>
        <v>54342.922261189815</v>
      </c>
      <c r="DX20" s="11">
        <f t="shared" si="40"/>
        <v>100</v>
      </c>
      <c r="DY20" s="11">
        <f t="shared" si="90"/>
        <v>446336.54959628335</v>
      </c>
      <c r="DZ20" s="11">
        <f t="shared" si="41"/>
        <v>97.541448713926243</v>
      </c>
      <c r="EA20" s="99"/>
      <c r="EB20" s="11">
        <f t="shared" si="42"/>
        <v>0</v>
      </c>
      <c r="EC20" s="11">
        <f t="shared" si="91"/>
        <v>0</v>
      </c>
      <c r="ED20" s="11">
        <f t="shared" si="43"/>
        <v>0</v>
      </c>
      <c r="EE20" s="99"/>
      <c r="EF20" s="11">
        <f t="shared" si="44"/>
        <v>0</v>
      </c>
      <c r="EG20" s="11">
        <f t="shared" si="92"/>
        <v>0</v>
      </c>
      <c r="EH20" s="11">
        <f t="shared" si="45"/>
        <v>0</v>
      </c>
      <c r="EI20" s="99"/>
      <c r="EJ20" s="17">
        <f t="shared" si="46"/>
        <v>0</v>
      </c>
      <c r="EK20" s="11">
        <f t="shared" si="93"/>
        <v>0</v>
      </c>
      <c r="EL20" s="11">
        <f t="shared" si="47"/>
        <v>0</v>
      </c>
      <c r="EM20" s="11">
        <f t="shared" si="94"/>
        <v>0</v>
      </c>
      <c r="EN20" s="11">
        <f t="shared" si="48"/>
        <v>0</v>
      </c>
      <c r="EO20" s="11">
        <f t="shared" si="95"/>
        <v>0</v>
      </c>
      <c r="EP20" s="11">
        <f t="shared" si="49"/>
        <v>0</v>
      </c>
      <c r="EQ20" s="99"/>
      <c r="ER20" s="11">
        <f t="shared" si="50"/>
        <v>0</v>
      </c>
      <c r="ES20" s="11">
        <f t="shared" si="96"/>
        <v>0</v>
      </c>
      <c r="ET20" s="11">
        <f t="shared" si="51"/>
        <v>0</v>
      </c>
      <c r="EU20" s="11">
        <f t="shared" si="97"/>
        <v>54342.922261189815</v>
      </c>
      <c r="EV20" s="11">
        <f t="shared" si="98"/>
        <v>457586.54959628335</v>
      </c>
      <c r="EW20" s="11">
        <f t="shared" si="52"/>
        <v>1.037415235118069</v>
      </c>
      <c r="EX20" s="11">
        <f t="shared" si="53"/>
        <v>1.0362342773463908</v>
      </c>
      <c r="EY20" s="493">
        <f t="shared" si="99"/>
        <v>0.96393417616060861</v>
      </c>
      <c r="EZ20" s="494">
        <f t="shared" si="100"/>
        <v>0.98935657498678908</v>
      </c>
      <c r="FA20" s="6" t="s">
        <v>425</v>
      </c>
    </row>
    <row r="21" spans="1:163">
      <c r="A21" s="18">
        <f>+Chem!A20</f>
        <v>46093</v>
      </c>
      <c r="B21" s="6" t="str">
        <f>+Chem!B20</f>
        <v>Towel/Napkin</v>
      </c>
      <c r="C21" s="6" t="str">
        <f>+Chem!C20</f>
        <v>22/15,5</v>
      </c>
      <c r="D21" s="9">
        <f>+Chem!D20</f>
        <v>52.637999999999998</v>
      </c>
      <c r="E21" s="7">
        <f>+Chem!E20</f>
        <v>52.134999999999998</v>
      </c>
      <c r="F21" s="7">
        <f t="shared" si="54"/>
        <v>493.721</v>
      </c>
      <c r="G21" s="99">
        <f>9*G7</f>
        <v>2250</v>
      </c>
      <c r="H21" s="11">
        <f t="shared" si="0"/>
        <v>4.4892029511598635</v>
      </c>
      <c r="I21" s="9">
        <f t="shared" si="55"/>
        <v>13500</v>
      </c>
      <c r="J21" s="11">
        <f t="shared" si="1"/>
        <v>2.6590149783288828</v>
      </c>
      <c r="K21" s="99"/>
      <c r="L21" s="11">
        <f t="shared" si="2"/>
        <v>0</v>
      </c>
      <c r="M21" s="11">
        <f t="shared" si="56"/>
        <v>0</v>
      </c>
      <c r="N21" s="11">
        <f t="shared" si="3"/>
        <v>0</v>
      </c>
      <c r="O21" s="99"/>
      <c r="P21" s="11">
        <f t="shared" si="4"/>
        <v>0</v>
      </c>
      <c r="Q21" s="11">
        <f t="shared" si="57"/>
        <v>0</v>
      </c>
      <c r="R21" s="11">
        <f t="shared" si="5"/>
        <v>0</v>
      </c>
      <c r="S21" s="99"/>
      <c r="T21" s="11">
        <f t="shared" si="6"/>
        <v>0</v>
      </c>
      <c r="U21" s="11">
        <f t="shared" si="58"/>
        <v>0</v>
      </c>
      <c r="V21" s="11">
        <f t="shared" si="7"/>
        <v>0</v>
      </c>
      <c r="W21" s="11"/>
      <c r="X21" s="11">
        <f t="shared" si="8"/>
        <v>0</v>
      </c>
      <c r="Y21" s="11">
        <f t="shared" si="59"/>
        <v>0</v>
      </c>
      <c r="Z21" s="11">
        <f t="shared" si="9"/>
        <v>0</v>
      </c>
      <c r="AA21" s="99"/>
      <c r="AB21" s="11">
        <f t="shared" si="10"/>
        <v>0</v>
      </c>
      <c r="AC21" s="11">
        <f t="shared" si="60"/>
        <v>0</v>
      </c>
      <c r="AD21" s="11">
        <f t="shared" si="11"/>
        <v>0</v>
      </c>
      <c r="AE21" s="99"/>
      <c r="AF21" s="11">
        <f t="shared" si="12"/>
        <v>0</v>
      </c>
      <c r="AG21" s="11">
        <f t="shared" si="61"/>
        <v>0</v>
      </c>
      <c r="AH21" s="11">
        <f t="shared" si="13"/>
        <v>0</v>
      </c>
      <c r="AI21" s="99"/>
      <c r="AJ21" s="11">
        <f t="shared" si="14"/>
        <v>0</v>
      </c>
      <c r="AK21" s="11">
        <f t="shared" si="62"/>
        <v>0</v>
      </c>
      <c r="AL21" s="11">
        <f t="shared" si="15"/>
        <v>0</v>
      </c>
      <c r="AM21" s="99"/>
      <c r="AN21" s="11">
        <f t="shared" si="16"/>
        <v>0</v>
      </c>
      <c r="AO21" s="11">
        <f t="shared" si="63"/>
        <v>0</v>
      </c>
      <c r="AP21" s="11">
        <f t="shared" si="17"/>
        <v>0</v>
      </c>
      <c r="AQ21" s="99"/>
      <c r="AR21" s="11">
        <f t="shared" si="18"/>
        <v>0</v>
      </c>
      <c r="AS21" s="11">
        <f t="shared" si="64"/>
        <v>0</v>
      </c>
      <c r="AT21" s="11">
        <f t="shared" si="19"/>
        <v>0</v>
      </c>
      <c r="AU21" s="256"/>
      <c r="AV21" s="11">
        <f t="shared" si="20"/>
        <v>0</v>
      </c>
      <c r="AW21" s="9">
        <f t="shared" si="65"/>
        <v>0</v>
      </c>
      <c r="AX21" s="11">
        <f t="shared" si="21"/>
        <v>0</v>
      </c>
      <c r="AY21" s="99"/>
      <c r="AZ21" s="11">
        <f t="shared" si="22"/>
        <v>0</v>
      </c>
      <c r="BA21" s="11">
        <f t="shared" si="66"/>
        <v>0</v>
      </c>
      <c r="BB21" s="11">
        <f t="shared" si="23"/>
        <v>0</v>
      </c>
      <c r="BC21" s="99"/>
      <c r="BD21" s="11">
        <f t="shared" si="24"/>
        <v>0</v>
      </c>
      <c r="BE21" s="11">
        <f t="shared" si="67"/>
        <v>0</v>
      </c>
      <c r="BF21" s="11">
        <f t="shared" si="25"/>
        <v>0</v>
      </c>
      <c r="BG21" s="99"/>
      <c r="BH21" s="11">
        <f t="shared" si="26"/>
        <v>0</v>
      </c>
      <c r="BI21" s="11">
        <f t="shared" si="68"/>
        <v>0</v>
      </c>
      <c r="BJ21" s="11">
        <f t="shared" si="27"/>
        <v>0</v>
      </c>
      <c r="BK21" s="99"/>
      <c r="BL21" s="11"/>
      <c r="BM21" s="11"/>
      <c r="BN21" s="11"/>
      <c r="BO21" s="99"/>
      <c r="BP21" s="11"/>
      <c r="BQ21" s="11"/>
      <c r="BR21" s="11"/>
      <c r="BS21" s="99"/>
      <c r="BT21" s="11"/>
      <c r="BU21" s="11"/>
      <c r="BV21" s="11"/>
      <c r="BW21" s="11">
        <f t="shared" si="69"/>
        <v>2250</v>
      </c>
      <c r="BX21" s="11">
        <f t="shared" si="28"/>
        <v>4.4892029511598635</v>
      </c>
      <c r="BY21" s="11">
        <f t="shared" si="70"/>
        <v>13500</v>
      </c>
      <c r="BZ21" s="11">
        <f t="shared" si="29"/>
        <v>2.6590149783288828</v>
      </c>
      <c r="CA21" s="11"/>
      <c r="CB21" s="11">
        <f t="shared" si="71"/>
        <v>0</v>
      </c>
      <c r="CC21" s="11">
        <f t="shared" si="101"/>
        <v>0</v>
      </c>
      <c r="CD21" s="11">
        <f t="shared" si="72"/>
        <v>0</v>
      </c>
      <c r="CE21" s="11"/>
      <c r="CF21" s="11">
        <f t="shared" si="102"/>
        <v>0</v>
      </c>
      <c r="CG21" s="11">
        <f t="shared" si="103"/>
        <v>0</v>
      </c>
      <c r="CH21" s="11">
        <f t="shared" si="104"/>
        <v>0</v>
      </c>
      <c r="CI21" s="11">
        <f t="shared" si="73"/>
        <v>0</v>
      </c>
      <c r="CJ21" s="11">
        <f t="shared" si="105"/>
        <v>0</v>
      </c>
      <c r="CK21" s="11">
        <f t="shared" si="106"/>
        <v>0</v>
      </c>
      <c r="CL21" s="11">
        <f t="shared" si="107"/>
        <v>0</v>
      </c>
      <c r="CM21" s="99">
        <v>7159.1285857000157</v>
      </c>
      <c r="CN21" s="11">
        <f t="shared" si="74"/>
        <v>14.283902744292199</v>
      </c>
      <c r="CO21" s="11">
        <f t="shared" si="75"/>
        <v>7159.1285857000157</v>
      </c>
      <c r="CP21" s="11">
        <f t="shared" si="76"/>
        <v>1.4100911215673197</v>
      </c>
      <c r="CQ21" s="100">
        <v>26114.918510061372</v>
      </c>
      <c r="CR21" s="11">
        <f t="shared" si="30"/>
        <v>52.104519664296376</v>
      </c>
      <c r="CS21" s="11">
        <f t="shared" si="77"/>
        <v>269962.05720719293</v>
      </c>
      <c r="CT21" s="11">
        <f t="shared" si="31"/>
        <v>53.172826199585543</v>
      </c>
      <c r="CU21" s="99">
        <v>11065.473669187957</v>
      </c>
      <c r="CV21" s="11">
        <f t="shared" si="32"/>
        <v>22.077847578533483</v>
      </c>
      <c r="CW21" s="11">
        <f t="shared" si="78"/>
        <v>118267.2912851467</v>
      </c>
      <c r="CX21" s="11">
        <f t="shared" si="33"/>
        <v>23.294407331377041</v>
      </c>
      <c r="CY21" s="99">
        <v>1287.0906236620524</v>
      </c>
      <c r="CZ21" s="11">
        <f t="shared" si="34"/>
        <v>2.5680049005128334</v>
      </c>
      <c r="DA21" s="11">
        <f t="shared" si="79"/>
        <v>17612.643807946697</v>
      </c>
      <c r="DB21" s="11">
        <f t="shared" si="35"/>
        <v>3.4690580513556837</v>
      </c>
      <c r="DC21" s="99">
        <v>2243.644355644356</v>
      </c>
      <c r="DD21" s="11">
        <f t="shared" si="36"/>
        <v>4.4765221612052501</v>
      </c>
      <c r="DE21" s="11">
        <f t="shared" si="80"/>
        <v>13766.142920100001</v>
      </c>
      <c r="DF21" s="11">
        <f t="shared" si="37"/>
        <v>2.7114355717305196</v>
      </c>
      <c r="DG21" s="99"/>
      <c r="DH21" s="11">
        <f t="shared" si="38"/>
        <v>0</v>
      </c>
      <c r="DI21" s="11">
        <f t="shared" si="81"/>
        <v>1467.5073093432547</v>
      </c>
      <c r="DJ21" s="11">
        <f t="shared" si="39"/>
        <v>0.28904621602598757</v>
      </c>
      <c r="DK21" s="99"/>
      <c r="DL21" s="11">
        <f t="shared" si="82"/>
        <v>0</v>
      </c>
      <c r="DM21" s="11">
        <f t="shared" si="83"/>
        <v>0</v>
      </c>
      <c r="DN21" s="11">
        <f t="shared" si="84"/>
        <v>0</v>
      </c>
      <c r="DO21" s="496"/>
      <c r="DP21" s="11">
        <f t="shared" si="85"/>
        <v>0</v>
      </c>
      <c r="DQ21" s="11">
        <f t="shared" si="86"/>
        <v>0</v>
      </c>
      <c r="DR21" s="11">
        <f t="shared" si="87"/>
        <v>0</v>
      </c>
      <c r="DS21" s="99"/>
      <c r="DT21" s="11">
        <f t="shared" si="108"/>
        <v>0</v>
      </c>
      <c r="DU21" s="11">
        <f t="shared" si="88"/>
        <v>0</v>
      </c>
      <c r="DV21" s="11">
        <f t="shared" si="109"/>
        <v>0</v>
      </c>
      <c r="DW21" s="11">
        <f t="shared" si="89"/>
        <v>47870.255744255752</v>
      </c>
      <c r="DX21" s="11">
        <f t="shared" si="40"/>
        <v>95.510797048840132</v>
      </c>
      <c r="DY21" s="11">
        <f t="shared" si="90"/>
        <v>494206.80534053908</v>
      </c>
      <c r="DZ21" s="11">
        <f t="shared" si="41"/>
        <v>97.340985021671116</v>
      </c>
      <c r="EA21" s="99"/>
      <c r="EB21" s="11">
        <f t="shared" si="42"/>
        <v>0</v>
      </c>
      <c r="EC21" s="11">
        <f t="shared" si="91"/>
        <v>0</v>
      </c>
      <c r="ED21" s="11">
        <f t="shared" si="43"/>
        <v>0</v>
      </c>
      <c r="EE21" s="99"/>
      <c r="EF21" s="11">
        <f t="shared" si="44"/>
        <v>0</v>
      </c>
      <c r="EG21" s="11">
        <f t="shared" si="92"/>
        <v>0</v>
      </c>
      <c r="EH21" s="11">
        <f t="shared" si="45"/>
        <v>0</v>
      </c>
      <c r="EI21" s="99"/>
      <c r="EJ21" s="17">
        <f t="shared" si="46"/>
        <v>0</v>
      </c>
      <c r="EK21" s="11">
        <f t="shared" si="93"/>
        <v>0</v>
      </c>
      <c r="EL21" s="11">
        <f t="shared" si="47"/>
        <v>0</v>
      </c>
      <c r="EM21" s="11">
        <f t="shared" si="94"/>
        <v>0</v>
      </c>
      <c r="EN21" s="11">
        <f t="shared" si="48"/>
        <v>0</v>
      </c>
      <c r="EO21" s="11">
        <f t="shared" si="95"/>
        <v>0</v>
      </c>
      <c r="EP21" s="11">
        <f t="shared" si="49"/>
        <v>0</v>
      </c>
      <c r="EQ21" s="99"/>
      <c r="ER21" s="11">
        <f t="shared" si="50"/>
        <v>0</v>
      </c>
      <c r="ES21" s="11">
        <f t="shared" si="96"/>
        <v>0</v>
      </c>
      <c r="ET21" s="11">
        <f t="shared" si="51"/>
        <v>0</v>
      </c>
      <c r="EU21" s="11">
        <f t="shared" si="97"/>
        <v>50120.255744255752</v>
      </c>
      <c r="EV21" s="11">
        <f t="shared" si="98"/>
        <v>507706.80534053908</v>
      </c>
      <c r="EW21" s="11">
        <f t="shared" si="52"/>
        <v>0.96135524588579169</v>
      </c>
      <c r="EX21" s="11">
        <f t="shared" si="53"/>
        <v>1.0283273454856874</v>
      </c>
      <c r="EY21" s="493">
        <f t="shared" si="99"/>
        <v>1.0890896484557846</v>
      </c>
      <c r="EZ21" s="494">
        <f t="shared" si="100"/>
        <v>0.9990169998970283</v>
      </c>
      <c r="FA21" s="6" t="s">
        <v>425</v>
      </c>
      <c r="FF21" s="15"/>
      <c r="FG21" s="15"/>
    </row>
    <row r="22" spans="1:163">
      <c r="A22" s="18">
        <f>+Chem!A21</f>
        <v>46094</v>
      </c>
      <c r="B22" s="6" t="str">
        <f>+Chem!B21</f>
        <v>Napkin/Towel</v>
      </c>
      <c r="C22" s="6" t="str">
        <f>+Chem!C21</f>
        <v>15,5/22</v>
      </c>
      <c r="D22" s="9">
        <f>+Chem!D21</f>
        <v>51.14</v>
      </c>
      <c r="E22" s="7">
        <f>+Chem!E21</f>
        <v>48.695</v>
      </c>
      <c r="F22" s="7">
        <f t="shared" si="54"/>
        <v>542.41600000000005</v>
      </c>
      <c r="G22" s="99">
        <f>25*G7</f>
        <v>6250</v>
      </c>
      <c r="H22" s="11">
        <f t="shared" si="0"/>
        <v>10.600166495802892</v>
      </c>
      <c r="I22" s="9">
        <f t="shared" si="55"/>
        <v>19750</v>
      </c>
      <c r="J22" s="11">
        <f t="shared" si="1"/>
        <v>3.4852850351367639</v>
      </c>
      <c r="K22" s="99"/>
      <c r="L22" s="11">
        <f t="shared" si="2"/>
        <v>0</v>
      </c>
      <c r="M22" s="11">
        <f t="shared" si="56"/>
        <v>0</v>
      </c>
      <c r="N22" s="11">
        <f t="shared" si="3"/>
        <v>0</v>
      </c>
      <c r="O22" s="99"/>
      <c r="P22" s="11">
        <f t="shared" si="4"/>
        <v>0</v>
      </c>
      <c r="Q22" s="11">
        <f t="shared" si="57"/>
        <v>0</v>
      </c>
      <c r="R22" s="11">
        <f t="shared" si="5"/>
        <v>0</v>
      </c>
      <c r="S22" s="99"/>
      <c r="T22" s="11">
        <f t="shared" si="6"/>
        <v>0</v>
      </c>
      <c r="U22" s="11">
        <f t="shared" si="58"/>
        <v>0</v>
      </c>
      <c r="V22" s="11">
        <f t="shared" si="7"/>
        <v>0</v>
      </c>
      <c r="W22" s="11"/>
      <c r="X22" s="11">
        <f t="shared" si="8"/>
        <v>0</v>
      </c>
      <c r="Y22" s="11">
        <f t="shared" si="59"/>
        <v>0</v>
      </c>
      <c r="Z22" s="11">
        <f t="shared" si="9"/>
        <v>0</v>
      </c>
      <c r="AA22" s="99"/>
      <c r="AB22" s="11">
        <f t="shared" si="10"/>
        <v>0</v>
      </c>
      <c r="AC22" s="11">
        <f t="shared" si="60"/>
        <v>0</v>
      </c>
      <c r="AD22" s="11">
        <f t="shared" si="11"/>
        <v>0</v>
      </c>
      <c r="AE22" s="99"/>
      <c r="AF22" s="11">
        <f t="shared" si="12"/>
        <v>0</v>
      </c>
      <c r="AG22" s="11">
        <f t="shared" si="61"/>
        <v>0</v>
      </c>
      <c r="AH22" s="11">
        <f t="shared" si="13"/>
        <v>0</v>
      </c>
      <c r="AI22" s="99"/>
      <c r="AJ22" s="11">
        <f t="shared" si="14"/>
        <v>0</v>
      </c>
      <c r="AK22" s="11">
        <f t="shared" si="62"/>
        <v>0</v>
      </c>
      <c r="AL22" s="11">
        <f t="shared" si="15"/>
        <v>0</v>
      </c>
      <c r="AM22" s="99"/>
      <c r="AN22" s="11">
        <f t="shared" si="16"/>
        <v>0</v>
      </c>
      <c r="AO22" s="11">
        <f t="shared" si="63"/>
        <v>0</v>
      </c>
      <c r="AP22" s="11">
        <f t="shared" si="17"/>
        <v>0</v>
      </c>
      <c r="AQ22" s="99"/>
      <c r="AR22" s="11">
        <f t="shared" si="18"/>
        <v>0</v>
      </c>
      <c r="AS22" s="11">
        <f t="shared" si="64"/>
        <v>0</v>
      </c>
      <c r="AT22" s="11">
        <f t="shared" si="19"/>
        <v>0</v>
      </c>
      <c r="AU22" s="256"/>
      <c r="AV22" s="11">
        <f t="shared" si="20"/>
        <v>0</v>
      </c>
      <c r="AW22" s="9">
        <f t="shared" si="65"/>
        <v>0</v>
      </c>
      <c r="AX22" s="11">
        <f t="shared" si="21"/>
        <v>0</v>
      </c>
      <c r="AY22" s="99"/>
      <c r="AZ22" s="11">
        <f t="shared" si="22"/>
        <v>0</v>
      </c>
      <c r="BA22" s="11">
        <f t="shared" si="66"/>
        <v>0</v>
      </c>
      <c r="BB22" s="11">
        <f t="shared" si="23"/>
        <v>0</v>
      </c>
      <c r="BC22" s="99"/>
      <c r="BD22" s="11">
        <f t="shared" si="24"/>
        <v>0</v>
      </c>
      <c r="BE22" s="11">
        <f t="shared" si="67"/>
        <v>0</v>
      </c>
      <c r="BF22" s="11">
        <f t="shared" si="25"/>
        <v>0</v>
      </c>
      <c r="BG22" s="99"/>
      <c r="BH22" s="11">
        <f t="shared" si="26"/>
        <v>0</v>
      </c>
      <c r="BI22" s="11">
        <f t="shared" si="68"/>
        <v>0</v>
      </c>
      <c r="BJ22" s="11">
        <f t="shared" si="27"/>
        <v>0</v>
      </c>
      <c r="BK22" s="99"/>
      <c r="BL22" s="11"/>
      <c r="BM22" s="11"/>
      <c r="BN22" s="11"/>
      <c r="BO22" s="99"/>
      <c r="BP22" s="11"/>
      <c r="BQ22" s="11"/>
      <c r="BR22" s="11"/>
      <c r="BS22" s="99"/>
      <c r="BT22" s="11"/>
      <c r="BU22" s="11"/>
      <c r="BV22" s="11"/>
      <c r="BW22" s="11">
        <f t="shared" si="69"/>
        <v>6250</v>
      </c>
      <c r="BX22" s="11">
        <f t="shared" si="28"/>
        <v>10.600166495802892</v>
      </c>
      <c r="BY22" s="11">
        <f t="shared" si="70"/>
        <v>19750</v>
      </c>
      <c r="BZ22" s="11">
        <f t="shared" si="29"/>
        <v>3.4852850351367639</v>
      </c>
      <c r="CA22" s="11"/>
      <c r="CB22" s="11">
        <f t="shared" si="71"/>
        <v>0</v>
      </c>
      <c r="CC22" s="11">
        <f t="shared" si="101"/>
        <v>0</v>
      </c>
      <c r="CD22" s="11">
        <f t="shared" si="72"/>
        <v>0</v>
      </c>
      <c r="CE22" s="11"/>
      <c r="CF22" s="11">
        <f t="shared" si="102"/>
        <v>0</v>
      </c>
      <c r="CG22" s="11">
        <f t="shared" si="103"/>
        <v>0</v>
      </c>
      <c r="CH22" s="11">
        <f t="shared" si="104"/>
        <v>0</v>
      </c>
      <c r="CI22" s="11">
        <f t="shared" si="73"/>
        <v>0</v>
      </c>
      <c r="CJ22" s="11">
        <f t="shared" si="105"/>
        <v>0</v>
      </c>
      <c r="CK22" s="11">
        <f t="shared" si="106"/>
        <v>0</v>
      </c>
      <c r="CL22" s="11">
        <f t="shared" si="107"/>
        <v>0</v>
      </c>
      <c r="CM22" s="99">
        <v>7490.5197601107184</v>
      </c>
      <c r="CN22" s="11">
        <f t="shared" si="74"/>
        <v>12.704121055564025</v>
      </c>
      <c r="CO22" s="11">
        <f t="shared" si="75"/>
        <v>7490.5197601107184</v>
      </c>
      <c r="CP22" s="11">
        <f t="shared" si="76"/>
        <v>1.3218529835600057</v>
      </c>
      <c r="CQ22" s="100">
        <v>29382.104413347686</v>
      </c>
      <c r="CR22" s="11">
        <f t="shared" si="30"/>
        <v>49.832831804568066</v>
      </c>
      <c r="CS22" s="11">
        <f t="shared" si="77"/>
        <v>299344.1616205406</v>
      </c>
      <c r="CT22" s="11">
        <f t="shared" si="31"/>
        <v>52.82530262539904</v>
      </c>
      <c r="CU22" s="99">
        <v>12616.905658926649</v>
      </c>
      <c r="CV22" s="11">
        <f t="shared" si="32"/>
        <v>21.398608103433627</v>
      </c>
      <c r="CW22" s="11">
        <f t="shared" si="78"/>
        <v>130884.19694407335</v>
      </c>
      <c r="CX22" s="11">
        <f t="shared" si="33"/>
        <v>23.097151035193512</v>
      </c>
      <c r="CY22" s="99">
        <v>1548.2373519913888</v>
      </c>
      <c r="CZ22" s="11">
        <f t="shared" si="34"/>
        <v>2.625851792980753</v>
      </c>
      <c r="DA22" s="11">
        <f t="shared" si="79"/>
        <v>19160.881159938086</v>
      </c>
      <c r="DB22" s="11">
        <f t="shared" si="35"/>
        <v>3.3813231578109457</v>
      </c>
      <c r="DC22" s="99">
        <v>1673.5708519145012</v>
      </c>
      <c r="DD22" s="11">
        <f t="shared" si="36"/>
        <v>2.8384207476506234</v>
      </c>
      <c r="DE22" s="11">
        <f t="shared" si="80"/>
        <v>15439.713772014502</v>
      </c>
      <c r="DF22" s="11">
        <f t="shared" si="37"/>
        <v>2.7246482712099818</v>
      </c>
      <c r="DG22" s="99"/>
      <c r="DH22" s="11">
        <f t="shared" si="38"/>
        <v>0</v>
      </c>
      <c r="DI22" s="11">
        <f t="shared" si="81"/>
        <v>1467.5073093432547</v>
      </c>
      <c r="DJ22" s="11">
        <f t="shared" si="39"/>
        <v>0.25897120325103107</v>
      </c>
      <c r="DK22" s="99"/>
      <c r="DL22" s="11">
        <f t="shared" si="82"/>
        <v>0</v>
      </c>
      <c r="DM22" s="11">
        <f t="shared" si="83"/>
        <v>0</v>
      </c>
      <c r="DN22" s="11">
        <f t="shared" si="84"/>
        <v>0</v>
      </c>
      <c r="DO22" s="496"/>
      <c r="DP22" s="11">
        <f t="shared" si="85"/>
        <v>0</v>
      </c>
      <c r="DQ22" s="11">
        <f t="shared" si="86"/>
        <v>0</v>
      </c>
      <c r="DR22" s="11">
        <f t="shared" si="87"/>
        <v>0</v>
      </c>
      <c r="DS22" s="99"/>
      <c r="DT22" s="11">
        <f t="shared" si="108"/>
        <v>0</v>
      </c>
      <c r="DU22" s="11">
        <f t="shared" si="88"/>
        <v>0</v>
      </c>
      <c r="DV22" s="11">
        <f t="shared" si="109"/>
        <v>0</v>
      </c>
      <c r="DW22" s="11">
        <f t="shared" si="89"/>
        <v>52711.338036290952</v>
      </c>
      <c r="DX22" s="11">
        <f t="shared" si="40"/>
        <v>89.399833504197119</v>
      </c>
      <c r="DY22" s="11">
        <f t="shared" si="90"/>
        <v>546918.14337683003</v>
      </c>
      <c r="DZ22" s="11">
        <f t="shared" si="41"/>
        <v>96.514714964863231</v>
      </c>
      <c r="EA22" s="99"/>
      <c r="EB22" s="11">
        <f t="shared" si="42"/>
        <v>0</v>
      </c>
      <c r="EC22" s="11">
        <f t="shared" si="91"/>
        <v>0</v>
      </c>
      <c r="ED22" s="11">
        <f t="shared" si="43"/>
        <v>0</v>
      </c>
      <c r="EE22" s="99"/>
      <c r="EF22" s="11">
        <f t="shared" si="44"/>
        <v>0</v>
      </c>
      <c r="EG22" s="11">
        <f t="shared" si="92"/>
        <v>0</v>
      </c>
      <c r="EH22" s="11">
        <f t="shared" si="45"/>
        <v>0</v>
      </c>
      <c r="EI22" s="99"/>
      <c r="EJ22" s="17">
        <f t="shared" si="46"/>
        <v>0</v>
      </c>
      <c r="EK22" s="11">
        <f t="shared" si="93"/>
        <v>0</v>
      </c>
      <c r="EL22" s="11">
        <f t="shared" si="47"/>
        <v>0</v>
      </c>
      <c r="EM22" s="11">
        <f t="shared" si="94"/>
        <v>0</v>
      </c>
      <c r="EN22" s="11">
        <f t="shared" si="48"/>
        <v>0</v>
      </c>
      <c r="EO22" s="11">
        <f t="shared" si="95"/>
        <v>0</v>
      </c>
      <c r="EP22" s="11">
        <f t="shared" si="49"/>
        <v>0</v>
      </c>
      <c r="EQ22" s="99"/>
      <c r="ER22" s="11">
        <f t="shared" si="50"/>
        <v>0</v>
      </c>
      <c r="ES22" s="11">
        <f t="shared" si="96"/>
        <v>0</v>
      </c>
      <c r="ET22" s="11">
        <f t="shared" si="51"/>
        <v>0</v>
      </c>
      <c r="EU22" s="11">
        <f t="shared" si="97"/>
        <v>58961.338036290952</v>
      </c>
      <c r="EV22" s="11">
        <f t="shared" si="98"/>
        <v>566668.14337683003</v>
      </c>
      <c r="EW22" s="11">
        <f t="shared" si="52"/>
        <v>1.2108294082819786</v>
      </c>
      <c r="EX22" s="11">
        <f t="shared" si="53"/>
        <v>1.0447113347999137</v>
      </c>
      <c r="EY22" s="493">
        <f t="shared" si="99"/>
        <v>0.92380504487429693</v>
      </c>
      <c r="EZ22" s="494">
        <f t="shared" si="100"/>
        <v>0.99176815866990164</v>
      </c>
      <c r="FA22" s="6" t="s">
        <v>425</v>
      </c>
      <c r="FF22" s="15"/>
      <c r="FG22" s="15"/>
    </row>
    <row r="23" spans="1:163">
      <c r="A23" s="18">
        <f>+Chem!A22</f>
        <v>46095</v>
      </c>
      <c r="B23" s="6" t="str">
        <f>+Chem!B22</f>
        <v>Towel</v>
      </c>
      <c r="C23" s="6" t="str">
        <f>+Chem!C22</f>
        <v>22</v>
      </c>
      <c r="D23" s="9">
        <f>+Chem!D22</f>
        <v>52.802999999999997</v>
      </c>
      <c r="E23" s="7">
        <f>+Chem!E22</f>
        <v>51.557000000000002</v>
      </c>
      <c r="F23" s="7">
        <f t="shared" si="54"/>
        <v>593.97300000000007</v>
      </c>
      <c r="G23" s="99"/>
      <c r="H23" s="11">
        <f t="shared" si="0"/>
        <v>0</v>
      </c>
      <c r="I23" s="9">
        <f t="shared" si="55"/>
        <v>19750</v>
      </c>
      <c r="J23" s="11">
        <f t="shared" si="1"/>
        <v>3.2013714050911406</v>
      </c>
      <c r="K23" s="99"/>
      <c r="L23" s="11">
        <f t="shared" si="2"/>
        <v>0</v>
      </c>
      <c r="M23" s="11">
        <f t="shared" si="56"/>
        <v>0</v>
      </c>
      <c r="N23" s="11">
        <f t="shared" si="3"/>
        <v>0</v>
      </c>
      <c r="O23" s="99"/>
      <c r="P23" s="11">
        <f t="shared" si="4"/>
        <v>0</v>
      </c>
      <c r="Q23" s="11">
        <f t="shared" si="57"/>
        <v>0</v>
      </c>
      <c r="R23" s="11">
        <f t="shared" si="5"/>
        <v>0</v>
      </c>
      <c r="S23" s="99"/>
      <c r="T23" s="11">
        <f t="shared" si="6"/>
        <v>0</v>
      </c>
      <c r="U23" s="11">
        <f t="shared" si="58"/>
        <v>0</v>
      </c>
      <c r="V23" s="11">
        <f t="shared" si="7"/>
        <v>0</v>
      </c>
      <c r="W23" s="11"/>
      <c r="X23" s="11">
        <f t="shared" si="8"/>
        <v>0</v>
      </c>
      <c r="Y23" s="11">
        <f t="shared" si="59"/>
        <v>0</v>
      </c>
      <c r="Z23" s="11">
        <f t="shared" si="9"/>
        <v>0</v>
      </c>
      <c r="AA23" s="99"/>
      <c r="AB23" s="11">
        <f t="shared" si="10"/>
        <v>0</v>
      </c>
      <c r="AC23" s="11">
        <f t="shared" si="60"/>
        <v>0</v>
      </c>
      <c r="AD23" s="11">
        <f t="shared" si="11"/>
        <v>0</v>
      </c>
      <c r="AE23" s="99"/>
      <c r="AF23" s="11">
        <f t="shared" si="12"/>
        <v>0</v>
      </c>
      <c r="AG23" s="11">
        <f t="shared" si="61"/>
        <v>0</v>
      </c>
      <c r="AH23" s="11">
        <f t="shared" si="13"/>
        <v>0</v>
      </c>
      <c r="AI23" s="99"/>
      <c r="AJ23" s="11">
        <f t="shared" si="14"/>
        <v>0</v>
      </c>
      <c r="AK23" s="11">
        <f t="shared" si="62"/>
        <v>0</v>
      </c>
      <c r="AL23" s="11">
        <f t="shared" si="15"/>
        <v>0</v>
      </c>
      <c r="AM23" s="99"/>
      <c r="AN23" s="11">
        <f t="shared" si="16"/>
        <v>0</v>
      </c>
      <c r="AO23" s="11">
        <f t="shared" si="63"/>
        <v>0</v>
      </c>
      <c r="AP23" s="11">
        <f t="shared" si="17"/>
        <v>0</v>
      </c>
      <c r="AQ23" s="99"/>
      <c r="AR23" s="11">
        <f t="shared" si="18"/>
        <v>0</v>
      </c>
      <c r="AS23" s="11">
        <f t="shared" si="64"/>
        <v>0</v>
      </c>
      <c r="AT23" s="11">
        <f t="shared" si="19"/>
        <v>0</v>
      </c>
      <c r="AU23" s="256"/>
      <c r="AV23" s="11">
        <f t="shared" si="20"/>
        <v>0</v>
      </c>
      <c r="AW23" s="9">
        <f t="shared" si="65"/>
        <v>0</v>
      </c>
      <c r="AX23" s="11">
        <f t="shared" si="21"/>
        <v>0</v>
      </c>
      <c r="AY23" s="99"/>
      <c r="AZ23" s="11">
        <f t="shared" si="22"/>
        <v>0</v>
      </c>
      <c r="BA23" s="11">
        <f t="shared" si="66"/>
        <v>0</v>
      </c>
      <c r="BB23" s="11">
        <f t="shared" si="23"/>
        <v>0</v>
      </c>
      <c r="BC23" s="99"/>
      <c r="BD23" s="11">
        <f t="shared" si="24"/>
        <v>0</v>
      </c>
      <c r="BE23" s="11">
        <f t="shared" si="67"/>
        <v>0</v>
      </c>
      <c r="BF23" s="11">
        <f t="shared" si="25"/>
        <v>0</v>
      </c>
      <c r="BG23" s="99"/>
      <c r="BH23" s="11">
        <f t="shared" si="26"/>
        <v>0</v>
      </c>
      <c r="BI23" s="11">
        <f t="shared" si="68"/>
        <v>0</v>
      </c>
      <c r="BJ23" s="11">
        <f t="shared" si="27"/>
        <v>0</v>
      </c>
      <c r="BK23" s="99"/>
      <c r="BL23" s="11"/>
      <c r="BM23" s="11"/>
      <c r="BN23" s="11"/>
      <c r="BO23" s="99"/>
      <c r="BP23" s="11"/>
      <c r="BQ23" s="11"/>
      <c r="BR23" s="11"/>
      <c r="BS23" s="99"/>
      <c r="BT23" s="11"/>
      <c r="BU23" s="11"/>
      <c r="BV23" s="11"/>
      <c r="BW23" s="11">
        <f t="shared" si="69"/>
        <v>0</v>
      </c>
      <c r="BX23" s="11">
        <f t="shared" si="28"/>
        <v>0</v>
      </c>
      <c r="BY23" s="11">
        <f t="shared" si="70"/>
        <v>19750</v>
      </c>
      <c r="BZ23" s="11">
        <f t="shared" si="29"/>
        <v>3.2013714050911406</v>
      </c>
      <c r="CA23" s="11"/>
      <c r="CB23" s="11">
        <f t="shared" si="71"/>
        <v>0</v>
      </c>
      <c r="CC23" s="11">
        <f t="shared" si="101"/>
        <v>0</v>
      </c>
      <c r="CD23" s="11">
        <f t="shared" si="72"/>
        <v>0</v>
      </c>
      <c r="CE23" s="11"/>
      <c r="CF23" s="11">
        <f t="shared" si="102"/>
        <v>0</v>
      </c>
      <c r="CG23" s="11">
        <f t="shared" si="103"/>
        <v>0</v>
      </c>
      <c r="CH23" s="11">
        <f t="shared" si="104"/>
        <v>0</v>
      </c>
      <c r="CI23" s="11">
        <f t="shared" si="73"/>
        <v>0</v>
      </c>
      <c r="CJ23" s="11">
        <f t="shared" si="105"/>
        <v>0</v>
      </c>
      <c r="CK23" s="11">
        <f t="shared" si="106"/>
        <v>0</v>
      </c>
      <c r="CL23" s="11">
        <f t="shared" si="107"/>
        <v>0</v>
      </c>
      <c r="CM23" s="99">
        <v>7441.0530388294874</v>
      </c>
      <c r="CN23" s="11">
        <f t="shared" si="74"/>
        <v>14.80660261148066</v>
      </c>
      <c r="CO23" s="11">
        <f t="shared" si="75"/>
        <v>7441.0530388294874</v>
      </c>
      <c r="CP23" s="11">
        <f t="shared" si="76"/>
        <v>1.2061556669506459</v>
      </c>
      <c r="CQ23" s="100">
        <v>26475.786719189644</v>
      </c>
      <c r="CR23" s="11">
        <f t="shared" si="30"/>
        <v>52.682926829268297</v>
      </c>
      <c r="CS23" s="11">
        <f t="shared" si="77"/>
        <v>325819.94833973027</v>
      </c>
      <c r="CT23" s="11">
        <f t="shared" si="31"/>
        <v>52.813704598637216</v>
      </c>
      <c r="CU23" s="99">
        <v>12277.118458075407</v>
      </c>
      <c r="CV23" s="11">
        <f t="shared" si="32"/>
        <v>24.429662478442967</v>
      </c>
      <c r="CW23" s="11">
        <f t="shared" si="78"/>
        <v>143161.31540214876</v>
      </c>
      <c r="CX23" s="11">
        <f t="shared" si="33"/>
        <v>23.205698300945464</v>
      </c>
      <c r="CY23" s="99">
        <v>1958.693162633652</v>
      </c>
      <c r="CZ23" s="11">
        <f t="shared" si="34"/>
        <v>3.8975117023897514</v>
      </c>
      <c r="DA23" s="11">
        <f t="shared" si="79"/>
        <v>21119.574322571738</v>
      </c>
      <c r="DB23" s="11">
        <f t="shared" si="35"/>
        <v>3.4233722189356075</v>
      </c>
      <c r="DC23" s="99">
        <v>2102.3141530669668</v>
      </c>
      <c r="DD23" s="11">
        <f t="shared" si="36"/>
        <v>4.1832963784183299</v>
      </c>
      <c r="DE23" s="11">
        <f t="shared" si="80"/>
        <v>17542.027925081467</v>
      </c>
      <c r="DF23" s="11">
        <f t="shared" si="37"/>
        <v>2.843470713248915</v>
      </c>
      <c r="DG23" s="99"/>
      <c r="DH23" s="11">
        <f t="shared" si="38"/>
        <v>0</v>
      </c>
      <c r="DI23" s="11">
        <f t="shared" si="81"/>
        <v>1467.5073093432547</v>
      </c>
      <c r="DJ23" s="11">
        <f t="shared" si="39"/>
        <v>0.23787523731107516</v>
      </c>
      <c r="DK23" s="99"/>
      <c r="DL23" s="11">
        <f t="shared" si="82"/>
        <v>0</v>
      </c>
      <c r="DM23" s="11">
        <f t="shared" si="83"/>
        <v>0</v>
      </c>
      <c r="DN23" s="11">
        <f t="shared" si="84"/>
        <v>0</v>
      </c>
      <c r="DO23" s="496"/>
      <c r="DP23" s="11">
        <f t="shared" si="85"/>
        <v>0</v>
      </c>
      <c r="DQ23" s="11">
        <f t="shared" si="86"/>
        <v>0</v>
      </c>
      <c r="DR23" s="11">
        <f t="shared" si="87"/>
        <v>0</v>
      </c>
      <c r="DS23" s="99"/>
      <c r="DT23" s="11">
        <f t="shared" si="108"/>
        <v>0</v>
      </c>
      <c r="DU23" s="11">
        <f t="shared" si="88"/>
        <v>0</v>
      </c>
      <c r="DV23" s="11">
        <f t="shared" si="109"/>
        <v>0</v>
      </c>
      <c r="DW23" s="11">
        <f t="shared" si="89"/>
        <v>50254.965531795155</v>
      </c>
      <c r="DX23" s="11">
        <f t="shared" si="40"/>
        <v>100</v>
      </c>
      <c r="DY23" s="11">
        <f t="shared" si="90"/>
        <v>597173.1089086252</v>
      </c>
      <c r="DZ23" s="11">
        <f t="shared" si="41"/>
        <v>96.798628594908863</v>
      </c>
      <c r="EA23" s="99"/>
      <c r="EB23" s="11">
        <f t="shared" si="42"/>
        <v>0</v>
      </c>
      <c r="EC23" s="11">
        <f t="shared" si="91"/>
        <v>0</v>
      </c>
      <c r="ED23" s="11">
        <f t="shared" si="43"/>
        <v>0</v>
      </c>
      <c r="EE23" s="99"/>
      <c r="EF23" s="11">
        <f t="shared" si="44"/>
        <v>0</v>
      </c>
      <c r="EG23" s="11">
        <f t="shared" si="92"/>
        <v>0</v>
      </c>
      <c r="EH23" s="11">
        <f t="shared" si="45"/>
        <v>0</v>
      </c>
      <c r="EI23" s="99"/>
      <c r="EJ23" s="17">
        <f t="shared" si="46"/>
        <v>0</v>
      </c>
      <c r="EK23" s="11">
        <f t="shared" si="93"/>
        <v>0</v>
      </c>
      <c r="EL23" s="11">
        <f t="shared" si="47"/>
        <v>0</v>
      </c>
      <c r="EM23" s="11">
        <f t="shared" si="94"/>
        <v>0</v>
      </c>
      <c r="EN23" s="11">
        <f t="shared" si="48"/>
        <v>0</v>
      </c>
      <c r="EO23" s="11">
        <f t="shared" si="95"/>
        <v>0</v>
      </c>
      <c r="EP23" s="11">
        <f t="shared" si="49"/>
        <v>0</v>
      </c>
      <c r="EQ23" s="99"/>
      <c r="ER23" s="11">
        <f t="shared" si="50"/>
        <v>0</v>
      </c>
      <c r="ES23" s="11">
        <f t="shared" si="96"/>
        <v>0</v>
      </c>
      <c r="ET23" s="11">
        <f t="shared" si="51"/>
        <v>0</v>
      </c>
      <c r="EU23" s="11">
        <f t="shared" si="97"/>
        <v>50254.965531795155</v>
      </c>
      <c r="EV23" s="11">
        <f t="shared" si="98"/>
        <v>616923.1089086252</v>
      </c>
      <c r="EW23" s="11">
        <f t="shared" si="52"/>
        <v>0.97474572864587072</v>
      </c>
      <c r="EX23" s="11">
        <f t="shared" si="53"/>
        <v>1.0386383032707296</v>
      </c>
      <c r="EY23" s="493">
        <f t="shared" si="99"/>
        <v>1.0259085734996889</v>
      </c>
      <c r="EZ23" s="494">
        <f t="shared" si="100"/>
        <v>0.99464123742197053</v>
      </c>
      <c r="FA23" s="6" t="s">
        <v>425</v>
      </c>
      <c r="FF23" s="15"/>
      <c r="FG23" s="15"/>
    </row>
    <row r="24" spans="1:163">
      <c r="A24" s="18">
        <f>+Chem!A23</f>
        <v>46096</v>
      </c>
      <c r="B24" s="6" t="str">
        <f>+Chem!B23</f>
        <v>Towel</v>
      </c>
      <c r="C24" s="6" t="str">
        <f>+Chem!C23</f>
        <v>22</v>
      </c>
      <c r="D24" s="9">
        <f>+Chem!D23</f>
        <v>52.868000000000002</v>
      </c>
      <c r="E24" s="7">
        <f>+Chem!E23</f>
        <v>52.259</v>
      </c>
      <c r="F24" s="7">
        <f t="shared" si="54"/>
        <v>646.23200000000008</v>
      </c>
      <c r="G24" s="99">
        <f>30*G7</f>
        <v>7500</v>
      </c>
      <c r="H24" s="11">
        <f t="shared" si="0"/>
        <v>11.877886609255622</v>
      </c>
      <c r="I24" s="9">
        <f t="shared" si="55"/>
        <v>27250</v>
      </c>
      <c r="J24" s="11">
        <f t="shared" si="1"/>
        <v>4.0069660640464049</v>
      </c>
      <c r="K24" s="99"/>
      <c r="L24" s="11">
        <f t="shared" si="2"/>
        <v>0</v>
      </c>
      <c r="M24" s="11">
        <f t="shared" si="56"/>
        <v>0</v>
      </c>
      <c r="N24" s="11">
        <f t="shared" si="3"/>
        <v>0</v>
      </c>
      <c r="O24" s="99"/>
      <c r="P24" s="11">
        <f t="shared" si="4"/>
        <v>0</v>
      </c>
      <c r="Q24" s="11">
        <f t="shared" si="57"/>
        <v>0</v>
      </c>
      <c r="R24" s="11">
        <f t="shared" si="5"/>
        <v>0</v>
      </c>
      <c r="S24" s="99"/>
      <c r="T24" s="11">
        <f t="shared" si="6"/>
        <v>0</v>
      </c>
      <c r="U24" s="11">
        <f t="shared" si="58"/>
        <v>0</v>
      </c>
      <c r="V24" s="11">
        <f t="shared" si="7"/>
        <v>0</v>
      </c>
      <c r="W24" s="11"/>
      <c r="X24" s="11">
        <f t="shared" si="8"/>
        <v>0</v>
      </c>
      <c r="Y24" s="11">
        <f t="shared" si="59"/>
        <v>0</v>
      </c>
      <c r="Z24" s="11">
        <f t="shared" si="9"/>
        <v>0</v>
      </c>
      <c r="AA24" s="99"/>
      <c r="AB24" s="11">
        <f t="shared" si="10"/>
        <v>0</v>
      </c>
      <c r="AC24" s="11">
        <f t="shared" si="60"/>
        <v>0</v>
      </c>
      <c r="AD24" s="11">
        <f t="shared" si="11"/>
        <v>0</v>
      </c>
      <c r="AE24" s="99"/>
      <c r="AF24" s="11">
        <f t="shared" si="12"/>
        <v>0</v>
      </c>
      <c r="AG24" s="11">
        <f t="shared" si="61"/>
        <v>0</v>
      </c>
      <c r="AH24" s="11">
        <f t="shared" si="13"/>
        <v>0</v>
      </c>
      <c r="AI24" s="99"/>
      <c r="AJ24" s="11">
        <f t="shared" si="14"/>
        <v>0</v>
      </c>
      <c r="AK24" s="11">
        <f t="shared" si="62"/>
        <v>0</v>
      </c>
      <c r="AL24" s="11">
        <f t="shared" si="15"/>
        <v>0</v>
      </c>
      <c r="AM24" s="99"/>
      <c r="AN24" s="11">
        <f t="shared" si="16"/>
        <v>0</v>
      </c>
      <c r="AO24" s="11">
        <f t="shared" si="63"/>
        <v>0</v>
      </c>
      <c r="AP24" s="11">
        <f t="shared" si="17"/>
        <v>0</v>
      </c>
      <c r="AQ24" s="99"/>
      <c r="AR24" s="11">
        <f t="shared" si="18"/>
        <v>0</v>
      </c>
      <c r="AS24" s="11">
        <f t="shared" si="64"/>
        <v>0</v>
      </c>
      <c r="AT24" s="11">
        <f t="shared" si="19"/>
        <v>0</v>
      </c>
      <c r="AU24" s="256"/>
      <c r="AV24" s="11">
        <f t="shared" si="20"/>
        <v>0</v>
      </c>
      <c r="AW24" s="9">
        <f t="shared" si="65"/>
        <v>0</v>
      </c>
      <c r="AX24" s="11">
        <f t="shared" si="21"/>
        <v>0</v>
      </c>
      <c r="AY24" s="99"/>
      <c r="AZ24" s="11">
        <f t="shared" si="22"/>
        <v>0</v>
      </c>
      <c r="BA24" s="11">
        <f t="shared" si="66"/>
        <v>0</v>
      </c>
      <c r="BB24" s="11">
        <f t="shared" si="23"/>
        <v>0</v>
      </c>
      <c r="BC24" s="99"/>
      <c r="BD24" s="11">
        <f t="shared" si="24"/>
        <v>0</v>
      </c>
      <c r="BE24" s="11">
        <f t="shared" si="67"/>
        <v>0</v>
      </c>
      <c r="BF24" s="11">
        <f t="shared" si="25"/>
        <v>0</v>
      </c>
      <c r="BG24" s="99"/>
      <c r="BH24" s="11">
        <f t="shared" si="26"/>
        <v>0</v>
      </c>
      <c r="BI24" s="11">
        <f t="shared" si="68"/>
        <v>0</v>
      </c>
      <c r="BJ24" s="11">
        <f t="shared" si="27"/>
        <v>0</v>
      </c>
      <c r="BK24" s="99"/>
      <c r="BL24" s="11"/>
      <c r="BM24" s="11"/>
      <c r="BN24" s="11"/>
      <c r="BO24" s="99"/>
      <c r="BP24" s="11"/>
      <c r="BQ24" s="11"/>
      <c r="BR24" s="11"/>
      <c r="BS24" s="99"/>
      <c r="BT24" s="11"/>
      <c r="BU24" s="11"/>
      <c r="BV24" s="11"/>
      <c r="BW24" s="11">
        <f t="shared" si="69"/>
        <v>7500</v>
      </c>
      <c r="BX24" s="11">
        <f t="shared" si="28"/>
        <v>11.877886609255622</v>
      </c>
      <c r="BY24" s="11">
        <f t="shared" si="70"/>
        <v>27250</v>
      </c>
      <c r="BZ24" s="11">
        <f t="shared" si="29"/>
        <v>4.0069660640464049</v>
      </c>
      <c r="CA24" s="11"/>
      <c r="CB24" s="11">
        <f t="shared" si="71"/>
        <v>0</v>
      </c>
      <c r="CC24" s="11">
        <f t="shared" si="101"/>
        <v>0</v>
      </c>
      <c r="CD24" s="11">
        <f t="shared" si="72"/>
        <v>0</v>
      </c>
      <c r="CE24" s="11"/>
      <c r="CF24" s="11">
        <f t="shared" si="102"/>
        <v>0</v>
      </c>
      <c r="CG24" s="11">
        <f t="shared" si="103"/>
        <v>0</v>
      </c>
      <c r="CH24" s="11">
        <f t="shared" si="104"/>
        <v>0</v>
      </c>
      <c r="CI24" s="11">
        <f t="shared" si="73"/>
        <v>0</v>
      </c>
      <c r="CJ24" s="11">
        <f t="shared" si="105"/>
        <v>0</v>
      </c>
      <c r="CK24" s="11">
        <f t="shared" si="106"/>
        <v>0</v>
      </c>
      <c r="CL24" s="11">
        <f t="shared" si="107"/>
        <v>0</v>
      </c>
      <c r="CM24" s="99">
        <v>6746.1864530367402</v>
      </c>
      <c r="CN24" s="11">
        <f t="shared" si="74"/>
        <v>10.684058364542237</v>
      </c>
      <c r="CO24" s="11">
        <f t="shared" si="75"/>
        <v>6746.1864530367402</v>
      </c>
      <c r="CP24" s="11">
        <f t="shared" si="76"/>
        <v>0.99199046528615809</v>
      </c>
      <c r="CQ24" s="100">
        <v>31433.37390746376</v>
      </c>
      <c r="CR24" s="11">
        <f t="shared" si="30"/>
        <v>49.781606802558514</v>
      </c>
      <c r="CS24" s="11">
        <f t="shared" si="77"/>
        <v>357253.32224719401</v>
      </c>
      <c r="CT24" s="11">
        <f t="shared" si="31"/>
        <v>52.532181229810682</v>
      </c>
      <c r="CU24" s="99">
        <v>13592.60196194717</v>
      </c>
      <c r="CV24" s="11">
        <f t="shared" si="32"/>
        <v>21.526851310500533</v>
      </c>
      <c r="CW24" s="11">
        <f t="shared" si="78"/>
        <v>156753.91736409592</v>
      </c>
      <c r="CX24" s="11">
        <f t="shared" si="33"/>
        <v>23.049821184743738</v>
      </c>
      <c r="CY24" s="99">
        <v>1567.6852328961568</v>
      </c>
      <c r="CZ24" s="11">
        <f t="shared" si="34"/>
        <v>2.4827716580460053</v>
      </c>
      <c r="DA24" s="11">
        <f t="shared" si="79"/>
        <v>22687.259555467896</v>
      </c>
      <c r="DB24" s="11">
        <f t="shared" si="35"/>
        <v>3.3360396009164175</v>
      </c>
      <c r="DC24" s="99">
        <v>2302.6983093032072</v>
      </c>
      <c r="DD24" s="11">
        <f t="shared" si="36"/>
        <v>3.6468252550970837</v>
      </c>
      <c r="DE24" s="11">
        <f t="shared" si="80"/>
        <v>19844.726234384674</v>
      </c>
      <c r="DF24" s="11">
        <f t="shared" si="37"/>
        <v>2.9180603512466345</v>
      </c>
      <c r="DG24" s="99"/>
      <c r="DH24" s="11">
        <f t="shared" si="38"/>
        <v>0</v>
      </c>
      <c r="DI24" s="11">
        <f t="shared" si="81"/>
        <v>1467.5073093432547</v>
      </c>
      <c r="DJ24" s="11">
        <f t="shared" si="39"/>
        <v>0.21578906375333842</v>
      </c>
      <c r="DK24" s="99"/>
      <c r="DL24" s="11">
        <f t="shared" si="82"/>
        <v>0</v>
      </c>
      <c r="DM24" s="11">
        <f t="shared" si="83"/>
        <v>0</v>
      </c>
      <c r="DN24" s="11">
        <f t="shared" si="84"/>
        <v>0</v>
      </c>
      <c r="DO24" s="496"/>
      <c r="DP24" s="11">
        <f>DO24/EU24*100</f>
        <v>0</v>
      </c>
      <c r="DQ24" s="11">
        <f t="shared" si="86"/>
        <v>0</v>
      </c>
      <c r="DR24" s="11">
        <f>DQ24/EV24*100</f>
        <v>0</v>
      </c>
      <c r="DS24" s="99"/>
      <c r="DT24" s="11">
        <f t="shared" si="108"/>
        <v>0</v>
      </c>
      <c r="DU24" s="11">
        <f t="shared" si="88"/>
        <v>0</v>
      </c>
      <c r="DV24" s="11">
        <f t="shared" si="109"/>
        <v>0</v>
      </c>
      <c r="DW24" s="11">
        <f t="shared" si="89"/>
        <v>55642.545864647036</v>
      </c>
      <c r="DX24" s="11">
        <f t="shared" si="40"/>
        <v>88.122113390744389</v>
      </c>
      <c r="DY24" s="11">
        <f t="shared" si="90"/>
        <v>652815.65477327222</v>
      </c>
      <c r="DZ24" s="11">
        <f t="shared" si="41"/>
        <v>95.993033935953605</v>
      </c>
      <c r="EA24" s="99"/>
      <c r="EB24" s="11">
        <f t="shared" si="42"/>
        <v>0</v>
      </c>
      <c r="EC24" s="11">
        <f t="shared" si="91"/>
        <v>0</v>
      </c>
      <c r="ED24" s="11">
        <f t="shared" si="43"/>
        <v>0</v>
      </c>
      <c r="EE24" s="99"/>
      <c r="EF24" s="11">
        <f t="shared" si="44"/>
        <v>0</v>
      </c>
      <c r="EG24" s="11">
        <f t="shared" si="92"/>
        <v>0</v>
      </c>
      <c r="EH24" s="11">
        <f t="shared" si="45"/>
        <v>0</v>
      </c>
      <c r="EI24" s="99"/>
      <c r="EJ24" s="17">
        <f t="shared" si="46"/>
        <v>0</v>
      </c>
      <c r="EK24" s="11">
        <f t="shared" si="93"/>
        <v>0</v>
      </c>
      <c r="EL24" s="11">
        <f t="shared" si="47"/>
        <v>0</v>
      </c>
      <c r="EM24" s="11">
        <f t="shared" si="94"/>
        <v>0</v>
      </c>
      <c r="EN24" s="11">
        <f t="shared" si="48"/>
        <v>0</v>
      </c>
      <c r="EO24" s="11">
        <f t="shared" si="95"/>
        <v>0</v>
      </c>
      <c r="EP24" s="11">
        <f t="shared" si="49"/>
        <v>0</v>
      </c>
      <c r="EQ24" s="99"/>
      <c r="ER24" s="11">
        <f t="shared" si="50"/>
        <v>0</v>
      </c>
      <c r="ES24" s="11">
        <f t="shared" si="96"/>
        <v>0</v>
      </c>
      <c r="ET24" s="11">
        <f t="shared" si="51"/>
        <v>0</v>
      </c>
      <c r="EU24" s="11">
        <f t="shared" si="97"/>
        <v>63142.545864647036</v>
      </c>
      <c r="EV24" s="11">
        <f t="shared" si="98"/>
        <v>680065.65477327222</v>
      </c>
      <c r="EW24" s="11">
        <f t="shared" si="52"/>
        <v>1.2082616556889154</v>
      </c>
      <c r="EX24" s="11">
        <f t="shared" si="53"/>
        <v>1.0523552760823853</v>
      </c>
      <c r="EY24" s="493">
        <f t="shared" si="99"/>
        <v>0.93919139011220543</v>
      </c>
      <c r="EZ24" s="494">
        <f t="shared" si="100"/>
        <v>0.98991498637458586</v>
      </c>
      <c r="FA24" s="6" t="s">
        <v>425</v>
      </c>
      <c r="FF24" s="15"/>
      <c r="FG24" s="15"/>
    </row>
    <row r="25" spans="1:163">
      <c r="A25" s="18">
        <f>+Chem!A24</f>
        <v>46097</v>
      </c>
      <c r="B25" s="6" t="str">
        <f>+Chem!B24</f>
        <v>Towel</v>
      </c>
      <c r="C25" s="6" t="str">
        <f>+Chem!C24</f>
        <v>22</v>
      </c>
      <c r="D25" s="9">
        <f>+Chem!D24</f>
        <v>53.505000000000003</v>
      </c>
      <c r="E25" s="7">
        <f>+Chem!E24</f>
        <v>53.363</v>
      </c>
      <c r="F25" s="7">
        <f t="shared" si="54"/>
        <v>699.59500000000003</v>
      </c>
      <c r="G25" s="99">
        <f>70*G7</f>
        <v>17500</v>
      </c>
      <c r="H25" s="11">
        <f t="shared" si="0"/>
        <v>28.970568312736646</v>
      </c>
      <c r="I25" s="9">
        <f t="shared" si="55"/>
        <v>44750</v>
      </c>
      <c r="J25" s="11">
        <f t="shared" si="1"/>
        <v>6.0434442938012563</v>
      </c>
      <c r="K25" s="99"/>
      <c r="L25" s="11">
        <f t="shared" si="2"/>
        <v>0</v>
      </c>
      <c r="M25" s="11">
        <f t="shared" si="56"/>
        <v>0</v>
      </c>
      <c r="N25" s="11">
        <f t="shared" si="3"/>
        <v>0</v>
      </c>
      <c r="O25" s="99"/>
      <c r="P25" s="11">
        <f t="shared" si="4"/>
        <v>0</v>
      </c>
      <c r="Q25" s="11">
        <f t="shared" si="57"/>
        <v>0</v>
      </c>
      <c r="R25" s="11">
        <f t="shared" si="5"/>
        <v>0</v>
      </c>
      <c r="S25" s="99">
        <f>5*S7</f>
        <v>1250</v>
      </c>
      <c r="T25" s="11">
        <f t="shared" si="6"/>
        <v>2.0693263080526174</v>
      </c>
      <c r="U25" s="11">
        <f t="shared" si="58"/>
        <v>1250</v>
      </c>
      <c r="V25" s="11">
        <f t="shared" si="7"/>
        <v>0.16881129312294013</v>
      </c>
      <c r="W25" s="11"/>
      <c r="X25" s="11">
        <f t="shared" si="8"/>
        <v>0</v>
      </c>
      <c r="Y25" s="11">
        <f t="shared" si="59"/>
        <v>0</v>
      </c>
      <c r="Z25" s="11">
        <f t="shared" si="9"/>
        <v>0</v>
      </c>
      <c r="AA25" s="99"/>
      <c r="AB25" s="11">
        <f t="shared" si="10"/>
        <v>0</v>
      </c>
      <c r="AC25" s="11">
        <f t="shared" si="60"/>
        <v>0</v>
      </c>
      <c r="AD25" s="11">
        <f t="shared" si="11"/>
        <v>0</v>
      </c>
      <c r="AE25" s="99"/>
      <c r="AF25" s="11">
        <f t="shared" si="12"/>
        <v>0</v>
      </c>
      <c r="AG25" s="11">
        <f t="shared" si="61"/>
        <v>0</v>
      </c>
      <c r="AH25" s="11">
        <f t="shared" si="13"/>
        <v>0</v>
      </c>
      <c r="AI25" s="99"/>
      <c r="AJ25" s="11">
        <f t="shared" si="14"/>
        <v>0</v>
      </c>
      <c r="AK25" s="11">
        <f t="shared" si="62"/>
        <v>0</v>
      </c>
      <c r="AL25" s="11">
        <f t="shared" si="15"/>
        <v>0</v>
      </c>
      <c r="AM25" s="99"/>
      <c r="AN25" s="11">
        <f t="shared" si="16"/>
        <v>0</v>
      </c>
      <c r="AO25" s="11">
        <f t="shared" si="63"/>
        <v>0</v>
      </c>
      <c r="AP25" s="11">
        <f t="shared" si="17"/>
        <v>0</v>
      </c>
      <c r="AQ25" s="99"/>
      <c r="AR25" s="11">
        <f t="shared" si="18"/>
        <v>0</v>
      </c>
      <c r="AS25" s="11">
        <f t="shared" si="64"/>
        <v>0</v>
      </c>
      <c r="AT25" s="11">
        <f t="shared" si="19"/>
        <v>0</v>
      </c>
      <c r="AU25" s="256"/>
      <c r="AV25" s="11">
        <f t="shared" si="20"/>
        <v>0</v>
      </c>
      <c r="AW25" s="9">
        <f t="shared" si="65"/>
        <v>0</v>
      </c>
      <c r="AX25" s="11">
        <f t="shared" si="21"/>
        <v>0</v>
      </c>
      <c r="AY25" s="99"/>
      <c r="AZ25" s="11">
        <f t="shared" si="22"/>
        <v>0</v>
      </c>
      <c r="BA25" s="11">
        <f t="shared" si="66"/>
        <v>0</v>
      </c>
      <c r="BB25" s="11">
        <f t="shared" si="23"/>
        <v>0</v>
      </c>
      <c r="BC25" s="99"/>
      <c r="BD25" s="11">
        <f t="shared" si="24"/>
        <v>0</v>
      </c>
      <c r="BE25" s="11">
        <f t="shared" si="67"/>
        <v>0</v>
      </c>
      <c r="BF25" s="11">
        <f t="shared" si="25"/>
        <v>0</v>
      </c>
      <c r="BG25" s="99"/>
      <c r="BH25" s="11">
        <f t="shared" si="26"/>
        <v>0</v>
      </c>
      <c r="BI25" s="11">
        <f t="shared" si="68"/>
        <v>0</v>
      </c>
      <c r="BJ25" s="11">
        <f t="shared" si="27"/>
        <v>0</v>
      </c>
      <c r="BK25" s="99"/>
      <c r="BL25" s="11"/>
      <c r="BM25" s="11"/>
      <c r="BN25" s="11"/>
      <c r="BO25" s="99"/>
      <c r="BP25" s="11"/>
      <c r="BQ25" s="11"/>
      <c r="BR25" s="11"/>
      <c r="BS25" s="99"/>
      <c r="BT25" s="11"/>
      <c r="BU25" s="11"/>
      <c r="BV25" s="11"/>
      <c r="BW25" s="11">
        <f t="shared" si="69"/>
        <v>18750</v>
      </c>
      <c r="BX25" s="11">
        <f t="shared" si="28"/>
        <v>31.039894620789266</v>
      </c>
      <c r="BY25" s="11">
        <f t="shared" si="70"/>
        <v>46000</v>
      </c>
      <c r="BZ25" s="11">
        <f t="shared" si="29"/>
        <v>6.2122555869241962</v>
      </c>
      <c r="CA25" s="11"/>
      <c r="CB25" s="11">
        <f t="shared" si="71"/>
        <v>0</v>
      </c>
      <c r="CC25" s="11">
        <f t="shared" si="101"/>
        <v>0</v>
      </c>
      <c r="CD25" s="11">
        <f t="shared" si="72"/>
        <v>0</v>
      </c>
      <c r="CE25" s="11"/>
      <c r="CF25" s="11">
        <f t="shared" si="102"/>
        <v>0</v>
      </c>
      <c r="CG25" s="11">
        <f t="shared" si="103"/>
        <v>0</v>
      </c>
      <c r="CH25" s="11">
        <f t="shared" si="104"/>
        <v>0</v>
      </c>
      <c r="CI25" s="11">
        <f t="shared" si="73"/>
        <v>0</v>
      </c>
      <c r="CJ25" s="11">
        <f t="shared" si="105"/>
        <v>0</v>
      </c>
      <c r="CK25" s="11">
        <f t="shared" si="106"/>
        <v>0</v>
      </c>
      <c r="CL25" s="11">
        <f t="shared" si="107"/>
        <v>0</v>
      </c>
      <c r="CM25" s="99">
        <v>6003.3914747435656</v>
      </c>
      <c r="CN25" s="11">
        <f t="shared" si="74"/>
        <v>9.93838073298053</v>
      </c>
      <c r="CO25" s="11">
        <f t="shared" si="75"/>
        <v>6003.3914747435656</v>
      </c>
      <c r="CP25" s="11">
        <f t="shared" si="76"/>
        <v>0.81075222237975664</v>
      </c>
      <c r="CQ25" s="100">
        <v>22908.154877104706</v>
      </c>
      <c r="CR25" s="11">
        <f t="shared" si="30"/>
        <v>37.923558044909313</v>
      </c>
      <c r="CS25" s="11">
        <f t="shared" si="77"/>
        <v>380161.47712429869</v>
      </c>
      <c r="CT25" s="11">
        <f t="shared" si="31"/>
        <v>51.340440439103908</v>
      </c>
      <c r="CU25" s="99">
        <v>9938.3440584478431</v>
      </c>
      <c r="CV25" s="11">
        <f t="shared" si="32"/>
        <v>16.452541454899634</v>
      </c>
      <c r="CW25" s="11">
        <f t="shared" si="78"/>
        <v>166692.26142254376</v>
      </c>
      <c r="CX25" s="11">
        <f t="shared" si="33"/>
        <v>22.511628963461437</v>
      </c>
      <c r="CY25" s="99">
        <v>779.2241629572286</v>
      </c>
      <c r="CZ25" s="11">
        <f t="shared" si="34"/>
        <v>1.2899752482221385</v>
      </c>
      <c r="DA25" s="11">
        <f t="shared" si="79"/>
        <v>23466.483718425123</v>
      </c>
      <c r="DB25" s="11">
        <f t="shared" si="35"/>
        <v>3.1691259692446119</v>
      </c>
      <c r="DC25" s="99">
        <f>1739.66324753242+287.355089994194</f>
        <v>2027.018337526614</v>
      </c>
      <c r="DD25" s="11">
        <f t="shared" si="36"/>
        <v>3.3556498981991223</v>
      </c>
      <c r="DE25" s="11">
        <f t="shared" si="80"/>
        <v>21871.744571911287</v>
      </c>
      <c r="DF25" s="11">
        <f t="shared" si="37"/>
        <v>2.9537579872311923</v>
      </c>
      <c r="DG25" s="99"/>
      <c r="DH25" s="11">
        <f t="shared" si="38"/>
        <v>0</v>
      </c>
      <c r="DI25" s="11">
        <f t="shared" si="81"/>
        <v>1467.5073093432547</v>
      </c>
      <c r="DJ25" s="11">
        <f t="shared" si="39"/>
        <v>0.19818544524608106</v>
      </c>
      <c r="DK25" s="99"/>
      <c r="DL25" s="11">
        <f t="shared" si="82"/>
        <v>0</v>
      </c>
      <c r="DM25" s="11">
        <f t="shared" si="83"/>
        <v>0</v>
      </c>
      <c r="DN25" s="11">
        <f t="shared" si="84"/>
        <v>0</v>
      </c>
      <c r="DO25" s="496"/>
      <c r="DP25" s="11">
        <f t="shared" si="85"/>
        <v>0</v>
      </c>
      <c r="DQ25" s="11">
        <f t="shared" si="86"/>
        <v>0</v>
      </c>
      <c r="DR25" s="11">
        <f t="shared" si="87"/>
        <v>0</v>
      </c>
      <c r="DS25" s="99"/>
      <c r="DT25" s="11">
        <f t="shared" si="108"/>
        <v>0</v>
      </c>
      <c r="DU25" s="11">
        <f t="shared" si="88"/>
        <v>0</v>
      </c>
      <c r="DV25" s="11">
        <f t="shared" si="109"/>
        <v>0</v>
      </c>
      <c r="DW25" s="11">
        <f t="shared" si="89"/>
        <v>41656.132910779954</v>
      </c>
      <c r="DX25" s="11">
        <f t="shared" si="40"/>
        <v>68.960105379210731</v>
      </c>
      <c r="DY25" s="11">
        <f t="shared" si="90"/>
        <v>694471.78768405213</v>
      </c>
      <c r="DZ25" s="11">
        <f t="shared" si="41"/>
        <v>93.787744413075799</v>
      </c>
      <c r="EA25" s="99"/>
      <c r="EB25" s="11">
        <f t="shared" si="42"/>
        <v>0</v>
      </c>
      <c r="EC25" s="11">
        <f t="shared" si="91"/>
        <v>0</v>
      </c>
      <c r="ED25" s="11">
        <f t="shared" si="43"/>
        <v>0</v>
      </c>
      <c r="EE25" s="99"/>
      <c r="EF25" s="11">
        <f t="shared" si="44"/>
        <v>0</v>
      </c>
      <c r="EG25" s="11">
        <f t="shared" si="92"/>
        <v>0</v>
      </c>
      <c r="EH25" s="11">
        <f t="shared" si="45"/>
        <v>0</v>
      </c>
      <c r="EI25" s="99"/>
      <c r="EJ25" s="17">
        <f t="shared" si="46"/>
        <v>0</v>
      </c>
      <c r="EK25" s="11">
        <f t="shared" si="93"/>
        <v>0</v>
      </c>
      <c r="EL25" s="11">
        <f t="shared" si="47"/>
        <v>0</v>
      </c>
      <c r="EM25" s="11">
        <f>EA25+EE25+EI25</f>
        <v>0</v>
      </c>
      <c r="EN25" s="11">
        <f t="shared" si="48"/>
        <v>0</v>
      </c>
      <c r="EO25" s="11">
        <f t="shared" si="95"/>
        <v>0</v>
      </c>
      <c r="EP25" s="11">
        <f t="shared" si="49"/>
        <v>0</v>
      </c>
      <c r="EQ25" s="99"/>
      <c r="ER25" s="11">
        <f t="shared" si="50"/>
        <v>0</v>
      </c>
      <c r="ES25" s="11">
        <f t="shared" si="96"/>
        <v>0</v>
      </c>
      <c r="ET25" s="11">
        <f t="shared" si="51"/>
        <v>0</v>
      </c>
      <c r="EU25" s="11">
        <f t="shared" si="97"/>
        <v>60406.132910779954</v>
      </c>
      <c r="EV25" s="11">
        <f t="shared" si="98"/>
        <v>740471.78768405213</v>
      </c>
      <c r="EW25" s="11">
        <f t="shared" si="52"/>
        <v>1.1319853252399594</v>
      </c>
      <c r="EX25" s="11">
        <f t="shared" si="53"/>
        <v>1.0584292164524505</v>
      </c>
      <c r="EY25" s="493">
        <f t="shared" si="99"/>
        <v>1.2810358588564636</v>
      </c>
      <c r="EZ25" s="494">
        <f t="shared" si="100"/>
        <v>1.0073771352656857</v>
      </c>
      <c r="FA25" s="6" t="s">
        <v>425</v>
      </c>
      <c r="FF25" s="15"/>
      <c r="FG25" s="15"/>
    </row>
    <row r="26" spans="1:163">
      <c r="A26" s="18">
        <f>+Chem!A25</f>
        <v>46098</v>
      </c>
      <c r="B26" s="6" t="str">
        <f>+Chem!B25</f>
        <v>Towel</v>
      </c>
      <c r="C26" s="6" t="str">
        <f>+Chem!C25</f>
        <v>22</v>
      </c>
      <c r="D26" s="9">
        <f>+Chem!D25</f>
        <v>54.037999999999997</v>
      </c>
      <c r="E26" s="7">
        <f>+Chem!E25</f>
        <v>53.381999999999998</v>
      </c>
      <c r="F26" s="7">
        <f t="shared" si="54"/>
        <v>752.97699999999998</v>
      </c>
      <c r="G26" s="99"/>
      <c r="H26" s="11">
        <f t="shared" si="0"/>
        <v>0</v>
      </c>
      <c r="I26" s="9">
        <f t="shared" si="55"/>
        <v>44750</v>
      </c>
      <c r="J26" s="11">
        <f t="shared" si="1"/>
        <v>5.5749656514407944</v>
      </c>
      <c r="K26" s="99"/>
      <c r="L26" s="11">
        <f t="shared" si="2"/>
        <v>0</v>
      </c>
      <c r="M26" s="11">
        <f t="shared" si="56"/>
        <v>0</v>
      </c>
      <c r="N26" s="11">
        <f t="shared" si="3"/>
        <v>0</v>
      </c>
      <c r="O26" s="99"/>
      <c r="P26" s="11">
        <f t="shared" si="4"/>
        <v>0</v>
      </c>
      <c r="Q26" s="11">
        <f t="shared" si="57"/>
        <v>0</v>
      </c>
      <c r="R26" s="11">
        <f t="shared" si="5"/>
        <v>0</v>
      </c>
      <c r="S26" s="99">
        <f>65*S7</f>
        <v>16250</v>
      </c>
      <c r="T26" s="11">
        <f t="shared" si="6"/>
        <v>26.115434052488567</v>
      </c>
      <c r="U26" s="11">
        <f t="shared" si="58"/>
        <v>17500</v>
      </c>
      <c r="V26" s="11">
        <f t="shared" si="7"/>
        <v>2.1801541653679082</v>
      </c>
      <c r="W26" s="11"/>
      <c r="X26" s="11">
        <f t="shared" si="8"/>
        <v>0</v>
      </c>
      <c r="Y26" s="11">
        <f t="shared" si="59"/>
        <v>0</v>
      </c>
      <c r="Z26" s="11">
        <f t="shared" si="9"/>
        <v>0</v>
      </c>
      <c r="AA26" s="99"/>
      <c r="AB26" s="11">
        <f t="shared" si="10"/>
        <v>0</v>
      </c>
      <c r="AC26" s="11">
        <f t="shared" si="60"/>
        <v>0</v>
      </c>
      <c r="AD26" s="11">
        <f t="shared" si="11"/>
        <v>0</v>
      </c>
      <c r="AE26" s="99"/>
      <c r="AF26" s="11">
        <f t="shared" si="12"/>
        <v>0</v>
      </c>
      <c r="AG26" s="11">
        <f t="shared" si="61"/>
        <v>0</v>
      </c>
      <c r="AH26" s="11">
        <f t="shared" si="13"/>
        <v>0</v>
      </c>
      <c r="AI26" s="99"/>
      <c r="AJ26" s="11">
        <f t="shared" si="14"/>
        <v>0</v>
      </c>
      <c r="AK26" s="11">
        <f t="shared" si="62"/>
        <v>0</v>
      </c>
      <c r="AL26" s="11">
        <f t="shared" si="15"/>
        <v>0</v>
      </c>
      <c r="AM26" s="99"/>
      <c r="AN26" s="11">
        <f t="shared" si="16"/>
        <v>0</v>
      </c>
      <c r="AO26" s="11">
        <f t="shared" si="63"/>
        <v>0</v>
      </c>
      <c r="AP26" s="11">
        <f t="shared" si="17"/>
        <v>0</v>
      </c>
      <c r="AQ26" s="99"/>
      <c r="AR26" s="11">
        <f t="shared" si="18"/>
        <v>0</v>
      </c>
      <c r="AS26" s="11">
        <f t="shared" si="64"/>
        <v>0</v>
      </c>
      <c r="AT26" s="11">
        <f t="shared" si="19"/>
        <v>0</v>
      </c>
      <c r="AU26" s="256"/>
      <c r="AV26" s="11">
        <f t="shared" si="20"/>
        <v>0</v>
      </c>
      <c r="AW26" s="9">
        <f t="shared" si="65"/>
        <v>0</v>
      </c>
      <c r="AX26" s="11">
        <f t="shared" si="21"/>
        <v>0</v>
      </c>
      <c r="AY26" s="99"/>
      <c r="AZ26" s="11">
        <f t="shared" si="22"/>
        <v>0</v>
      </c>
      <c r="BA26" s="11">
        <f t="shared" si="66"/>
        <v>0</v>
      </c>
      <c r="BB26" s="11">
        <f t="shared" si="23"/>
        <v>0</v>
      </c>
      <c r="BC26" s="99"/>
      <c r="BD26" s="11">
        <f t="shared" si="24"/>
        <v>0</v>
      </c>
      <c r="BE26" s="11">
        <f t="shared" si="67"/>
        <v>0</v>
      </c>
      <c r="BF26" s="11">
        <f t="shared" si="25"/>
        <v>0</v>
      </c>
      <c r="BG26" s="99"/>
      <c r="BH26" s="11">
        <f t="shared" si="26"/>
        <v>0</v>
      </c>
      <c r="BI26" s="11">
        <f t="shared" si="68"/>
        <v>0</v>
      </c>
      <c r="BJ26" s="11">
        <f t="shared" si="27"/>
        <v>0</v>
      </c>
      <c r="BK26" s="99"/>
      <c r="BL26" s="11"/>
      <c r="BM26" s="11"/>
      <c r="BN26" s="11"/>
      <c r="BO26" s="99"/>
      <c r="BP26" s="11"/>
      <c r="BQ26" s="11"/>
      <c r="BR26" s="11"/>
      <c r="BS26" s="99"/>
      <c r="BT26" s="11"/>
      <c r="BU26" s="11"/>
      <c r="BV26" s="11"/>
      <c r="BW26" s="11">
        <f t="shared" si="69"/>
        <v>16250</v>
      </c>
      <c r="BX26" s="11">
        <f t="shared" si="28"/>
        <v>26.115434052488567</v>
      </c>
      <c r="BY26" s="11">
        <f t="shared" si="70"/>
        <v>62250</v>
      </c>
      <c r="BZ26" s="11">
        <f t="shared" si="29"/>
        <v>7.7551198168087021</v>
      </c>
      <c r="CA26" s="11"/>
      <c r="CB26" s="11">
        <f t="shared" si="71"/>
        <v>0</v>
      </c>
      <c r="CC26" s="11">
        <f t="shared" si="101"/>
        <v>0</v>
      </c>
      <c r="CD26" s="11">
        <f t="shared" si="72"/>
        <v>0</v>
      </c>
      <c r="CE26" s="11"/>
      <c r="CF26" s="11">
        <f t="shared" si="102"/>
        <v>0</v>
      </c>
      <c r="CG26" s="11">
        <f t="shared" si="103"/>
        <v>0</v>
      </c>
      <c r="CH26" s="11">
        <f t="shared" si="104"/>
        <v>0</v>
      </c>
      <c r="CI26" s="11">
        <f t="shared" si="73"/>
        <v>0</v>
      </c>
      <c r="CJ26" s="11">
        <f t="shared" si="105"/>
        <v>0</v>
      </c>
      <c r="CK26" s="11">
        <f t="shared" si="106"/>
        <v>0</v>
      </c>
      <c r="CL26" s="11">
        <f t="shared" si="107"/>
        <v>0</v>
      </c>
      <c r="CM26" s="99">
        <v>6678.0270630505329</v>
      </c>
      <c r="CN26" s="11">
        <f t="shared" si="74"/>
        <v>10.73228156097416</v>
      </c>
      <c r="CO26" s="11">
        <f t="shared" si="75"/>
        <v>6678.0270630505329</v>
      </c>
      <c r="CP26" s="11">
        <f t="shared" si="76"/>
        <v>0.83195020102567085</v>
      </c>
      <c r="CQ26" s="99">
        <v>25472.536991964145</v>
      </c>
      <c r="CR26" s="11">
        <f t="shared" si="30"/>
        <v>40.93700676696708</v>
      </c>
      <c r="CS26" s="11">
        <f t="shared" si="77"/>
        <v>405634.01411626284</v>
      </c>
      <c r="CT26" s="11">
        <f t="shared" si="31"/>
        <v>50.533982028027161</v>
      </c>
      <c r="CU26" s="99">
        <v>10947.371445680728</v>
      </c>
      <c r="CV26" s="11">
        <f t="shared" si="32"/>
        <v>17.593560433093629</v>
      </c>
      <c r="CW26" s="11">
        <f t="shared" si="78"/>
        <v>177639.63286822449</v>
      </c>
      <c r="CX26" s="11">
        <f t="shared" si="33"/>
        <v>22.130387744690609</v>
      </c>
      <c r="CY26" s="99">
        <v>1067.3360956575491</v>
      </c>
      <c r="CZ26" s="11">
        <f t="shared" si="34"/>
        <v>1.7153197180298678</v>
      </c>
      <c r="DA26" s="11">
        <f t="shared" si="79"/>
        <v>24533.819814082672</v>
      </c>
      <c r="DB26" s="11">
        <f t="shared" si="35"/>
        <v>3.0564291120033173</v>
      </c>
      <c r="DC26" s="99">
        <v>1808.4692280945758</v>
      </c>
      <c r="DD26" s="11">
        <f t="shared" si="36"/>
        <v>2.9063974684466953</v>
      </c>
      <c r="DE26" s="11">
        <f t="shared" si="80"/>
        <v>23680.213800005862</v>
      </c>
      <c r="DF26" s="11">
        <f t="shared" si="37"/>
        <v>2.9500866715934517</v>
      </c>
      <c r="DG26" s="99"/>
      <c r="DH26" s="11">
        <f t="shared" si="38"/>
        <v>0</v>
      </c>
      <c r="DI26" s="11">
        <f t="shared" si="81"/>
        <v>1467.5073093432547</v>
      </c>
      <c r="DJ26" s="11">
        <f t="shared" si="39"/>
        <v>0.18282240989557419</v>
      </c>
      <c r="DK26" s="99"/>
      <c r="DL26" s="11">
        <f t="shared" si="82"/>
        <v>0</v>
      </c>
      <c r="DM26" s="11">
        <f t="shared" si="83"/>
        <v>0</v>
      </c>
      <c r="DN26" s="11">
        <f t="shared" si="84"/>
        <v>0</v>
      </c>
      <c r="DO26" s="496"/>
      <c r="DP26" s="11">
        <f t="shared" si="85"/>
        <v>0</v>
      </c>
      <c r="DQ26" s="11">
        <f t="shared" si="86"/>
        <v>0</v>
      </c>
      <c r="DR26" s="11">
        <f t="shared" si="87"/>
        <v>0</v>
      </c>
      <c r="DS26" s="99"/>
      <c r="DT26" s="11">
        <f t="shared" si="108"/>
        <v>0</v>
      </c>
      <c r="DU26" s="11">
        <f t="shared" si="88"/>
        <v>0</v>
      </c>
      <c r="DV26" s="11">
        <f t="shared" si="109"/>
        <v>0</v>
      </c>
      <c r="DW26" s="11">
        <f t="shared" si="89"/>
        <v>45973.74082444753</v>
      </c>
      <c r="DX26" s="11">
        <f t="shared" si="40"/>
        <v>73.884565947511433</v>
      </c>
      <c r="DY26" s="11">
        <f t="shared" si="90"/>
        <v>740445.52850849961</v>
      </c>
      <c r="DZ26" s="11">
        <f t="shared" si="41"/>
        <v>92.244880183191299</v>
      </c>
      <c r="EA26" s="99"/>
      <c r="EB26" s="11">
        <f t="shared" si="42"/>
        <v>0</v>
      </c>
      <c r="EC26" s="11">
        <f t="shared" si="91"/>
        <v>0</v>
      </c>
      <c r="ED26" s="11">
        <f t="shared" si="43"/>
        <v>0</v>
      </c>
      <c r="EE26" s="99"/>
      <c r="EF26" s="11">
        <f t="shared" si="44"/>
        <v>0</v>
      </c>
      <c r="EG26" s="11">
        <f t="shared" si="92"/>
        <v>0</v>
      </c>
      <c r="EH26" s="11">
        <f t="shared" si="45"/>
        <v>0</v>
      </c>
      <c r="EI26" s="99"/>
      <c r="EJ26" s="17">
        <f t="shared" si="46"/>
        <v>0</v>
      </c>
      <c r="EK26" s="11">
        <f t="shared" si="93"/>
        <v>0</v>
      </c>
      <c r="EL26" s="11">
        <f t="shared" si="47"/>
        <v>0</v>
      </c>
      <c r="EM26" s="11">
        <f t="shared" si="94"/>
        <v>0</v>
      </c>
      <c r="EN26" s="11">
        <f t="shared" si="48"/>
        <v>0</v>
      </c>
      <c r="EO26" s="11">
        <f t="shared" si="95"/>
        <v>0</v>
      </c>
      <c r="EP26" s="11">
        <f t="shared" si="49"/>
        <v>0</v>
      </c>
      <c r="EQ26" s="99"/>
      <c r="ER26" s="11">
        <f t="shared" si="50"/>
        <v>0</v>
      </c>
      <c r="ES26" s="11">
        <f t="shared" si="96"/>
        <v>0</v>
      </c>
      <c r="ET26" s="11">
        <f t="shared" si="51"/>
        <v>0</v>
      </c>
      <c r="EU26" s="11">
        <f t="shared" si="97"/>
        <v>62223.74082444753</v>
      </c>
      <c r="EV26" s="11">
        <f t="shared" si="98"/>
        <v>802695.52850849961</v>
      </c>
      <c r="EW26" s="11">
        <f t="shared" si="52"/>
        <v>1.1656315017130781</v>
      </c>
      <c r="EX26" s="11">
        <f t="shared" si="53"/>
        <v>1.0660292791260551</v>
      </c>
      <c r="EY26" s="493">
        <f t="shared" si="99"/>
        <v>1.1611411001737098</v>
      </c>
      <c r="EZ26" s="494">
        <f t="shared" si="100"/>
        <v>1.0169242314377167</v>
      </c>
      <c r="FA26" s="6" t="s">
        <v>425</v>
      </c>
      <c r="FF26" s="15"/>
    </row>
    <row r="27" spans="1:163">
      <c r="A27" s="18">
        <f>+Chem!A26</f>
        <v>46099</v>
      </c>
      <c r="B27" s="6" t="str">
        <f>+Chem!B26</f>
        <v>Towel/Toilet</v>
      </c>
      <c r="C27" s="6" t="str">
        <f>+Chem!C26</f>
        <v>22/14</v>
      </c>
      <c r="D27" s="9">
        <f>+Chem!D26</f>
        <v>47.552999999999997</v>
      </c>
      <c r="E27" s="7">
        <f>+Chem!E26</f>
        <v>46.094999999999999</v>
      </c>
      <c r="F27" s="7">
        <f t="shared" si="54"/>
        <v>799.072</v>
      </c>
      <c r="G27" s="99"/>
      <c r="H27" s="11">
        <f t="shared" si="0"/>
        <v>0</v>
      </c>
      <c r="I27" s="9">
        <f t="shared" si="55"/>
        <v>44750</v>
      </c>
      <c r="J27" s="11">
        <f t="shared" si="1"/>
        <v>5.2733367308137939</v>
      </c>
      <c r="K27" s="99"/>
      <c r="L27" s="11">
        <f t="shared" si="2"/>
        <v>0</v>
      </c>
      <c r="M27" s="11">
        <f t="shared" si="56"/>
        <v>0</v>
      </c>
      <c r="N27" s="11">
        <f t="shared" si="3"/>
        <v>0</v>
      </c>
      <c r="O27" s="99"/>
      <c r="P27" s="11">
        <f t="shared" si="4"/>
        <v>0</v>
      </c>
      <c r="Q27" s="11">
        <f t="shared" si="57"/>
        <v>0</v>
      </c>
      <c r="R27" s="11">
        <f t="shared" si="5"/>
        <v>0</v>
      </c>
      <c r="S27" s="99">
        <f>10*S7</f>
        <v>2500</v>
      </c>
      <c r="T27" s="11">
        <f t="shared" si="6"/>
        <v>5.4450477073299917</v>
      </c>
      <c r="U27" s="11">
        <f t="shared" si="58"/>
        <v>20000</v>
      </c>
      <c r="V27" s="11">
        <f t="shared" si="7"/>
        <v>2.3567985389111925</v>
      </c>
      <c r="W27" s="99"/>
      <c r="X27" s="11">
        <f t="shared" si="8"/>
        <v>0</v>
      </c>
      <c r="Y27" s="11">
        <f t="shared" si="59"/>
        <v>0</v>
      </c>
      <c r="Z27" s="11">
        <f t="shared" si="9"/>
        <v>0</v>
      </c>
      <c r="AA27" s="99"/>
      <c r="AB27" s="11">
        <f t="shared" si="10"/>
        <v>0</v>
      </c>
      <c r="AC27" s="11">
        <f t="shared" si="60"/>
        <v>0</v>
      </c>
      <c r="AD27" s="11">
        <f t="shared" si="11"/>
        <v>0</v>
      </c>
      <c r="AE27" s="99"/>
      <c r="AF27" s="11">
        <f t="shared" si="12"/>
        <v>0</v>
      </c>
      <c r="AG27" s="11">
        <f t="shared" si="61"/>
        <v>0</v>
      </c>
      <c r="AH27" s="11">
        <f t="shared" si="13"/>
        <v>0</v>
      </c>
      <c r="AI27" s="99"/>
      <c r="AJ27" s="11">
        <f t="shared" si="14"/>
        <v>0</v>
      </c>
      <c r="AK27" s="11">
        <f t="shared" si="62"/>
        <v>0</v>
      </c>
      <c r="AL27" s="11">
        <f t="shared" si="15"/>
        <v>0</v>
      </c>
      <c r="AM27" s="99"/>
      <c r="AN27" s="11">
        <f t="shared" si="16"/>
        <v>0</v>
      </c>
      <c r="AO27" s="11">
        <f t="shared" si="63"/>
        <v>0</v>
      </c>
      <c r="AP27" s="11">
        <f t="shared" si="17"/>
        <v>0</v>
      </c>
      <c r="AQ27" s="99"/>
      <c r="AR27" s="11">
        <f t="shared" si="18"/>
        <v>0</v>
      </c>
      <c r="AS27" s="11">
        <f t="shared" si="64"/>
        <v>0</v>
      </c>
      <c r="AT27" s="11">
        <f t="shared" si="19"/>
        <v>0</v>
      </c>
      <c r="AU27" s="256"/>
      <c r="AV27" s="11">
        <f t="shared" si="20"/>
        <v>0</v>
      </c>
      <c r="AW27" s="9">
        <f t="shared" si="65"/>
        <v>0</v>
      </c>
      <c r="AX27" s="11">
        <f t="shared" si="21"/>
        <v>0</v>
      </c>
      <c r="AY27" s="99"/>
      <c r="AZ27" s="11">
        <f t="shared" si="22"/>
        <v>0</v>
      </c>
      <c r="BA27" s="11">
        <f t="shared" si="66"/>
        <v>0</v>
      </c>
      <c r="BB27" s="11">
        <f t="shared" si="23"/>
        <v>0</v>
      </c>
      <c r="BC27" s="99"/>
      <c r="BD27" s="11">
        <f t="shared" si="24"/>
        <v>0</v>
      </c>
      <c r="BE27" s="11">
        <f t="shared" si="67"/>
        <v>0</v>
      </c>
      <c r="BF27" s="11">
        <f t="shared" si="25"/>
        <v>0</v>
      </c>
      <c r="BG27" s="99"/>
      <c r="BH27" s="11">
        <f t="shared" si="26"/>
        <v>0</v>
      </c>
      <c r="BI27" s="11">
        <f t="shared" si="68"/>
        <v>0</v>
      </c>
      <c r="BJ27" s="11">
        <f t="shared" si="27"/>
        <v>0</v>
      </c>
      <c r="BK27" s="99"/>
      <c r="BL27" s="11"/>
      <c r="BM27" s="11"/>
      <c r="BN27" s="11"/>
      <c r="BO27" s="99"/>
      <c r="BP27" s="11"/>
      <c r="BQ27" s="11"/>
      <c r="BR27" s="11"/>
      <c r="BS27" s="99"/>
      <c r="BT27" s="11"/>
      <c r="BU27" s="11"/>
      <c r="BV27" s="11"/>
      <c r="BW27" s="11">
        <f t="shared" si="69"/>
        <v>2500</v>
      </c>
      <c r="BX27" s="11">
        <f t="shared" si="28"/>
        <v>5.4450477073299917</v>
      </c>
      <c r="BY27" s="11">
        <f t="shared" si="70"/>
        <v>64750</v>
      </c>
      <c r="BZ27" s="11">
        <f t="shared" si="29"/>
        <v>7.6301352697249856</v>
      </c>
      <c r="CA27" s="11"/>
      <c r="CB27" s="11">
        <f t="shared" si="71"/>
        <v>0</v>
      </c>
      <c r="CC27" s="11">
        <f t="shared" si="101"/>
        <v>0</v>
      </c>
      <c r="CD27" s="11">
        <f t="shared" si="72"/>
        <v>0</v>
      </c>
      <c r="CE27" s="11"/>
      <c r="CF27" s="11">
        <f t="shared" si="102"/>
        <v>0</v>
      </c>
      <c r="CG27" s="11">
        <f t="shared" si="103"/>
        <v>0</v>
      </c>
      <c r="CH27" s="11">
        <f t="shared" si="104"/>
        <v>0</v>
      </c>
      <c r="CI27" s="11">
        <f t="shared" si="73"/>
        <v>0</v>
      </c>
      <c r="CJ27" s="11">
        <f t="shared" si="105"/>
        <v>0</v>
      </c>
      <c r="CK27" s="11">
        <f t="shared" si="106"/>
        <v>0</v>
      </c>
      <c r="CL27" s="11">
        <f t="shared" si="107"/>
        <v>0</v>
      </c>
      <c r="CM27" s="99">
        <v>6239.65</v>
      </c>
      <c r="CN27" s="11">
        <f t="shared" si="74"/>
        <v>13.590076770816633</v>
      </c>
      <c r="CO27" s="11">
        <f t="shared" si="75"/>
        <v>6239.65</v>
      </c>
      <c r="CP27" s="11">
        <f t="shared" si="76"/>
        <v>0.73527990016586109</v>
      </c>
      <c r="CQ27" s="99">
        <v>24138.49</v>
      </c>
      <c r="CR27" s="11">
        <f t="shared" si="30"/>
        <v>52.574091853163175</v>
      </c>
      <c r="CS27" s="11">
        <f t="shared" si="77"/>
        <v>429772.50411626283</v>
      </c>
      <c r="CT27" s="11">
        <f t="shared" si="31"/>
        <v>50.644360488270635</v>
      </c>
      <c r="CU27" s="99">
        <v>10356.129999999999</v>
      </c>
      <c r="CV27" s="11">
        <f t="shared" si="32"/>
        <v>22.555848765324537</v>
      </c>
      <c r="CW27" s="11">
        <f t="shared" si="78"/>
        <v>187995.7628682245</v>
      </c>
      <c r="CX27" s="11">
        <f t="shared" si="33"/>
        <v>22.153406962466327</v>
      </c>
      <c r="CY27" s="99">
        <v>943.12</v>
      </c>
      <c r="CZ27" s="11">
        <f t="shared" si="34"/>
        <v>2.0541333574948246</v>
      </c>
      <c r="DA27" s="11">
        <f t="shared" si="79"/>
        <v>25476.939814082671</v>
      </c>
      <c r="DB27" s="11">
        <f t="shared" si="35"/>
        <v>3.0022007264879216</v>
      </c>
      <c r="DC27" s="99">
        <v>1735.89</v>
      </c>
      <c r="DD27" s="11">
        <f t="shared" si="36"/>
        <v>3.780801545870824</v>
      </c>
      <c r="DE27" s="11">
        <f t="shared" si="80"/>
        <v>25416.103800005862</v>
      </c>
      <c r="DF27" s="11">
        <f t="shared" si="37"/>
        <v>2.9950318150334514</v>
      </c>
      <c r="DG27" s="99"/>
      <c r="DH27" s="11">
        <f t="shared" si="38"/>
        <v>0</v>
      </c>
      <c r="DI27" s="11">
        <f t="shared" si="81"/>
        <v>1467.5073093432547</v>
      </c>
      <c r="DJ27" s="11">
        <f t="shared" si="39"/>
        <v>0.17293095412508391</v>
      </c>
      <c r="DK27" s="99"/>
      <c r="DL27" s="11">
        <f t="shared" si="82"/>
        <v>0</v>
      </c>
      <c r="DM27" s="11">
        <f t="shared" si="83"/>
        <v>0</v>
      </c>
      <c r="DN27" s="11">
        <f t="shared" si="84"/>
        <v>0</v>
      </c>
      <c r="DO27" s="496"/>
      <c r="DP27" s="11">
        <f t="shared" si="85"/>
        <v>0</v>
      </c>
      <c r="DQ27" s="11">
        <f t="shared" si="86"/>
        <v>0</v>
      </c>
      <c r="DR27" s="11">
        <f t="shared" si="87"/>
        <v>0</v>
      </c>
      <c r="DS27" s="99"/>
      <c r="DT27" s="11">
        <f t="shared" si="108"/>
        <v>0</v>
      </c>
      <c r="DU27" s="11">
        <f t="shared" si="88"/>
        <v>0</v>
      </c>
      <c r="DV27" s="11">
        <f t="shared" si="109"/>
        <v>0</v>
      </c>
      <c r="DW27" s="11">
        <f t="shared" si="89"/>
        <v>43413.280000000006</v>
      </c>
      <c r="DX27" s="11">
        <f t="shared" si="40"/>
        <v>94.554952292670009</v>
      </c>
      <c r="DY27" s="11">
        <f t="shared" si="90"/>
        <v>783858.80850849964</v>
      </c>
      <c r="DZ27" s="11">
        <f t="shared" si="41"/>
        <v>92.369864730275012</v>
      </c>
      <c r="EA27" s="99"/>
      <c r="EB27" s="11">
        <f t="shared" si="42"/>
        <v>0</v>
      </c>
      <c r="EC27" s="11">
        <f t="shared" si="91"/>
        <v>0</v>
      </c>
      <c r="ED27" s="11">
        <f t="shared" si="43"/>
        <v>0</v>
      </c>
      <c r="EE27" s="99"/>
      <c r="EF27" s="11">
        <f t="shared" si="44"/>
        <v>0</v>
      </c>
      <c r="EG27" s="11">
        <f t="shared" si="92"/>
        <v>0</v>
      </c>
      <c r="EH27" s="11">
        <f t="shared" si="45"/>
        <v>0</v>
      </c>
      <c r="EI27" s="99"/>
      <c r="EJ27" s="17">
        <f t="shared" si="46"/>
        <v>0</v>
      </c>
      <c r="EK27" s="11">
        <f t="shared" si="93"/>
        <v>0</v>
      </c>
      <c r="EL27" s="11">
        <f t="shared" si="47"/>
        <v>0</v>
      </c>
      <c r="EM27" s="11">
        <f t="shared" si="94"/>
        <v>0</v>
      </c>
      <c r="EN27" s="11">
        <f t="shared" si="48"/>
        <v>0</v>
      </c>
      <c r="EO27" s="11">
        <f t="shared" si="95"/>
        <v>0</v>
      </c>
      <c r="EP27" s="11">
        <f t="shared" si="49"/>
        <v>0</v>
      </c>
      <c r="EQ27" s="99"/>
      <c r="ER27" s="11">
        <f t="shared" si="50"/>
        <v>0</v>
      </c>
      <c r="ES27" s="11">
        <f t="shared" si="96"/>
        <v>0</v>
      </c>
      <c r="ET27" s="11">
        <f t="shared" si="51"/>
        <v>0</v>
      </c>
      <c r="EU27" s="11">
        <f t="shared" si="97"/>
        <v>45913.280000000006</v>
      </c>
      <c r="EV27" s="11">
        <f t="shared" si="98"/>
        <v>848608.80850849964</v>
      </c>
      <c r="EW27" s="11">
        <f t="shared" si="52"/>
        <v>0.99605770690964335</v>
      </c>
      <c r="EX27" s="11">
        <f t="shared" si="53"/>
        <v>1.0619929224256384</v>
      </c>
      <c r="EY27" s="493">
        <f t="shared" si="99"/>
        <v>1.0617718817836383</v>
      </c>
      <c r="EZ27" s="494">
        <f t="shared" si="100"/>
        <v>1.0194080762075604</v>
      </c>
      <c r="FA27" s="7" t="str">
        <f>+Efficiency1!D100</f>
        <v>RC HW</v>
      </c>
      <c r="FF27" s="15"/>
    </row>
    <row r="28" spans="1:163">
      <c r="A28" s="18">
        <f>+Chem!A27</f>
        <v>46100</v>
      </c>
      <c r="B28" s="6" t="str">
        <f>+Chem!B27</f>
        <v>Toilet</v>
      </c>
      <c r="C28" s="6" t="str">
        <f>+Chem!C27</f>
        <v>14</v>
      </c>
      <c r="D28" s="9">
        <f>+Chem!D27</f>
        <v>47.244</v>
      </c>
      <c r="E28" s="7">
        <f>+Chem!E27</f>
        <v>47.469000000000001</v>
      </c>
      <c r="F28" s="7">
        <f t="shared" si="54"/>
        <v>846.54100000000005</v>
      </c>
      <c r="G28" s="99"/>
      <c r="H28" s="11">
        <f t="shared" si="0"/>
        <v>0</v>
      </c>
      <c r="I28" s="9">
        <f t="shared" si="55"/>
        <v>44750</v>
      </c>
      <c r="J28" s="11">
        <f t="shared" si="1"/>
        <v>5.0054546676112306</v>
      </c>
      <c r="K28" s="99"/>
      <c r="L28" s="11">
        <f t="shared" si="2"/>
        <v>0</v>
      </c>
      <c r="M28" s="11">
        <f t="shared" si="56"/>
        <v>0</v>
      </c>
      <c r="N28" s="11">
        <f t="shared" si="3"/>
        <v>0</v>
      </c>
      <c r="O28" s="99"/>
      <c r="P28" s="11">
        <f t="shared" si="4"/>
        <v>0</v>
      </c>
      <c r="Q28" s="11">
        <f t="shared" si="57"/>
        <v>0</v>
      </c>
      <c r="R28" s="11">
        <f t="shared" si="5"/>
        <v>0</v>
      </c>
      <c r="S28" s="99"/>
      <c r="T28" s="11">
        <f t="shared" si="6"/>
        <v>0</v>
      </c>
      <c r="U28" s="11">
        <f t="shared" si="58"/>
        <v>20000</v>
      </c>
      <c r="V28" s="11">
        <f t="shared" si="7"/>
        <v>2.2370747117815561</v>
      </c>
      <c r="W28" s="99"/>
      <c r="X28" s="11">
        <f t="shared" si="8"/>
        <v>0</v>
      </c>
      <c r="Y28" s="11">
        <f t="shared" si="59"/>
        <v>0</v>
      </c>
      <c r="Z28" s="11">
        <f t="shared" si="9"/>
        <v>0</v>
      </c>
      <c r="AA28" s="99"/>
      <c r="AB28" s="11">
        <f t="shared" si="10"/>
        <v>0</v>
      </c>
      <c r="AC28" s="11">
        <f t="shared" si="60"/>
        <v>0</v>
      </c>
      <c r="AD28" s="11">
        <f t="shared" si="11"/>
        <v>0</v>
      </c>
      <c r="AE28" s="99"/>
      <c r="AF28" s="11">
        <f t="shared" si="12"/>
        <v>0</v>
      </c>
      <c r="AG28" s="11">
        <f t="shared" si="61"/>
        <v>0</v>
      </c>
      <c r="AH28" s="11">
        <f t="shared" si="13"/>
        <v>0</v>
      </c>
      <c r="AI28" s="99"/>
      <c r="AJ28" s="11">
        <f t="shared" si="14"/>
        <v>0</v>
      </c>
      <c r="AK28" s="11">
        <f t="shared" si="62"/>
        <v>0</v>
      </c>
      <c r="AL28" s="11">
        <f t="shared" si="15"/>
        <v>0</v>
      </c>
      <c r="AM28" s="99"/>
      <c r="AN28" s="11">
        <f t="shared" si="16"/>
        <v>0</v>
      </c>
      <c r="AO28" s="11">
        <f t="shared" si="63"/>
        <v>0</v>
      </c>
      <c r="AP28" s="11">
        <f t="shared" si="17"/>
        <v>0</v>
      </c>
      <c r="AQ28" s="99"/>
      <c r="AR28" s="11">
        <f t="shared" si="18"/>
        <v>0</v>
      </c>
      <c r="AS28" s="11">
        <f t="shared" si="64"/>
        <v>0</v>
      </c>
      <c r="AT28" s="11">
        <f t="shared" si="19"/>
        <v>0</v>
      </c>
      <c r="AU28" s="256"/>
      <c r="AV28" s="11">
        <f t="shared" si="20"/>
        <v>0</v>
      </c>
      <c r="AW28" s="9">
        <f t="shared" si="65"/>
        <v>0</v>
      </c>
      <c r="AX28" s="11">
        <f t="shared" si="21"/>
        <v>0</v>
      </c>
      <c r="AY28" s="99"/>
      <c r="AZ28" s="11">
        <f t="shared" si="22"/>
        <v>0</v>
      </c>
      <c r="BA28" s="11">
        <f t="shared" si="66"/>
        <v>0</v>
      </c>
      <c r="BB28" s="11">
        <f t="shared" si="23"/>
        <v>0</v>
      </c>
      <c r="BC28" s="99"/>
      <c r="BD28" s="11">
        <f t="shared" si="24"/>
        <v>0</v>
      </c>
      <c r="BE28" s="11">
        <f t="shared" si="67"/>
        <v>0</v>
      </c>
      <c r="BF28" s="11">
        <f t="shared" si="25"/>
        <v>0</v>
      </c>
      <c r="BG28" s="99"/>
      <c r="BH28" s="11">
        <f t="shared" si="26"/>
        <v>0</v>
      </c>
      <c r="BI28" s="11">
        <f t="shared" si="68"/>
        <v>0</v>
      </c>
      <c r="BJ28" s="11">
        <f t="shared" si="27"/>
        <v>0</v>
      </c>
      <c r="BK28" s="99"/>
      <c r="BL28" s="11"/>
      <c r="BM28" s="11"/>
      <c r="BN28" s="11"/>
      <c r="BO28" s="99"/>
      <c r="BP28" s="11"/>
      <c r="BQ28" s="11"/>
      <c r="BR28" s="11"/>
      <c r="BS28" s="99"/>
      <c r="BT28" s="11"/>
      <c r="BU28" s="11"/>
      <c r="BV28" s="11"/>
      <c r="BW28" s="11">
        <f t="shared" si="69"/>
        <v>0</v>
      </c>
      <c r="BX28" s="11">
        <f t="shared" si="28"/>
        <v>0</v>
      </c>
      <c r="BY28" s="11">
        <f t="shared" si="70"/>
        <v>64750</v>
      </c>
      <c r="BZ28" s="11">
        <f t="shared" si="29"/>
        <v>7.2425293793927867</v>
      </c>
      <c r="CA28" s="11"/>
      <c r="CB28" s="11">
        <f t="shared" si="71"/>
        <v>0</v>
      </c>
      <c r="CC28" s="11">
        <f t="shared" si="101"/>
        <v>0</v>
      </c>
      <c r="CD28" s="11">
        <f t="shared" si="72"/>
        <v>0</v>
      </c>
      <c r="CE28" s="11"/>
      <c r="CF28" s="11">
        <f t="shared" si="102"/>
        <v>0</v>
      </c>
      <c r="CG28" s="11">
        <f t="shared" si="103"/>
        <v>0</v>
      </c>
      <c r="CH28" s="11">
        <f t="shared" si="104"/>
        <v>0</v>
      </c>
      <c r="CI28" s="11">
        <f t="shared" si="73"/>
        <v>0</v>
      </c>
      <c r="CJ28" s="11">
        <f t="shared" si="105"/>
        <v>0</v>
      </c>
      <c r="CK28" s="11">
        <f t="shared" si="106"/>
        <v>0</v>
      </c>
      <c r="CL28" s="11">
        <f t="shared" si="107"/>
        <v>0</v>
      </c>
      <c r="CM28" s="99">
        <v>6491.43</v>
      </c>
      <c r="CN28" s="11">
        <f t="shared" si="74"/>
        <v>14.293307603707692</v>
      </c>
      <c r="CO28" s="11">
        <f t="shared" si="75"/>
        <v>6491.43</v>
      </c>
      <c r="CP28" s="11">
        <f t="shared" si="76"/>
        <v>0.72609069481500732</v>
      </c>
      <c r="CQ28" s="99">
        <v>25077.53</v>
      </c>
      <c r="CR28" s="11">
        <f t="shared" si="30"/>
        <v>55.217548403234375</v>
      </c>
      <c r="CS28" s="11">
        <f t="shared" si="77"/>
        <v>454850.0341162628</v>
      </c>
      <c r="CT28" s="11">
        <f t="shared" si="31"/>
        <v>50.876675448723475</v>
      </c>
      <c r="CU28" s="495">
        <v>10864.37</v>
      </c>
      <c r="CV28" s="11">
        <f t="shared" si="32"/>
        <v>23.921968245901709</v>
      </c>
      <c r="CW28" s="11">
        <f t="shared" si="78"/>
        <v>198860.13286822449</v>
      </c>
      <c r="CX28" s="11">
        <f t="shared" si="33"/>
        <v>22.243248721051263</v>
      </c>
      <c r="CY28" s="99">
        <v>929.85</v>
      </c>
      <c r="CZ28" s="11">
        <f t="shared" si="34"/>
        <v>2.0474120610262445</v>
      </c>
      <c r="DA28" s="11">
        <f t="shared" si="79"/>
        <v>26406.789814082669</v>
      </c>
      <c r="DB28" s="11">
        <f t="shared" si="35"/>
        <v>2.9536980856207555</v>
      </c>
      <c r="DC28" s="99">
        <v>2052.69</v>
      </c>
      <c r="DD28" s="11">
        <f t="shared" si="36"/>
        <v>4.5197636861299806</v>
      </c>
      <c r="DE28" s="11">
        <f t="shared" si="80"/>
        <v>27468.79380000586</v>
      </c>
      <c r="DF28" s="11">
        <f t="shared" si="37"/>
        <v>3.0724871986567552</v>
      </c>
      <c r="DG28" s="99"/>
      <c r="DH28" s="11">
        <f t="shared" si="38"/>
        <v>0</v>
      </c>
      <c r="DI28" s="11">
        <f t="shared" si="81"/>
        <v>1467.5073093432547</v>
      </c>
      <c r="DJ28" s="11">
        <f t="shared" si="39"/>
        <v>0.1641461745543194</v>
      </c>
      <c r="DK28" s="99"/>
      <c r="DL28" s="11">
        <f t="shared" si="82"/>
        <v>0</v>
      </c>
      <c r="DM28" s="11">
        <f t="shared" si="83"/>
        <v>0</v>
      </c>
      <c r="DN28" s="11">
        <f t="shared" si="84"/>
        <v>0</v>
      </c>
      <c r="DO28" s="496"/>
      <c r="DP28" s="11">
        <f t="shared" si="85"/>
        <v>0</v>
      </c>
      <c r="DQ28" s="11">
        <f t="shared" si="86"/>
        <v>0</v>
      </c>
      <c r="DR28" s="11">
        <f t="shared" si="87"/>
        <v>0</v>
      </c>
      <c r="DS28" s="99"/>
      <c r="DT28" s="11">
        <f t="shared" si="108"/>
        <v>0</v>
      </c>
      <c r="DU28" s="11">
        <f t="shared" si="88"/>
        <v>0</v>
      </c>
      <c r="DV28" s="11">
        <f t="shared" si="109"/>
        <v>0</v>
      </c>
      <c r="DW28" s="11">
        <f t="shared" si="89"/>
        <v>45415.87</v>
      </c>
      <c r="DX28" s="11">
        <f t="shared" si="40"/>
        <v>100</v>
      </c>
      <c r="DY28" s="11">
        <f t="shared" si="90"/>
        <v>829274.67850849964</v>
      </c>
      <c r="DZ28" s="11">
        <f t="shared" si="41"/>
        <v>92.757470620607208</v>
      </c>
      <c r="EA28" s="99"/>
      <c r="EB28" s="11">
        <f t="shared" si="42"/>
        <v>0</v>
      </c>
      <c r="EC28" s="11">
        <f t="shared" si="91"/>
        <v>0</v>
      </c>
      <c r="ED28" s="11">
        <f t="shared" si="43"/>
        <v>0</v>
      </c>
      <c r="EE28" s="99"/>
      <c r="EF28" s="11">
        <f t="shared" si="44"/>
        <v>0</v>
      </c>
      <c r="EG28" s="11">
        <f t="shared" si="92"/>
        <v>0</v>
      </c>
      <c r="EH28" s="11">
        <f t="shared" si="45"/>
        <v>0</v>
      </c>
      <c r="EI28" s="99"/>
      <c r="EJ28" s="17">
        <f t="shared" si="46"/>
        <v>0</v>
      </c>
      <c r="EK28" s="11">
        <f t="shared" si="93"/>
        <v>0</v>
      </c>
      <c r="EL28" s="11">
        <f t="shared" si="47"/>
        <v>0</v>
      </c>
      <c r="EM28" s="11">
        <f t="shared" si="94"/>
        <v>0</v>
      </c>
      <c r="EN28" s="11">
        <f t="shared" si="48"/>
        <v>0</v>
      </c>
      <c r="EO28" s="11">
        <f t="shared" si="95"/>
        <v>0</v>
      </c>
      <c r="EP28" s="11">
        <f t="shared" si="49"/>
        <v>0</v>
      </c>
      <c r="EQ28" s="99"/>
      <c r="ER28" s="11">
        <f t="shared" si="50"/>
        <v>0</v>
      </c>
      <c r="ES28" s="11">
        <f t="shared" si="96"/>
        <v>0</v>
      </c>
      <c r="ET28" s="11">
        <f t="shared" si="51"/>
        <v>0</v>
      </c>
      <c r="EU28" s="11">
        <f t="shared" si="97"/>
        <v>45415.87</v>
      </c>
      <c r="EV28" s="11">
        <f t="shared" si="98"/>
        <v>894024.67850849964</v>
      </c>
      <c r="EW28" s="11">
        <f t="shared" si="52"/>
        <v>0.95674798289409935</v>
      </c>
      <c r="EX28" s="11">
        <f t="shared" si="53"/>
        <v>1.0560914102311638</v>
      </c>
      <c r="EY28" s="493">
        <f t="shared" si="99"/>
        <v>1.0452073251046385</v>
      </c>
      <c r="EZ28" s="494">
        <f t="shared" si="100"/>
        <v>1.020820992053628</v>
      </c>
      <c r="FA28" s="7" t="str">
        <f>+Efficiency1!D105</f>
        <v>RC HW</v>
      </c>
      <c r="FF28" s="15"/>
    </row>
    <row r="29" spans="1:163">
      <c r="A29" s="18">
        <f>+Chem!A28</f>
        <v>46101</v>
      </c>
      <c r="B29" s="6" t="str">
        <f>+Chem!B28</f>
        <v>Toilet</v>
      </c>
      <c r="C29" s="6" t="str">
        <f>+Chem!C28</f>
        <v>14</v>
      </c>
      <c r="D29" s="9">
        <f>+Chem!D28</f>
        <v>46.688000000000002</v>
      </c>
      <c r="E29" s="7">
        <f>+Chem!E28</f>
        <v>45.683999999999997</v>
      </c>
      <c r="F29" s="7">
        <f t="shared" si="54"/>
        <v>892.22500000000002</v>
      </c>
      <c r="G29" s="99"/>
      <c r="H29" s="11">
        <f t="shared" si="0"/>
        <v>0</v>
      </c>
      <c r="I29" s="9">
        <f t="shared" si="55"/>
        <v>44750</v>
      </c>
      <c r="J29" s="11">
        <f t="shared" si="1"/>
        <v>4.7480135845890077</v>
      </c>
      <c r="K29" s="99"/>
      <c r="L29" s="11">
        <f t="shared" si="2"/>
        <v>0</v>
      </c>
      <c r="M29" s="11">
        <f t="shared" si="56"/>
        <v>0</v>
      </c>
      <c r="N29" s="11">
        <f t="shared" si="3"/>
        <v>0</v>
      </c>
      <c r="O29" s="99"/>
      <c r="P29" s="11">
        <f t="shared" si="4"/>
        <v>0</v>
      </c>
      <c r="Q29" s="11">
        <f t="shared" si="57"/>
        <v>0</v>
      </c>
      <c r="R29" s="11">
        <f t="shared" si="5"/>
        <v>0</v>
      </c>
      <c r="S29" s="99"/>
      <c r="T29" s="11">
        <f t="shared" si="6"/>
        <v>0</v>
      </c>
      <c r="U29" s="11">
        <f t="shared" si="58"/>
        <v>20000</v>
      </c>
      <c r="V29" s="11">
        <f t="shared" si="7"/>
        <v>2.1220172445090535</v>
      </c>
      <c r="W29" s="99"/>
      <c r="X29" s="11">
        <f t="shared" si="8"/>
        <v>0</v>
      </c>
      <c r="Y29" s="11">
        <f t="shared" si="59"/>
        <v>0</v>
      </c>
      <c r="Z29" s="11">
        <f t="shared" si="9"/>
        <v>0</v>
      </c>
      <c r="AA29" s="99"/>
      <c r="AB29" s="11">
        <f t="shared" si="10"/>
        <v>0</v>
      </c>
      <c r="AC29" s="11">
        <f t="shared" si="60"/>
        <v>0</v>
      </c>
      <c r="AD29" s="11">
        <f t="shared" si="11"/>
        <v>0</v>
      </c>
      <c r="AE29" s="99"/>
      <c r="AF29" s="11">
        <f t="shared" si="12"/>
        <v>0</v>
      </c>
      <c r="AG29" s="11">
        <f t="shared" si="61"/>
        <v>0</v>
      </c>
      <c r="AH29" s="11">
        <f t="shared" si="13"/>
        <v>0</v>
      </c>
      <c r="AI29" s="99"/>
      <c r="AJ29" s="11">
        <f t="shared" si="14"/>
        <v>0</v>
      </c>
      <c r="AK29" s="11">
        <f t="shared" si="62"/>
        <v>0</v>
      </c>
      <c r="AL29" s="11">
        <f t="shared" si="15"/>
        <v>0</v>
      </c>
      <c r="AM29" s="99"/>
      <c r="AN29" s="11">
        <f t="shared" si="16"/>
        <v>0</v>
      </c>
      <c r="AO29" s="11">
        <f t="shared" si="63"/>
        <v>0</v>
      </c>
      <c r="AP29" s="11">
        <f t="shared" si="17"/>
        <v>0</v>
      </c>
      <c r="AQ29" s="99"/>
      <c r="AR29" s="11">
        <f t="shared" si="18"/>
        <v>0</v>
      </c>
      <c r="AS29" s="11">
        <f t="shared" si="64"/>
        <v>0</v>
      </c>
      <c r="AT29" s="11">
        <f t="shared" si="19"/>
        <v>0</v>
      </c>
      <c r="AU29" s="256"/>
      <c r="AV29" s="11">
        <f t="shared" si="20"/>
        <v>0</v>
      </c>
      <c r="AW29" s="9">
        <f t="shared" si="65"/>
        <v>0</v>
      </c>
      <c r="AX29" s="11">
        <f t="shared" si="21"/>
        <v>0</v>
      </c>
      <c r="AY29" s="99"/>
      <c r="AZ29" s="11">
        <f t="shared" si="22"/>
        <v>0</v>
      </c>
      <c r="BA29" s="11">
        <f t="shared" si="66"/>
        <v>0</v>
      </c>
      <c r="BB29" s="11">
        <f t="shared" si="23"/>
        <v>0</v>
      </c>
      <c r="BC29" s="99"/>
      <c r="BD29" s="11">
        <f t="shared" si="24"/>
        <v>0</v>
      </c>
      <c r="BE29" s="11">
        <f t="shared" si="67"/>
        <v>0</v>
      </c>
      <c r="BF29" s="11">
        <f t="shared" si="25"/>
        <v>0</v>
      </c>
      <c r="BG29" s="99"/>
      <c r="BH29" s="11">
        <f t="shared" si="26"/>
        <v>0</v>
      </c>
      <c r="BI29" s="11">
        <f t="shared" si="68"/>
        <v>0</v>
      </c>
      <c r="BJ29" s="11">
        <f t="shared" si="27"/>
        <v>0</v>
      </c>
      <c r="BK29" s="99"/>
      <c r="BL29" s="11"/>
      <c r="BM29" s="11"/>
      <c r="BN29" s="11"/>
      <c r="BO29" s="99"/>
      <c r="BP29" s="11"/>
      <c r="BQ29" s="11"/>
      <c r="BR29" s="11"/>
      <c r="BS29" s="99"/>
      <c r="BT29" s="11"/>
      <c r="BU29" s="11"/>
      <c r="BV29" s="11"/>
      <c r="BW29" s="11">
        <f t="shared" si="69"/>
        <v>0</v>
      </c>
      <c r="BX29" s="11">
        <f t="shared" si="28"/>
        <v>0</v>
      </c>
      <c r="BY29" s="11">
        <f t="shared" si="70"/>
        <v>64750</v>
      </c>
      <c r="BZ29" s="11">
        <f t="shared" si="29"/>
        <v>6.8700308290980603</v>
      </c>
      <c r="CA29" s="11"/>
      <c r="CB29" s="11">
        <f t="shared" si="71"/>
        <v>0</v>
      </c>
      <c r="CC29" s="11">
        <f t="shared" si="101"/>
        <v>0</v>
      </c>
      <c r="CD29" s="11">
        <f t="shared" si="72"/>
        <v>0</v>
      </c>
      <c r="CE29" s="11"/>
      <c r="CF29" s="11">
        <f t="shared" si="102"/>
        <v>0</v>
      </c>
      <c r="CG29" s="11">
        <f t="shared" si="103"/>
        <v>0</v>
      </c>
      <c r="CH29" s="11">
        <f t="shared" si="104"/>
        <v>0</v>
      </c>
      <c r="CI29" s="11">
        <f t="shared" si="73"/>
        <v>0</v>
      </c>
      <c r="CJ29" s="11">
        <f t="shared" si="105"/>
        <v>0</v>
      </c>
      <c r="CK29" s="11">
        <f t="shared" si="106"/>
        <v>0</v>
      </c>
      <c r="CL29" s="11">
        <f t="shared" si="107"/>
        <v>0</v>
      </c>
      <c r="CM29" s="99">
        <v>7053.0045068569998</v>
      </c>
      <c r="CN29" s="11">
        <f t="shared" si="74"/>
        <v>14.549857947929768</v>
      </c>
      <c r="CO29" s="11">
        <f t="shared" si="75"/>
        <v>7053.0045068569998</v>
      </c>
      <c r="CP29" s="11">
        <f t="shared" si="76"/>
        <v>0.74832985945753128</v>
      </c>
      <c r="CQ29" s="99">
        <v>26622.608561094028</v>
      </c>
      <c r="CR29" s="11">
        <f t="shared" si="30"/>
        <v>54.920590564016592</v>
      </c>
      <c r="CS29" s="11">
        <f t="shared" si="77"/>
        <v>481472.64267735684</v>
      </c>
      <c r="CT29" s="11">
        <f t="shared" si="31"/>
        <v>51.08466252603484</v>
      </c>
      <c r="CU29" s="99">
        <v>11281.64645350974</v>
      </c>
      <c r="CV29" s="11">
        <f t="shared" si="32"/>
        <v>23.273252293791629</v>
      </c>
      <c r="CW29" s="11">
        <f t="shared" si="78"/>
        <v>210141.77932173424</v>
      </c>
      <c r="CX29" s="11">
        <f t="shared" si="33"/>
        <v>22.296223975626805</v>
      </c>
      <c r="CY29" s="99">
        <v>1043.049962281669</v>
      </c>
      <c r="CZ29" s="11">
        <f t="shared" si="34"/>
        <v>2.1517395556797543</v>
      </c>
      <c r="DA29" s="11">
        <f t="shared" si="79"/>
        <v>27449.839776364337</v>
      </c>
      <c r="DB29" s="11">
        <f t="shared" si="35"/>
        <v>2.9124516682227832</v>
      </c>
      <c r="DC29" s="99">
        <v>2302.837579063425</v>
      </c>
      <c r="DD29" s="11">
        <f t="shared" si="36"/>
        <v>4.7505938242280292</v>
      </c>
      <c r="DE29" s="11">
        <f t="shared" si="80"/>
        <v>29771.631379069284</v>
      </c>
      <c r="DF29" s="11">
        <f t="shared" si="37"/>
        <v>3.1587957591775933</v>
      </c>
      <c r="DG29" s="99">
        <v>171.58397647923559</v>
      </c>
      <c r="DH29" s="11">
        <f t="shared" si="38"/>
        <v>0.35396581435424529</v>
      </c>
      <c r="DI29" s="11">
        <f t="shared" si="81"/>
        <v>1639.0912858224904</v>
      </c>
      <c r="DJ29" s="11">
        <f t="shared" si="39"/>
        <v>0.17390899869199211</v>
      </c>
      <c r="DK29" s="99"/>
      <c r="DL29" s="11">
        <f t="shared" si="82"/>
        <v>0</v>
      </c>
      <c r="DM29" s="11">
        <f t="shared" si="83"/>
        <v>0</v>
      </c>
      <c r="DN29" s="11">
        <f t="shared" si="84"/>
        <v>0</v>
      </c>
      <c r="DO29" s="496"/>
      <c r="DP29" s="11">
        <f t="shared" si="85"/>
        <v>0</v>
      </c>
      <c r="DQ29" s="11">
        <f t="shared" si="86"/>
        <v>0</v>
      </c>
      <c r="DR29" s="11">
        <f t="shared" si="87"/>
        <v>0</v>
      </c>
      <c r="DS29" s="99"/>
      <c r="DT29" s="11">
        <f t="shared" si="108"/>
        <v>0</v>
      </c>
      <c r="DU29" s="11">
        <f t="shared" si="88"/>
        <v>0</v>
      </c>
      <c r="DV29" s="11">
        <f t="shared" si="109"/>
        <v>0</v>
      </c>
      <c r="DW29" s="11">
        <f t="shared" si="89"/>
        <v>48474.731039285092</v>
      </c>
      <c r="DX29" s="11">
        <f t="shared" si="40"/>
        <v>100</v>
      </c>
      <c r="DY29" s="11">
        <f t="shared" si="90"/>
        <v>877749.40954778471</v>
      </c>
      <c r="DZ29" s="11">
        <f t="shared" si="41"/>
        <v>93.129969170901944</v>
      </c>
      <c r="EA29" s="99"/>
      <c r="EB29" s="11">
        <f t="shared" si="42"/>
        <v>0</v>
      </c>
      <c r="EC29" s="11">
        <f t="shared" si="91"/>
        <v>0</v>
      </c>
      <c r="ED29" s="11">
        <f t="shared" si="43"/>
        <v>0</v>
      </c>
      <c r="EE29" s="99"/>
      <c r="EF29" s="11">
        <f t="shared" si="44"/>
        <v>0</v>
      </c>
      <c r="EG29" s="11">
        <f t="shared" si="92"/>
        <v>0</v>
      </c>
      <c r="EH29" s="11">
        <f t="shared" si="45"/>
        <v>0</v>
      </c>
      <c r="EI29" s="99"/>
      <c r="EJ29" s="17">
        <f t="shared" si="46"/>
        <v>0</v>
      </c>
      <c r="EK29" s="11">
        <f t="shared" si="93"/>
        <v>0</v>
      </c>
      <c r="EL29" s="11">
        <f t="shared" si="47"/>
        <v>0</v>
      </c>
      <c r="EM29" s="11">
        <f t="shared" si="94"/>
        <v>0</v>
      </c>
      <c r="EN29" s="11">
        <f t="shared" si="48"/>
        <v>0</v>
      </c>
      <c r="EO29" s="11">
        <f t="shared" si="95"/>
        <v>0</v>
      </c>
      <c r="EP29" s="11">
        <f t="shared" si="49"/>
        <v>0</v>
      </c>
      <c r="EQ29" s="99"/>
      <c r="ER29" s="11">
        <f t="shared" si="50"/>
        <v>0</v>
      </c>
      <c r="ES29" s="11">
        <f t="shared" si="96"/>
        <v>0</v>
      </c>
      <c r="ET29" s="11">
        <f t="shared" si="51"/>
        <v>0</v>
      </c>
      <c r="EU29" s="11">
        <f t="shared" si="97"/>
        <v>48474.731039285092</v>
      </c>
      <c r="EV29" s="11">
        <f t="shared" si="98"/>
        <v>942499.40954778471</v>
      </c>
      <c r="EW29" s="11">
        <f t="shared" si="52"/>
        <v>1.0610877120936235</v>
      </c>
      <c r="EX29" s="11">
        <f t="shared" si="53"/>
        <v>1.056347232534153</v>
      </c>
      <c r="EY29" s="493">
        <f t="shared" si="99"/>
        <v>0.94242915887406542</v>
      </c>
      <c r="EZ29" s="494">
        <f t="shared" si="100"/>
        <v>1.016491711979246</v>
      </c>
      <c r="FA29" s="7" t="s">
        <v>425</v>
      </c>
      <c r="FF29" s="15"/>
    </row>
    <row r="30" spans="1:163">
      <c r="A30" s="18">
        <f>+Chem!A29</f>
        <v>46102</v>
      </c>
      <c r="B30" s="6" t="str">
        <f>+Chem!B29</f>
        <v>Toilet</v>
      </c>
      <c r="C30" s="6" t="str">
        <f>+Chem!C29</f>
        <v>14</v>
      </c>
      <c r="D30" s="9">
        <f>+Chem!D29</f>
        <v>50.077999999999996</v>
      </c>
      <c r="E30" s="7">
        <f>+Chem!E29</f>
        <v>47.493000000000002</v>
      </c>
      <c r="F30" s="7">
        <f t="shared" si="54"/>
        <v>939.71800000000007</v>
      </c>
      <c r="G30" s="99"/>
      <c r="H30" s="11">
        <f t="shared" si="0"/>
        <v>0</v>
      </c>
      <c r="I30" s="9">
        <f t="shared" si="55"/>
        <v>44750</v>
      </c>
      <c r="J30" s="11">
        <f t="shared" si="1"/>
        <v>4.5068832144381696</v>
      </c>
      <c r="K30" s="99"/>
      <c r="L30" s="11">
        <f t="shared" si="2"/>
        <v>0</v>
      </c>
      <c r="M30" s="11">
        <f t="shared" si="56"/>
        <v>0</v>
      </c>
      <c r="N30" s="11">
        <f t="shared" si="3"/>
        <v>0</v>
      </c>
      <c r="O30" s="99"/>
      <c r="P30" s="11">
        <f t="shared" si="4"/>
        <v>0</v>
      </c>
      <c r="Q30" s="11">
        <f t="shared" si="57"/>
        <v>0</v>
      </c>
      <c r="R30" s="11">
        <f t="shared" si="5"/>
        <v>0</v>
      </c>
      <c r="S30" s="99"/>
      <c r="T30" s="11">
        <f t="shared" si="6"/>
        <v>0</v>
      </c>
      <c r="U30" s="11">
        <f t="shared" si="58"/>
        <v>20000</v>
      </c>
      <c r="V30" s="11">
        <f t="shared" si="7"/>
        <v>2.0142494813131484</v>
      </c>
      <c r="W30" s="99"/>
      <c r="X30" s="11">
        <f t="shared" si="8"/>
        <v>0</v>
      </c>
      <c r="Y30" s="11">
        <f t="shared" si="59"/>
        <v>0</v>
      </c>
      <c r="Z30" s="11">
        <f t="shared" si="9"/>
        <v>0</v>
      </c>
      <c r="AA30" s="99"/>
      <c r="AB30" s="11">
        <f t="shared" si="10"/>
        <v>0</v>
      </c>
      <c r="AC30" s="11">
        <f t="shared" si="60"/>
        <v>0</v>
      </c>
      <c r="AD30" s="11">
        <f t="shared" si="11"/>
        <v>0</v>
      </c>
      <c r="AE30" s="99"/>
      <c r="AF30" s="11">
        <f t="shared" si="12"/>
        <v>0</v>
      </c>
      <c r="AG30" s="11">
        <f t="shared" si="61"/>
        <v>0</v>
      </c>
      <c r="AH30" s="11">
        <f t="shared" si="13"/>
        <v>0</v>
      </c>
      <c r="AI30" s="99"/>
      <c r="AJ30" s="11">
        <f t="shared" si="14"/>
        <v>0</v>
      </c>
      <c r="AK30" s="11">
        <f t="shared" si="62"/>
        <v>0</v>
      </c>
      <c r="AL30" s="11">
        <f t="shared" si="15"/>
        <v>0</v>
      </c>
      <c r="AM30" s="99"/>
      <c r="AN30" s="11">
        <f t="shared" si="16"/>
        <v>0</v>
      </c>
      <c r="AO30" s="11">
        <f t="shared" si="63"/>
        <v>0</v>
      </c>
      <c r="AP30" s="11">
        <f t="shared" si="17"/>
        <v>0</v>
      </c>
      <c r="AQ30" s="99"/>
      <c r="AR30" s="11">
        <f t="shared" si="18"/>
        <v>0</v>
      </c>
      <c r="AS30" s="11">
        <f t="shared" si="64"/>
        <v>0</v>
      </c>
      <c r="AT30" s="11">
        <f t="shared" si="19"/>
        <v>0</v>
      </c>
      <c r="AU30" s="256"/>
      <c r="AV30" s="11">
        <f t="shared" si="20"/>
        <v>0</v>
      </c>
      <c r="AW30" s="9">
        <f t="shared" si="65"/>
        <v>0</v>
      </c>
      <c r="AX30" s="11">
        <f t="shared" si="21"/>
        <v>0</v>
      </c>
      <c r="AY30" s="99"/>
      <c r="AZ30" s="11">
        <f t="shared" si="22"/>
        <v>0</v>
      </c>
      <c r="BA30" s="11">
        <f t="shared" si="66"/>
        <v>0</v>
      </c>
      <c r="BB30" s="11">
        <f t="shared" si="23"/>
        <v>0</v>
      </c>
      <c r="BC30" s="99"/>
      <c r="BD30" s="11">
        <f t="shared" si="24"/>
        <v>0</v>
      </c>
      <c r="BE30" s="11">
        <f t="shared" si="67"/>
        <v>0</v>
      </c>
      <c r="BF30" s="11">
        <f t="shared" si="25"/>
        <v>0</v>
      </c>
      <c r="BG30" s="99"/>
      <c r="BH30" s="11">
        <f t="shared" si="26"/>
        <v>0</v>
      </c>
      <c r="BI30" s="11">
        <f t="shared" si="68"/>
        <v>0</v>
      </c>
      <c r="BJ30" s="11">
        <f t="shared" si="27"/>
        <v>0</v>
      </c>
      <c r="BK30" s="99"/>
      <c r="BL30" s="11"/>
      <c r="BM30" s="11"/>
      <c r="BN30" s="11"/>
      <c r="BO30" s="99"/>
      <c r="BP30" s="11"/>
      <c r="BQ30" s="11"/>
      <c r="BR30" s="11"/>
      <c r="BS30" s="99"/>
      <c r="BT30" s="11"/>
      <c r="BU30" s="11"/>
      <c r="BV30" s="11"/>
      <c r="BW30" s="11">
        <f t="shared" si="69"/>
        <v>0</v>
      </c>
      <c r="BX30" s="11">
        <f t="shared" si="28"/>
        <v>0</v>
      </c>
      <c r="BY30" s="11">
        <f t="shared" si="70"/>
        <v>64750</v>
      </c>
      <c r="BZ30" s="11">
        <f t="shared" si="29"/>
        <v>6.5211326957513176</v>
      </c>
      <c r="CA30" s="11"/>
      <c r="CB30" s="11">
        <f t="shared" si="71"/>
        <v>0</v>
      </c>
      <c r="CC30" s="11">
        <f t="shared" si="101"/>
        <v>0</v>
      </c>
      <c r="CD30" s="11">
        <f t="shared" si="72"/>
        <v>0</v>
      </c>
      <c r="CE30" s="11"/>
      <c r="CF30" s="11">
        <f t="shared" si="102"/>
        <v>0</v>
      </c>
      <c r="CG30" s="11">
        <f t="shared" si="103"/>
        <v>0</v>
      </c>
      <c r="CH30" s="11">
        <f t="shared" si="104"/>
        <v>0</v>
      </c>
      <c r="CI30" s="11">
        <f t="shared" si="73"/>
        <v>0</v>
      </c>
      <c r="CJ30" s="11">
        <f t="shared" si="105"/>
        <v>0</v>
      </c>
      <c r="CK30" s="11">
        <f t="shared" si="106"/>
        <v>0</v>
      </c>
      <c r="CL30" s="11">
        <f t="shared" si="107"/>
        <v>0</v>
      </c>
      <c r="CM30" s="99">
        <v>7235.2092154533821</v>
      </c>
      <c r="CN30" s="11">
        <f t="shared" si="74"/>
        <v>14.348100126057982</v>
      </c>
      <c r="CO30" s="11">
        <f t="shared" si="75"/>
        <v>7235.2092154533821</v>
      </c>
      <c r="CP30" s="11">
        <f t="shared" si="76"/>
        <v>0.72867582047095436</v>
      </c>
      <c r="CQ30" s="99">
        <v>27978.261177046592</v>
      </c>
      <c r="CR30" s="11">
        <f t="shared" si="30"/>
        <v>55.483522420313335</v>
      </c>
      <c r="CS30" s="11">
        <f t="shared" si="77"/>
        <v>509450.90385440341</v>
      </c>
      <c r="CT30" s="11">
        <f t="shared" si="31"/>
        <v>51.308060942162335</v>
      </c>
      <c r="CU30" s="99">
        <v>12075.330347347519</v>
      </c>
      <c r="CV30" s="11">
        <f t="shared" si="32"/>
        <v>23.946515397082653</v>
      </c>
      <c r="CW30" s="11">
        <f t="shared" si="78"/>
        <v>222217.10966908175</v>
      </c>
      <c r="CX30" s="11">
        <f t="shared" si="33"/>
        <v>22.380034894492749</v>
      </c>
      <c r="CY30" s="99">
        <v>2556.2741062442765</v>
      </c>
      <c r="CZ30" s="11">
        <f t="shared" si="34"/>
        <v>5.0693318926706272</v>
      </c>
      <c r="DA30" s="11">
        <f t="shared" si="79"/>
        <v>30006.113882608613</v>
      </c>
      <c r="DB30" s="11">
        <f t="shared" si="35"/>
        <v>3.0219899662133836</v>
      </c>
      <c r="DC30" s="99">
        <v>581.17777193475558</v>
      </c>
      <c r="DD30" s="11">
        <f t="shared" si="36"/>
        <v>1.1525301638753827</v>
      </c>
      <c r="DE30" s="11">
        <f t="shared" si="80"/>
        <v>30352.809151004039</v>
      </c>
      <c r="DF30" s="11">
        <f t="shared" si="37"/>
        <v>3.0569065044403438</v>
      </c>
      <c r="DG30" s="99"/>
      <c r="DH30" s="11">
        <f t="shared" si="38"/>
        <v>0</v>
      </c>
      <c r="DI30" s="11">
        <f t="shared" si="81"/>
        <v>1639.0912858224904</v>
      </c>
      <c r="DJ30" s="11">
        <f t="shared" si="39"/>
        <v>0.16507693861464265</v>
      </c>
      <c r="DK30" s="99"/>
      <c r="DL30" s="11">
        <f t="shared" si="82"/>
        <v>0</v>
      </c>
      <c r="DM30" s="11">
        <f t="shared" si="83"/>
        <v>0</v>
      </c>
      <c r="DN30" s="11">
        <f t="shared" si="84"/>
        <v>0</v>
      </c>
      <c r="DO30" s="496"/>
      <c r="DP30" s="11">
        <f t="shared" si="85"/>
        <v>0</v>
      </c>
      <c r="DQ30" s="11">
        <f t="shared" si="86"/>
        <v>0</v>
      </c>
      <c r="DR30" s="11">
        <f t="shared" si="87"/>
        <v>0</v>
      </c>
      <c r="DS30" s="99"/>
      <c r="DT30" s="11">
        <f t="shared" si="108"/>
        <v>0</v>
      </c>
      <c r="DU30" s="11">
        <f t="shared" si="88"/>
        <v>0</v>
      </c>
      <c r="DV30" s="11">
        <f t="shared" si="109"/>
        <v>0</v>
      </c>
      <c r="DW30" s="11">
        <f t="shared" si="89"/>
        <v>50426.252618026534</v>
      </c>
      <c r="DX30" s="11">
        <f t="shared" si="40"/>
        <v>100</v>
      </c>
      <c r="DY30" s="11">
        <f t="shared" si="90"/>
        <v>928175.66216581129</v>
      </c>
      <c r="DZ30" s="11">
        <f t="shared" si="41"/>
        <v>93.478867304248681</v>
      </c>
      <c r="EA30" s="99"/>
      <c r="EB30" s="11">
        <f t="shared" si="42"/>
        <v>0</v>
      </c>
      <c r="EC30" s="11">
        <f t="shared" si="91"/>
        <v>0</v>
      </c>
      <c r="ED30" s="11">
        <f t="shared" si="43"/>
        <v>0</v>
      </c>
      <c r="EE30" s="99"/>
      <c r="EF30" s="11">
        <f t="shared" si="44"/>
        <v>0</v>
      </c>
      <c r="EG30" s="11">
        <f t="shared" si="92"/>
        <v>0</v>
      </c>
      <c r="EH30" s="11">
        <f t="shared" si="45"/>
        <v>0</v>
      </c>
      <c r="EI30" s="99"/>
      <c r="EJ30" s="17">
        <f t="shared" si="46"/>
        <v>0</v>
      </c>
      <c r="EK30" s="11">
        <f t="shared" si="93"/>
        <v>0</v>
      </c>
      <c r="EL30" s="11">
        <f t="shared" si="47"/>
        <v>0</v>
      </c>
      <c r="EM30" s="11">
        <f t="shared" si="94"/>
        <v>0</v>
      </c>
      <c r="EN30" s="11">
        <f t="shared" si="48"/>
        <v>0</v>
      </c>
      <c r="EO30" s="11">
        <f t="shared" si="95"/>
        <v>0</v>
      </c>
      <c r="EP30" s="11">
        <f t="shared" si="49"/>
        <v>0</v>
      </c>
      <c r="EQ30" s="99"/>
      <c r="ER30" s="11">
        <f t="shared" si="50"/>
        <v>0</v>
      </c>
      <c r="ES30" s="11">
        <f t="shared" si="96"/>
        <v>0</v>
      </c>
      <c r="ET30" s="11">
        <f t="shared" si="51"/>
        <v>0</v>
      </c>
      <c r="EU30" s="11">
        <f t="shared" si="97"/>
        <v>50426.252618026534</v>
      </c>
      <c r="EV30" s="11">
        <f t="shared" si="98"/>
        <v>992925.66216581129</v>
      </c>
      <c r="EW30" s="11">
        <f t="shared" si="52"/>
        <v>1.0617617884325381</v>
      </c>
      <c r="EX30" s="11">
        <f t="shared" si="53"/>
        <v>1.0566208821857315</v>
      </c>
      <c r="EY30" s="493">
        <f t="shared" si="99"/>
        <v>0.94183084275078677</v>
      </c>
      <c r="EZ30" s="494">
        <f t="shared" si="100"/>
        <v>1.0124355101137386</v>
      </c>
      <c r="FA30" s="7" t="s">
        <v>425</v>
      </c>
    </row>
    <row r="31" spans="1:163">
      <c r="A31" s="18">
        <f>+Chem!A30</f>
        <v>46103</v>
      </c>
      <c r="B31" s="6" t="str">
        <f>+Chem!B30</f>
        <v>Toilet</v>
      </c>
      <c r="C31" s="6" t="str">
        <f>+Chem!C30</f>
        <v>14/14,5</v>
      </c>
      <c r="D31" s="9">
        <f>+Chem!D30</f>
        <v>49.143000000000001</v>
      </c>
      <c r="E31" s="7">
        <f>+Chem!E30</f>
        <v>47.826999999999998</v>
      </c>
      <c r="F31" s="7">
        <f t="shared" si="54"/>
        <v>987.54500000000007</v>
      </c>
      <c r="G31" s="99"/>
      <c r="H31" s="11">
        <f t="shared" si="0"/>
        <v>0</v>
      </c>
      <c r="I31" s="9">
        <f t="shared" si="55"/>
        <v>44750</v>
      </c>
      <c r="J31" s="11">
        <f t="shared" si="1"/>
        <v>4.2940575126672353</v>
      </c>
      <c r="K31" s="99"/>
      <c r="L31" s="11">
        <f t="shared" si="2"/>
        <v>0</v>
      </c>
      <c r="M31" s="11">
        <f t="shared" si="56"/>
        <v>0</v>
      </c>
      <c r="N31" s="11">
        <f t="shared" si="3"/>
        <v>0</v>
      </c>
      <c r="O31" s="99"/>
      <c r="P31" s="11">
        <f t="shared" si="4"/>
        <v>0</v>
      </c>
      <c r="Q31" s="11">
        <f t="shared" si="57"/>
        <v>0</v>
      </c>
      <c r="R31" s="11">
        <f t="shared" si="5"/>
        <v>0</v>
      </c>
      <c r="S31" s="99"/>
      <c r="T31" s="11">
        <f t="shared" si="6"/>
        <v>0</v>
      </c>
      <c r="U31" s="11">
        <f t="shared" si="58"/>
        <v>20000</v>
      </c>
      <c r="V31" s="11">
        <f t="shared" si="7"/>
        <v>1.9191318492367535</v>
      </c>
      <c r="W31" s="99"/>
      <c r="X31" s="11">
        <f t="shared" si="8"/>
        <v>0</v>
      </c>
      <c r="Y31" s="11">
        <f t="shared" si="59"/>
        <v>0</v>
      </c>
      <c r="Z31" s="11">
        <f t="shared" si="9"/>
        <v>0</v>
      </c>
      <c r="AA31" s="99"/>
      <c r="AB31" s="11">
        <f t="shared" si="10"/>
        <v>0</v>
      </c>
      <c r="AC31" s="11">
        <f t="shared" si="60"/>
        <v>0</v>
      </c>
      <c r="AD31" s="11">
        <f t="shared" si="11"/>
        <v>0</v>
      </c>
      <c r="AE31" s="99"/>
      <c r="AF31" s="11">
        <f t="shared" si="12"/>
        <v>0</v>
      </c>
      <c r="AG31" s="11">
        <f t="shared" si="61"/>
        <v>0</v>
      </c>
      <c r="AH31" s="11">
        <f t="shared" si="13"/>
        <v>0</v>
      </c>
      <c r="AI31" s="99"/>
      <c r="AJ31" s="11">
        <f t="shared" si="14"/>
        <v>0</v>
      </c>
      <c r="AK31" s="11">
        <f t="shared" si="62"/>
        <v>0</v>
      </c>
      <c r="AL31" s="11">
        <f t="shared" si="15"/>
        <v>0</v>
      </c>
      <c r="AM31" s="99"/>
      <c r="AN31" s="11">
        <f t="shared" si="16"/>
        <v>0</v>
      </c>
      <c r="AO31" s="11">
        <f t="shared" si="63"/>
        <v>0</v>
      </c>
      <c r="AP31" s="11">
        <f t="shared" si="17"/>
        <v>0</v>
      </c>
      <c r="AQ31" s="99"/>
      <c r="AR31" s="11">
        <f t="shared" si="18"/>
        <v>0</v>
      </c>
      <c r="AS31" s="11">
        <f t="shared" si="64"/>
        <v>0</v>
      </c>
      <c r="AT31" s="11">
        <f t="shared" si="19"/>
        <v>0</v>
      </c>
      <c r="AU31" s="256"/>
      <c r="AV31" s="11">
        <f t="shared" si="20"/>
        <v>0</v>
      </c>
      <c r="AW31" s="9">
        <f t="shared" si="65"/>
        <v>0</v>
      </c>
      <c r="AX31" s="11">
        <f t="shared" si="21"/>
        <v>0</v>
      </c>
      <c r="AY31" s="99"/>
      <c r="AZ31" s="11">
        <f t="shared" si="22"/>
        <v>0</v>
      </c>
      <c r="BA31" s="11">
        <f t="shared" si="66"/>
        <v>0</v>
      </c>
      <c r="BB31" s="11">
        <f t="shared" si="23"/>
        <v>0</v>
      </c>
      <c r="BC31" s="99"/>
      <c r="BD31" s="11">
        <f t="shared" si="24"/>
        <v>0</v>
      </c>
      <c r="BE31" s="11">
        <f t="shared" si="67"/>
        <v>0</v>
      </c>
      <c r="BF31" s="11">
        <f t="shared" si="25"/>
        <v>0</v>
      </c>
      <c r="BG31" s="99"/>
      <c r="BH31" s="11">
        <f t="shared" si="26"/>
        <v>0</v>
      </c>
      <c r="BI31" s="11">
        <f t="shared" si="68"/>
        <v>0</v>
      </c>
      <c r="BJ31" s="11">
        <f t="shared" si="27"/>
        <v>0</v>
      </c>
      <c r="BK31" s="99"/>
      <c r="BL31" s="11"/>
      <c r="BM31" s="11"/>
      <c r="BN31" s="11"/>
      <c r="BO31" s="99"/>
      <c r="BP31" s="11"/>
      <c r="BQ31" s="11"/>
      <c r="BR31" s="11"/>
      <c r="BS31" s="99"/>
      <c r="BT31" s="11"/>
      <c r="BU31" s="11"/>
      <c r="BV31" s="11"/>
      <c r="BW31" s="11">
        <f t="shared" si="69"/>
        <v>0</v>
      </c>
      <c r="BX31" s="11">
        <f t="shared" si="28"/>
        <v>0</v>
      </c>
      <c r="BY31" s="11">
        <f t="shared" si="70"/>
        <v>64750</v>
      </c>
      <c r="BZ31" s="11">
        <f t="shared" si="29"/>
        <v>6.2131893619039893</v>
      </c>
      <c r="CA31" s="11"/>
      <c r="CB31" s="11">
        <f t="shared" si="71"/>
        <v>0</v>
      </c>
      <c r="CC31" s="11">
        <f t="shared" si="101"/>
        <v>0</v>
      </c>
      <c r="CD31" s="11">
        <f t="shared" si="72"/>
        <v>0</v>
      </c>
      <c r="CE31" s="11"/>
      <c r="CF31" s="11">
        <f t="shared" si="102"/>
        <v>0</v>
      </c>
      <c r="CG31" s="11">
        <f t="shared" si="103"/>
        <v>0</v>
      </c>
      <c r="CH31" s="11">
        <f t="shared" si="104"/>
        <v>0</v>
      </c>
      <c r="CI31" s="11">
        <f t="shared" si="73"/>
        <v>0</v>
      </c>
      <c r="CJ31" s="11">
        <f t="shared" si="105"/>
        <v>0</v>
      </c>
      <c r="CK31" s="11">
        <f t="shared" si="106"/>
        <v>0</v>
      </c>
      <c r="CL31" s="11">
        <f t="shared" si="107"/>
        <v>0</v>
      </c>
      <c r="CM31" s="99">
        <v>6997.8069346093744</v>
      </c>
      <c r="CN31" s="11">
        <f t="shared" si="74"/>
        <v>14.219653179190752</v>
      </c>
      <c r="CO31" s="11">
        <f t="shared" si="75"/>
        <v>6997.8069346093744</v>
      </c>
      <c r="CP31" s="11">
        <f t="shared" si="76"/>
        <v>0.67148570815093322</v>
      </c>
      <c r="CQ31" s="99">
        <v>27400.96556814016</v>
      </c>
      <c r="CR31" s="11">
        <f t="shared" si="30"/>
        <v>55.679190751445084</v>
      </c>
      <c r="CS31" s="11">
        <f t="shared" si="77"/>
        <v>536851.86942254356</v>
      </c>
      <c r="CT31" s="11">
        <f t="shared" si="31"/>
        <v>51.514476046554705</v>
      </c>
      <c r="CU31" s="99">
        <v>11902.435168927394</v>
      </c>
      <c r="CV31" s="11">
        <f t="shared" si="32"/>
        <v>24.185934489402698</v>
      </c>
      <c r="CW31" s="11">
        <f t="shared" si="78"/>
        <v>234119.54483800914</v>
      </c>
      <c r="CX31" s="11">
        <f t="shared" si="33"/>
        <v>22.465313751371774</v>
      </c>
      <c r="CY31" s="99">
        <v>2911.0118278117584</v>
      </c>
      <c r="CZ31" s="11">
        <f t="shared" si="34"/>
        <v>5.9152215799614636</v>
      </c>
      <c r="DA31" s="11">
        <f t="shared" si="79"/>
        <v>32917.125710420369</v>
      </c>
      <c r="DB31" s="11">
        <f t="shared" si="35"/>
        <v>3.1586152168098862</v>
      </c>
      <c r="DC31" s="99">
        <v>0</v>
      </c>
      <c r="DD31" s="11">
        <f t="shared" si="36"/>
        <v>0</v>
      </c>
      <c r="DE31" s="11">
        <f t="shared" si="80"/>
        <v>30352.809151004039</v>
      </c>
      <c r="DF31" s="11">
        <f t="shared" si="37"/>
        <v>2.9125521377748318</v>
      </c>
      <c r="DG31" s="99"/>
      <c r="DH31" s="11">
        <f t="shared" si="38"/>
        <v>0</v>
      </c>
      <c r="DI31" s="11">
        <f t="shared" si="81"/>
        <v>1639.0912858224904</v>
      </c>
      <c r="DJ31" s="11">
        <f t="shared" si="39"/>
        <v>0.1572816145214182</v>
      </c>
      <c r="DK31" s="99"/>
      <c r="DL31" s="11">
        <f t="shared" si="82"/>
        <v>0</v>
      </c>
      <c r="DM31" s="11">
        <f t="shared" si="83"/>
        <v>0</v>
      </c>
      <c r="DN31" s="11">
        <f t="shared" si="84"/>
        <v>0</v>
      </c>
      <c r="DO31" s="496"/>
      <c r="DP31" s="11">
        <f t="shared" si="85"/>
        <v>0</v>
      </c>
      <c r="DQ31" s="11">
        <f t="shared" si="86"/>
        <v>0</v>
      </c>
      <c r="DR31" s="11">
        <f t="shared" si="87"/>
        <v>0</v>
      </c>
      <c r="DS31" s="99"/>
      <c r="DT31" s="11">
        <f t="shared" si="108"/>
        <v>0</v>
      </c>
      <c r="DU31" s="11">
        <f t="shared" si="88"/>
        <v>0</v>
      </c>
      <c r="DV31" s="11">
        <f t="shared" si="109"/>
        <v>0</v>
      </c>
      <c r="DW31" s="11">
        <f t="shared" si="89"/>
        <v>49212.219499488689</v>
      </c>
      <c r="DX31" s="11">
        <f t="shared" si="40"/>
        <v>100</v>
      </c>
      <c r="DY31" s="11">
        <f t="shared" si="90"/>
        <v>977387.8816653</v>
      </c>
      <c r="DZ31" s="11">
        <f t="shared" si="41"/>
        <v>93.786810638096014</v>
      </c>
      <c r="EA31" s="99"/>
      <c r="EB31" s="11">
        <f t="shared" si="42"/>
        <v>0</v>
      </c>
      <c r="EC31" s="11">
        <f t="shared" si="91"/>
        <v>0</v>
      </c>
      <c r="ED31" s="11">
        <f t="shared" si="43"/>
        <v>0</v>
      </c>
      <c r="EE31" s="99"/>
      <c r="EF31" s="11">
        <f t="shared" si="44"/>
        <v>0</v>
      </c>
      <c r="EG31" s="11">
        <f t="shared" si="92"/>
        <v>0</v>
      </c>
      <c r="EH31" s="11">
        <f t="shared" si="45"/>
        <v>0</v>
      </c>
      <c r="EI31" s="99"/>
      <c r="EJ31" s="17">
        <f t="shared" si="46"/>
        <v>0</v>
      </c>
      <c r="EK31" s="11">
        <f t="shared" si="93"/>
        <v>0</v>
      </c>
      <c r="EL31" s="11">
        <f t="shared" si="47"/>
        <v>0</v>
      </c>
      <c r="EM31" s="11">
        <f t="shared" si="94"/>
        <v>0</v>
      </c>
      <c r="EN31" s="11">
        <f t="shared" si="48"/>
        <v>0</v>
      </c>
      <c r="EO31" s="11">
        <f t="shared" si="95"/>
        <v>0</v>
      </c>
      <c r="EP31" s="11">
        <f t="shared" si="49"/>
        <v>0</v>
      </c>
      <c r="EQ31" s="99"/>
      <c r="ER31" s="11">
        <f t="shared" si="50"/>
        <v>0</v>
      </c>
      <c r="ES31" s="11">
        <f t="shared" si="96"/>
        <v>0</v>
      </c>
      <c r="ET31" s="11">
        <f t="shared" si="51"/>
        <v>0</v>
      </c>
      <c r="EU31" s="11">
        <f t="shared" si="97"/>
        <v>49212.219499488689</v>
      </c>
      <c r="EV31" s="11">
        <f t="shared" si="98"/>
        <v>1042137.8816653</v>
      </c>
      <c r="EW31" s="11">
        <f t="shared" si="52"/>
        <v>1.0289631275114202</v>
      </c>
      <c r="EX31" s="11">
        <f t="shared" si="53"/>
        <v>1.0552814116473679</v>
      </c>
      <c r="EY31" s="493">
        <f t="shared" si="99"/>
        <v>0.97185212303820023</v>
      </c>
      <c r="EZ31" s="494">
        <f t="shared" si="100"/>
        <v>1.010392105862203</v>
      </c>
      <c r="FA31" s="7" t="s">
        <v>425</v>
      </c>
    </row>
    <row r="32" spans="1:163">
      <c r="A32" s="18">
        <f>+Chem!A31</f>
        <v>46104</v>
      </c>
      <c r="B32" s="6" t="str">
        <f>+Chem!B31</f>
        <v>Toilet</v>
      </c>
      <c r="C32" s="6" t="str">
        <f>+Chem!C31</f>
        <v>14,5/13</v>
      </c>
      <c r="D32" s="9">
        <f>+Chem!D31</f>
        <v>47.481999999999999</v>
      </c>
      <c r="E32" s="7">
        <f>+Chem!E31</f>
        <v>45.936</v>
      </c>
      <c r="F32" s="7">
        <f t="shared" si="54"/>
        <v>1033.481</v>
      </c>
      <c r="G32" s="99"/>
      <c r="H32" s="11">
        <f t="shared" si="0"/>
        <v>0</v>
      </c>
      <c r="I32" s="9">
        <f t="shared" si="55"/>
        <v>44750</v>
      </c>
      <c r="J32" s="11">
        <f t="shared" si="1"/>
        <v>4.0841994570030504</v>
      </c>
      <c r="K32" s="99"/>
      <c r="L32" s="11">
        <f t="shared" si="2"/>
        <v>0</v>
      </c>
      <c r="M32" s="11">
        <f t="shared" si="56"/>
        <v>0</v>
      </c>
      <c r="N32" s="11">
        <f t="shared" si="3"/>
        <v>0</v>
      </c>
      <c r="O32" s="99"/>
      <c r="P32" s="11">
        <f t="shared" si="4"/>
        <v>0</v>
      </c>
      <c r="Q32" s="11">
        <f t="shared" si="57"/>
        <v>0</v>
      </c>
      <c r="R32" s="11">
        <f t="shared" si="5"/>
        <v>0</v>
      </c>
      <c r="S32" s="99"/>
      <c r="T32" s="11">
        <f t="shared" si="6"/>
        <v>0</v>
      </c>
      <c r="U32" s="11">
        <f t="shared" si="58"/>
        <v>20000</v>
      </c>
      <c r="V32" s="11">
        <f t="shared" si="7"/>
        <v>1.825340539442704</v>
      </c>
      <c r="W32" s="99"/>
      <c r="X32" s="11">
        <f t="shared" si="8"/>
        <v>0</v>
      </c>
      <c r="Y32" s="11">
        <f t="shared" si="59"/>
        <v>0</v>
      </c>
      <c r="Z32" s="11">
        <f t="shared" si="9"/>
        <v>0</v>
      </c>
      <c r="AA32" s="99"/>
      <c r="AB32" s="11">
        <f t="shared" si="10"/>
        <v>0</v>
      </c>
      <c r="AC32" s="11">
        <f t="shared" si="60"/>
        <v>0</v>
      </c>
      <c r="AD32" s="11">
        <f t="shared" si="11"/>
        <v>0</v>
      </c>
      <c r="AE32" s="99"/>
      <c r="AF32" s="11">
        <f t="shared" si="12"/>
        <v>0</v>
      </c>
      <c r="AG32" s="11">
        <f t="shared" si="61"/>
        <v>0</v>
      </c>
      <c r="AH32" s="11">
        <f t="shared" si="13"/>
        <v>0</v>
      </c>
      <c r="AI32" s="99"/>
      <c r="AJ32" s="11">
        <f t="shared" si="14"/>
        <v>0</v>
      </c>
      <c r="AK32" s="11">
        <f t="shared" si="62"/>
        <v>0</v>
      </c>
      <c r="AL32" s="11">
        <f t="shared" si="15"/>
        <v>0</v>
      </c>
      <c r="AM32" s="99"/>
      <c r="AN32" s="11">
        <f t="shared" si="16"/>
        <v>0</v>
      </c>
      <c r="AO32" s="11">
        <f t="shared" si="63"/>
        <v>0</v>
      </c>
      <c r="AP32" s="11">
        <f t="shared" si="17"/>
        <v>0</v>
      </c>
      <c r="AQ32" s="99"/>
      <c r="AR32" s="11">
        <f t="shared" si="18"/>
        <v>0</v>
      </c>
      <c r="AS32" s="11">
        <f t="shared" si="64"/>
        <v>0</v>
      </c>
      <c r="AT32" s="11">
        <f t="shared" si="19"/>
        <v>0</v>
      </c>
      <c r="AU32" s="256"/>
      <c r="AV32" s="11">
        <f t="shared" si="20"/>
        <v>0</v>
      </c>
      <c r="AW32" s="9">
        <f t="shared" si="65"/>
        <v>0</v>
      </c>
      <c r="AX32" s="11">
        <f t="shared" si="21"/>
        <v>0</v>
      </c>
      <c r="AY32" s="99"/>
      <c r="AZ32" s="11">
        <f t="shared" si="22"/>
        <v>0</v>
      </c>
      <c r="BA32" s="11">
        <f t="shared" si="66"/>
        <v>0</v>
      </c>
      <c r="BB32" s="11">
        <f t="shared" si="23"/>
        <v>0</v>
      </c>
      <c r="BC32" s="99"/>
      <c r="BD32" s="11">
        <f t="shared" si="24"/>
        <v>0</v>
      </c>
      <c r="BE32" s="11">
        <f t="shared" si="67"/>
        <v>0</v>
      </c>
      <c r="BF32" s="11">
        <f t="shared" si="25"/>
        <v>0</v>
      </c>
      <c r="BG32" s="99"/>
      <c r="BH32" s="11">
        <f t="shared" si="26"/>
        <v>0</v>
      </c>
      <c r="BI32" s="11">
        <f t="shared" si="68"/>
        <v>0</v>
      </c>
      <c r="BJ32" s="11">
        <f t="shared" si="27"/>
        <v>0</v>
      </c>
      <c r="BK32" s="99"/>
      <c r="BL32" s="11"/>
      <c r="BM32" s="11"/>
      <c r="BN32" s="11"/>
      <c r="BO32" s="99"/>
      <c r="BP32" s="11"/>
      <c r="BQ32" s="11"/>
      <c r="BR32" s="11"/>
      <c r="BS32" s="99"/>
      <c r="BT32" s="11"/>
      <c r="BU32" s="11"/>
      <c r="BV32" s="11"/>
      <c r="BW32" s="11">
        <f t="shared" si="69"/>
        <v>0</v>
      </c>
      <c r="BX32" s="11">
        <f t="shared" si="28"/>
        <v>0</v>
      </c>
      <c r="BY32" s="11">
        <f t="shared" si="70"/>
        <v>64750</v>
      </c>
      <c r="BZ32" s="11">
        <f t="shared" si="29"/>
        <v>5.909539996445754</v>
      </c>
      <c r="CA32" s="11"/>
      <c r="CB32" s="11">
        <f t="shared" si="71"/>
        <v>0</v>
      </c>
      <c r="CC32" s="11">
        <f t="shared" si="101"/>
        <v>0</v>
      </c>
      <c r="CD32" s="11">
        <f t="shared" si="72"/>
        <v>0</v>
      </c>
      <c r="CE32" s="11"/>
      <c r="CF32" s="11">
        <f t="shared" si="102"/>
        <v>0</v>
      </c>
      <c r="CG32" s="11">
        <f t="shared" si="103"/>
        <v>0</v>
      </c>
      <c r="CH32" s="11">
        <f t="shared" si="104"/>
        <v>0</v>
      </c>
      <c r="CI32" s="11">
        <f t="shared" si="73"/>
        <v>0</v>
      </c>
      <c r="CJ32" s="11">
        <f t="shared" si="105"/>
        <v>0</v>
      </c>
      <c r="CK32" s="11">
        <f t="shared" si="106"/>
        <v>0</v>
      </c>
      <c r="CL32" s="11">
        <f t="shared" si="107"/>
        <v>0</v>
      </c>
      <c r="CM32" s="99">
        <v>0</v>
      </c>
      <c r="CN32" s="11">
        <f t="shared" si="74"/>
        <v>0</v>
      </c>
      <c r="CO32" s="11">
        <f t="shared" si="75"/>
        <v>0</v>
      </c>
      <c r="CP32" s="11">
        <f t="shared" si="76"/>
        <v>0</v>
      </c>
      <c r="CQ32" s="99">
        <v>37210.931516681412</v>
      </c>
      <c r="CR32" s="11">
        <f t="shared" si="30"/>
        <v>69.490695396669935</v>
      </c>
      <c r="CS32" s="11">
        <f t="shared" si="77"/>
        <v>574062.80093922501</v>
      </c>
      <c r="CT32" s="11">
        <f t="shared" si="31"/>
        <v>52.393005137019735</v>
      </c>
      <c r="CU32" s="99">
        <v>12403.643838893806</v>
      </c>
      <c r="CV32" s="11">
        <f t="shared" si="32"/>
        <v>23.163565132223315</v>
      </c>
      <c r="CW32" s="11">
        <f t="shared" si="78"/>
        <v>246523.18867690294</v>
      </c>
      <c r="CX32" s="11">
        <f t="shared" si="33"/>
        <v>22.499438510231677</v>
      </c>
      <c r="CY32" s="99">
        <v>2243.5531491539182</v>
      </c>
      <c r="CZ32" s="11">
        <f t="shared" si="34"/>
        <v>4.1897921427794111</v>
      </c>
      <c r="DA32" s="11">
        <f t="shared" si="79"/>
        <v>35160.678859574284</v>
      </c>
      <c r="DB32" s="11">
        <f t="shared" si="35"/>
        <v>3.2090106258353503</v>
      </c>
      <c r="DC32" s="99">
        <v>448.71062983078366</v>
      </c>
      <c r="DD32" s="11">
        <f t="shared" si="36"/>
        <v>0.83795842855588221</v>
      </c>
      <c r="DE32" s="11">
        <f t="shared" si="80"/>
        <v>30801.519780834824</v>
      </c>
      <c r="DF32" s="11">
        <f t="shared" si="37"/>
        <v>2.8111631366202077</v>
      </c>
      <c r="DG32" s="99">
        <v>1241.238495505934</v>
      </c>
      <c r="DH32" s="11">
        <f t="shared" si="38"/>
        <v>2.3179888997714664</v>
      </c>
      <c r="DI32" s="11">
        <f t="shared" si="81"/>
        <v>2880.3297813284244</v>
      </c>
      <c r="DJ32" s="11">
        <f t="shared" si="39"/>
        <v>0.26287913584114558</v>
      </c>
      <c r="DK32" s="99"/>
      <c r="DL32" s="11">
        <f t="shared" si="82"/>
        <v>0</v>
      </c>
      <c r="DM32" s="11">
        <f t="shared" si="83"/>
        <v>0</v>
      </c>
      <c r="DN32" s="11">
        <f t="shared" si="84"/>
        <v>0</v>
      </c>
      <c r="DO32" s="496"/>
      <c r="DP32" s="11">
        <f t="shared" si="85"/>
        <v>0</v>
      </c>
      <c r="DQ32" s="11">
        <f t="shared" si="86"/>
        <v>0</v>
      </c>
      <c r="DR32" s="11">
        <f t="shared" si="87"/>
        <v>0</v>
      </c>
      <c r="DS32" s="99"/>
      <c r="DT32" s="11">
        <f t="shared" si="108"/>
        <v>0</v>
      </c>
      <c r="DU32" s="11">
        <f t="shared" si="88"/>
        <v>0</v>
      </c>
      <c r="DV32" s="11">
        <f t="shared" si="109"/>
        <v>0</v>
      </c>
      <c r="DW32" s="11">
        <f t="shared" si="89"/>
        <v>53548.077630065847</v>
      </c>
      <c r="DX32" s="11">
        <f t="shared" si="40"/>
        <v>100</v>
      </c>
      <c r="DY32" s="11">
        <f t="shared" si="90"/>
        <v>1030935.9592953658</v>
      </c>
      <c r="DZ32" s="11">
        <f t="shared" si="41"/>
        <v>94.090460003554227</v>
      </c>
      <c r="EA32" s="99"/>
      <c r="EB32" s="11">
        <f t="shared" si="42"/>
        <v>0</v>
      </c>
      <c r="EC32" s="11">
        <f t="shared" si="91"/>
        <v>0</v>
      </c>
      <c r="ED32" s="11">
        <f t="shared" si="43"/>
        <v>0</v>
      </c>
      <c r="EE32" s="99"/>
      <c r="EF32" s="11">
        <f t="shared" si="44"/>
        <v>0</v>
      </c>
      <c r="EG32" s="11">
        <f t="shared" si="92"/>
        <v>0</v>
      </c>
      <c r="EH32" s="11">
        <f t="shared" si="45"/>
        <v>0</v>
      </c>
      <c r="EI32" s="99"/>
      <c r="EJ32" s="17">
        <f t="shared" si="46"/>
        <v>0</v>
      </c>
      <c r="EK32" s="11">
        <f t="shared" si="93"/>
        <v>0</v>
      </c>
      <c r="EL32" s="11">
        <f t="shared" si="47"/>
        <v>0</v>
      </c>
      <c r="EM32" s="11">
        <f t="shared" si="94"/>
        <v>0</v>
      </c>
      <c r="EN32" s="11">
        <f t="shared" si="48"/>
        <v>0</v>
      </c>
      <c r="EO32" s="11">
        <f t="shared" si="95"/>
        <v>0</v>
      </c>
      <c r="EP32" s="11">
        <f t="shared" si="49"/>
        <v>0</v>
      </c>
      <c r="EQ32" s="99"/>
      <c r="ER32" s="11">
        <f t="shared" si="50"/>
        <v>0</v>
      </c>
      <c r="ES32" s="11">
        <f t="shared" si="96"/>
        <v>0</v>
      </c>
      <c r="ET32" s="11">
        <f t="shared" si="51"/>
        <v>0</v>
      </c>
      <c r="EU32" s="11">
        <f t="shared" si="97"/>
        <v>53548.077630065847</v>
      </c>
      <c r="EV32" s="11">
        <f t="shared" si="98"/>
        <v>1095685.959295366</v>
      </c>
      <c r="EW32" s="11">
        <f t="shared" si="52"/>
        <v>1.1657105022219141</v>
      </c>
      <c r="EX32" s="11">
        <f t="shared" si="53"/>
        <v>1.0601897463962724</v>
      </c>
      <c r="EY32" s="493">
        <f t="shared" si="99"/>
        <v>0.85784592151648287</v>
      </c>
      <c r="EZ32" s="494">
        <f t="shared" si="100"/>
        <v>1.0024686700291001</v>
      </c>
      <c r="FA32" s="7" t="s">
        <v>425</v>
      </c>
    </row>
    <row r="33" spans="1:157">
      <c r="A33" s="18">
        <f>+Chem!A32</f>
        <v>46105</v>
      </c>
      <c r="B33" s="6" t="str">
        <f>+Chem!B32</f>
        <v>Toilet</v>
      </c>
      <c r="C33" s="6" t="str">
        <f>+Chem!C32</f>
        <v>13/15</v>
      </c>
      <c r="D33" s="9">
        <f>+Chem!D32</f>
        <v>52.5</v>
      </c>
      <c r="E33" s="7">
        <f>+Chem!E32</f>
        <v>51.058999999999997</v>
      </c>
      <c r="F33" s="7">
        <f t="shared" si="54"/>
        <v>1084.54</v>
      </c>
      <c r="G33" s="99"/>
      <c r="H33" s="11">
        <f t="shared" si="0"/>
        <v>0</v>
      </c>
      <c r="I33" s="9">
        <f t="shared" si="55"/>
        <v>44750</v>
      </c>
      <c r="J33" s="11">
        <f t="shared" si="1"/>
        <v>3.8782879828454666</v>
      </c>
      <c r="K33" s="99"/>
      <c r="L33" s="11">
        <f t="shared" si="2"/>
        <v>0</v>
      </c>
      <c r="M33" s="11">
        <f t="shared" si="56"/>
        <v>0</v>
      </c>
      <c r="N33" s="11">
        <f t="shared" si="3"/>
        <v>0</v>
      </c>
      <c r="O33" s="99"/>
      <c r="P33" s="11">
        <f t="shared" si="4"/>
        <v>0</v>
      </c>
      <c r="Q33" s="11">
        <f t="shared" si="57"/>
        <v>0</v>
      </c>
      <c r="R33" s="11">
        <f t="shared" si="5"/>
        <v>0</v>
      </c>
      <c r="S33" s="99">
        <f>8.25*S7</f>
        <v>2062.5</v>
      </c>
      <c r="T33" s="11">
        <f t="shared" si="6"/>
        <v>3.5454173655443517</v>
      </c>
      <c r="U33" s="11">
        <f t="shared" si="58"/>
        <v>22062.5</v>
      </c>
      <c r="V33" s="11">
        <f t="shared" si="7"/>
        <v>1.9120609747827508</v>
      </c>
      <c r="W33" s="99"/>
      <c r="X33" s="11">
        <f t="shared" si="8"/>
        <v>0</v>
      </c>
      <c r="Y33" s="11">
        <f t="shared" si="59"/>
        <v>0</v>
      </c>
      <c r="Z33" s="11">
        <f t="shared" si="9"/>
        <v>0</v>
      </c>
      <c r="AA33" s="99"/>
      <c r="AB33" s="11">
        <f t="shared" si="10"/>
        <v>0</v>
      </c>
      <c r="AC33" s="11">
        <f t="shared" si="60"/>
        <v>0</v>
      </c>
      <c r="AD33" s="11">
        <f t="shared" si="11"/>
        <v>0</v>
      </c>
      <c r="AE33" s="99"/>
      <c r="AF33" s="11">
        <f t="shared" si="12"/>
        <v>0</v>
      </c>
      <c r="AG33" s="11">
        <f t="shared" si="61"/>
        <v>0</v>
      </c>
      <c r="AH33" s="11">
        <f t="shared" si="13"/>
        <v>0</v>
      </c>
      <c r="AI33" s="99"/>
      <c r="AJ33" s="11">
        <f t="shared" si="14"/>
        <v>0</v>
      </c>
      <c r="AK33" s="11">
        <f t="shared" si="62"/>
        <v>0</v>
      </c>
      <c r="AL33" s="11">
        <f t="shared" si="15"/>
        <v>0</v>
      </c>
      <c r="AM33" s="99"/>
      <c r="AN33" s="11">
        <f t="shared" si="16"/>
        <v>0</v>
      </c>
      <c r="AO33" s="11">
        <f t="shared" si="63"/>
        <v>0</v>
      </c>
      <c r="AP33" s="11">
        <f t="shared" si="17"/>
        <v>0</v>
      </c>
      <c r="AQ33" s="99"/>
      <c r="AR33" s="11">
        <f t="shared" si="18"/>
        <v>0</v>
      </c>
      <c r="AS33" s="11">
        <f t="shared" si="64"/>
        <v>0</v>
      </c>
      <c r="AT33" s="11">
        <f t="shared" si="19"/>
        <v>0</v>
      </c>
      <c r="AU33" s="256"/>
      <c r="AV33" s="11">
        <f t="shared" si="20"/>
        <v>0</v>
      </c>
      <c r="AW33" s="9">
        <f t="shared" si="65"/>
        <v>0</v>
      </c>
      <c r="AX33" s="11">
        <f t="shared" si="21"/>
        <v>0</v>
      </c>
      <c r="AY33" s="99"/>
      <c r="AZ33" s="11">
        <f t="shared" si="22"/>
        <v>0</v>
      </c>
      <c r="BA33" s="11">
        <f t="shared" si="66"/>
        <v>0</v>
      </c>
      <c r="BB33" s="11">
        <f t="shared" si="23"/>
        <v>0</v>
      </c>
      <c r="BC33" s="99"/>
      <c r="BD33" s="11">
        <f t="shared" si="24"/>
        <v>0</v>
      </c>
      <c r="BE33" s="11">
        <f t="shared" si="67"/>
        <v>0</v>
      </c>
      <c r="BF33" s="11">
        <f t="shared" si="25"/>
        <v>0</v>
      </c>
      <c r="BG33" s="99"/>
      <c r="BH33" s="11">
        <f t="shared" si="26"/>
        <v>0</v>
      </c>
      <c r="BI33" s="11">
        <f t="shared" si="68"/>
        <v>0</v>
      </c>
      <c r="BJ33" s="11">
        <f t="shared" si="27"/>
        <v>0</v>
      </c>
      <c r="BK33" s="99"/>
      <c r="BL33" s="11"/>
      <c r="BM33" s="11"/>
      <c r="BN33" s="11"/>
      <c r="BO33" s="99"/>
      <c r="BP33" s="11"/>
      <c r="BQ33" s="11"/>
      <c r="BR33" s="11"/>
      <c r="BS33" s="99"/>
      <c r="BT33" s="11"/>
      <c r="BU33" s="11"/>
      <c r="BV33" s="11"/>
      <c r="BW33" s="11">
        <f t="shared" si="69"/>
        <v>2062.5</v>
      </c>
      <c r="BX33" s="11">
        <f t="shared" si="28"/>
        <v>3.5454173655443517</v>
      </c>
      <c r="BY33" s="11">
        <f t="shared" si="70"/>
        <v>66812.5</v>
      </c>
      <c r="BZ33" s="11">
        <f t="shared" si="29"/>
        <v>5.7903489576282174</v>
      </c>
      <c r="CA33" s="11"/>
      <c r="CB33" s="11">
        <f t="shared" si="71"/>
        <v>0</v>
      </c>
      <c r="CC33" s="11">
        <f t="shared" si="101"/>
        <v>0</v>
      </c>
      <c r="CD33" s="11">
        <f t="shared" si="72"/>
        <v>0</v>
      </c>
      <c r="CE33" s="11"/>
      <c r="CF33" s="11">
        <f t="shared" si="102"/>
        <v>0</v>
      </c>
      <c r="CG33" s="11">
        <f t="shared" si="103"/>
        <v>0</v>
      </c>
      <c r="CH33" s="11">
        <f t="shared" si="104"/>
        <v>0</v>
      </c>
      <c r="CI33" s="11">
        <f t="shared" si="73"/>
        <v>0</v>
      </c>
      <c r="CJ33" s="11">
        <f t="shared" si="105"/>
        <v>0</v>
      </c>
      <c r="CK33" s="11">
        <f t="shared" si="106"/>
        <v>0</v>
      </c>
      <c r="CL33" s="11">
        <f t="shared" si="107"/>
        <v>0</v>
      </c>
      <c r="CM33" s="99">
        <v>0</v>
      </c>
      <c r="CN33" s="11">
        <f t="shared" si="74"/>
        <v>0</v>
      </c>
      <c r="CO33" s="11">
        <f t="shared" si="75"/>
        <v>0</v>
      </c>
      <c r="CP33" s="11">
        <f t="shared" si="76"/>
        <v>0</v>
      </c>
      <c r="CQ33" s="99">
        <v>31129.791280600803</v>
      </c>
      <c r="CR33" s="11">
        <f t="shared" si="30"/>
        <v>53.511807317339745</v>
      </c>
      <c r="CS33" s="11">
        <f t="shared" si="77"/>
        <v>605192.59221982583</v>
      </c>
      <c r="CT33" s="11">
        <f t="shared" si="31"/>
        <v>52.449411345547425</v>
      </c>
      <c r="CU33" s="99">
        <v>10729.90831951624</v>
      </c>
      <c r="CV33" s="11">
        <f t="shared" si="32"/>
        <v>18.444607654163242</v>
      </c>
      <c r="CW33" s="11">
        <f t="shared" si="78"/>
        <v>257253.09699641919</v>
      </c>
      <c r="CX33" s="11">
        <f t="shared" si="33"/>
        <v>22.295007701251212</v>
      </c>
      <c r="CY33" s="99">
        <v>1763.9959036379596</v>
      </c>
      <c r="CZ33" s="11">
        <f t="shared" si="34"/>
        <v>3.0322917379428471</v>
      </c>
      <c r="DA33" s="11">
        <f t="shared" si="79"/>
        <v>36924.674763212242</v>
      </c>
      <c r="DB33" s="11">
        <f t="shared" si="35"/>
        <v>3.2001010593216384</v>
      </c>
      <c r="DC33" s="99">
        <v>926.80191163561892</v>
      </c>
      <c r="DD33" s="11">
        <f>DC33/EU33*100</f>
        <v>1.5931634385127877</v>
      </c>
      <c r="DE33" s="11">
        <f>DC33+DE32</f>
        <v>31728.321692470443</v>
      </c>
      <c r="DF33" s="11">
        <f t="shared" si="37"/>
        <v>2.7497557259388437</v>
      </c>
      <c r="DG33" s="99">
        <v>560.68955427679703</v>
      </c>
      <c r="DH33" s="11">
        <f t="shared" si="38"/>
        <v>0.96381987026049853</v>
      </c>
      <c r="DI33" s="11">
        <f t="shared" si="81"/>
        <v>3441.0193356052214</v>
      </c>
      <c r="DJ33" s="11">
        <f t="shared" si="39"/>
        <v>0.29821818855903065</v>
      </c>
      <c r="DK33" s="99"/>
      <c r="DL33" s="11">
        <f t="shared" si="82"/>
        <v>0</v>
      </c>
      <c r="DM33" s="11">
        <f t="shared" si="83"/>
        <v>0</v>
      </c>
      <c r="DN33" s="11">
        <f t="shared" si="84"/>
        <v>0</v>
      </c>
      <c r="DO33" s="99"/>
      <c r="DP33" s="11">
        <f t="shared" si="85"/>
        <v>0</v>
      </c>
      <c r="DQ33" s="11">
        <f t="shared" si="86"/>
        <v>0</v>
      </c>
      <c r="DR33" s="11">
        <f t="shared" si="87"/>
        <v>0</v>
      </c>
      <c r="DS33" s="99"/>
      <c r="DT33" s="11">
        <f t="shared" si="108"/>
        <v>0</v>
      </c>
      <c r="DU33" s="11">
        <f t="shared" si="88"/>
        <v>0</v>
      </c>
      <c r="DV33" s="11">
        <f t="shared" si="109"/>
        <v>0</v>
      </c>
      <c r="DW33" s="11">
        <f t="shared" si="89"/>
        <v>45111.186969667411</v>
      </c>
      <c r="DX33" s="11">
        <f t="shared" si="40"/>
        <v>77.545690018219105</v>
      </c>
      <c r="DY33" s="11">
        <f t="shared" si="90"/>
        <v>1076047.1462650332</v>
      </c>
      <c r="DZ33" s="11">
        <f t="shared" si="41"/>
        <v>93.256328856644387</v>
      </c>
      <c r="EA33" s="99">
        <f>44*EA7</f>
        <v>11000</v>
      </c>
      <c r="EB33" s="11">
        <f t="shared" si="42"/>
        <v>18.908892616236542</v>
      </c>
      <c r="EC33" s="11">
        <f t="shared" si="91"/>
        <v>11000</v>
      </c>
      <c r="ED33" s="11">
        <f t="shared" si="43"/>
        <v>0.95332218572737726</v>
      </c>
      <c r="EE33" s="99"/>
      <c r="EF33" s="11">
        <f t="shared" si="44"/>
        <v>0</v>
      </c>
      <c r="EG33" s="11">
        <f t="shared" si="92"/>
        <v>0</v>
      </c>
      <c r="EH33" s="11">
        <f t="shared" si="45"/>
        <v>0</v>
      </c>
      <c r="EI33" s="99"/>
      <c r="EJ33" s="17">
        <f t="shared" si="46"/>
        <v>0</v>
      </c>
      <c r="EK33" s="11">
        <f t="shared" si="93"/>
        <v>0</v>
      </c>
      <c r="EL33" s="11">
        <f t="shared" si="47"/>
        <v>0</v>
      </c>
      <c r="EM33" s="11">
        <f t="shared" si="94"/>
        <v>11000</v>
      </c>
      <c r="EN33" s="11">
        <f t="shared" si="48"/>
        <v>18.908892616236542</v>
      </c>
      <c r="EO33" s="11">
        <f t="shared" si="95"/>
        <v>11000</v>
      </c>
      <c r="EP33" s="11">
        <f t="shared" si="49"/>
        <v>0.95332218572737726</v>
      </c>
      <c r="EQ33" s="99"/>
      <c r="ER33" s="11">
        <f t="shared" si="50"/>
        <v>0</v>
      </c>
      <c r="ES33" s="11">
        <f t="shared" si="96"/>
        <v>0</v>
      </c>
      <c r="ET33" s="11">
        <f t="shared" si="51"/>
        <v>0</v>
      </c>
      <c r="EU33" s="11">
        <f t="shared" si="97"/>
        <v>58173.686969667411</v>
      </c>
      <c r="EV33" s="11">
        <f t="shared" si="98"/>
        <v>1153859.6462650334</v>
      </c>
      <c r="EW33" s="11">
        <f t="shared" si="52"/>
        <v>1.1393424659642259</v>
      </c>
      <c r="EX33" s="11">
        <f t="shared" si="53"/>
        <v>1.0639161729996436</v>
      </c>
      <c r="EY33" s="493">
        <f t="shared" si="99"/>
        <v>1.1318478503864657</v>
      </c>
      <c r="EZ33" s="494">
        <f t="shared" si="100"/>
        <v>1.007892640916753</v>
      </c>
      <c r="FA33" s="7" t="s">
        <v>425</v>
      </c>
    </row>
    <row r="34" spans="1:157">
      <c r="A34" s="18">
        <f>+Chem!A33</f>
        <v>46106</v>
      </c>
      <c r="B34" s="6" t="str">
        <f>+Chem!B33</f>
        <v>Toilet</v>
      </c>
      <c r="C34" s="6" t="str">
        <f>+Chem!C33</f>
        <v>15</v>
      </c>
      <c r="D34" s="9">
        <f>+Chem!D33</f>
        <v>53.8</v>
      </c>
      <c r="E34" s="7">
        <f>+Chem!E33</f>
        <v>53.16</v>
      </c>
      <c r="F34" s="7">
        <f t="shared" si="54"/>
        <v>1137.7</v>
      </c>
      <c r="G34" s="99"/>
      <c r="H34" s="11">
        <f t="shared" si="0"/>
        <v>0</v>
      </c>
      <c r="I34" s="9">
        <f t="shared" si="55"/>
        <v>44750</v>
      </c>
      <c r="J34" s="11">
        <f t="shared" si="1"/>
        <v>3.6988824668261024</v>
      </c>
      <c r="K34" s="99"/>
      <c r="L34" s="11">
        <f t="shared" si="2"/>
        <v>0</v>
      </c>
      <c r="M34" s="11">
        <f t="shared" si="56"/>
        <v>0</v>
      </c>
      <c r="N34" s="11">
        <f t="shared" si="3"/>
        <v>0</v>
      </c>
      <c r="O34" s="99"/>
      <c r="P34" s="11">
        <f t="shared" si="4"/>
        <v>0</v>
      </c>
      <c r="Q34" s="11">
        <f t="shared" si="57"/>
        <v>0</v>
      </c>
      <c r="R34" s="11">
        <f t="shared" si="5"/>
        <v>0</v>
      </c>
      <c r="S34" s="99"/>
      <c r="T34" s="11">
        <f t="shared" si="6"/>
        <v>0</v>
      </c>
      <c r="U34" s="11">
        <f t="shared" si="58"/>
        <v>22062.5</v>
      </c>
      <c r="V34" s="11">
        <f t="shared" si="7"/>
        <v>1.8236110485888464</v>
      </c>
      <c r="W34" s="99"/>
      <c r="X34" s="11">
        <f t="shared" si="8"/>
        <v>0</v>
      </c>
      <c r="Y34" s="11">
        <f t="shared" si="59"/>
        <v>0</v>
      </c>
      <c r="Z34" s="11">
        <f t="shared" si="9"/>
        <v>0</v>
      </c>
      <c r="AA34" s="99"/>
      <c r="AB34" s="11">
        <f t="shared" si="10"/>
        <v>0</v>
      </c>
      <c r="AC34" s="11">
        <f t="shared" si="60"/>
        <v>0</v>
      </c>
      <c r="AD34" s="11">
        <f t="shared" si="11"/>
        <v>0</v>
      </c>
      <c r="AE34" s="99"/>
      <c r="AF34" s="11">
        <f t="shared" si="12"/>
        <v>0</v>
      </c>
      <c r="AG34" s="11">
        <f t="shared" si="61"/>
        <v>0</v>
      </c>
      <c r="AH34" s="11">
        <f t="shared" si="13"/>
        <v>0</v>
      </c>
      <c r="AI34" s="99"/>
      <c r="AJ34" s="11">
        <f t="shared" si="14"/>
        <v>0</v>
      </c>
      <c r="AK34" s="11">
        <f t="shared" si="62"/>
        <v>0</v>
      </c>
      <c r="AL34" s="11">
        <f t="shared" si="15"/>
        <v>0</v>
      </c>
      <c r="AM34" s="99"/>
      <c r="AN34" s="11">
        <f t="shared" si="16"/>
        <v>0</v>
      </c>
      <c r="AO34" s="11">
        <f t="shared" si="63"/>
        <v>0</v>
      </c>
      <c r="AP34" s="11">
        <f t="shared" si="17"/>
        <v>0</v>
      </c>
      <c r="AQ34" s="99"/>
      <c r="AR34" s="11">
        <f t="shared" si="18"/>
        <v>0</v>
      </c>
      <c r="AS34" s="11">
        <f t="shared" si="64"/>
        <v>0</v>
      </c>
      <c r="AT34" s="11">
        <f t="shared" si="19"/>
        <v>0</v>
      </c>
      <c r="AU34" s="256"/>
      <c r="AV34" s="11">
        <f t="shared" si="20"/>
        <v>0</v>
      </c>
      <c r="AW34" s="9">
        <f t="shared" si="65"/>
        <v>0</v>
      </c>
      <c r="AX34" s="11">
        <f t="shared" si="21"/>
        <v>0</v>
      </c>
      <c r="AY34" s="99"/>
      <c r="AZ34" s="11">
        <f t="shared" si="22"/>
        <v>0</v>
      </c>
      <c r="BA34" s="11">
        <f t="shared" si="66"/>
        <v>0</v>
      </c>
      <c r="BB34" s="11">
        <f t="shared" si="23"/>
        <v>0</v>
      </c>
      <c r="BC34" s="99"/>
      <c r="BD34" s="11">
        <f t="shared" si="24"/>
        <v>0</v>
      </c>
      <c r="BE34" s="11">
        <f t="shared" si="67"/>
        <v>0</v>
      </c>
      <c r="BF34" s="11">
        <f t="shared" si="25"/>
        <v>0</v>
      </c>
      <c r="BG34" s="99"/>
      <c r="BH34" s="11">
        <f t="shared" si="26"/>
        <v>0</v>
      </c>
      <c r="BI34" s="11">
        <f t="shared" si="68"/>
        <v>0</v>
      </c>
      <c r="BJ34" s="11">
        <f t="shared" si="27"/>
        <v>0</v>
      </c>
      <c r="BK34" s="99"/>
      <c r="BL34" s="11"/>
      <c r="BM34" s="11"/>
      <c r="BN34" s="11"/>
      <c r="BO34" s="99"/>
      <c r="BP34" s="11"/>
      <c r="BQ34" s="11"/>
      <c r="BR34" s="11"/>
      <c r="BS34" s="99"/>
      <c r="BT34" s="11"/>
      <c r="BU34" s="11"/>
      <c r="BV34" s="11"/>
      <c r="BW34" s="11">
        <f t="shared" si="69"/>
        <v>0</v>
      </c>
      <c r="BX34" s="11">
        <f t="shared" si="28"/>
        <v>0</v>
      </c>
      <c r="BY34" s="11">
        <f t="shared" si="70"/>
        <v>66812.5</v>
      </c>
      <c r="BZ34" s="11">
        <f t="shared" si="29"/>
        <v>5.5224935154149488</v>
      </c>
      <c r="CA34" s="11"/>
      <c r="CB34" s="11">
        <f t="shared" si="71"/>
        <v>0</v>
      </c>
      <c r="CC34" s="11">
        <f t="shared" si="101"/>
        <v>0</v>
      </c>
      <c r="CD34" s="11">
        <f t="shared" si="72"/>
        <v>0</v>
      </c>
      <c r="CE34" s="11"/>
      <c r="CF34" s="11">
        <f t="shared" si="102"/>
        <v>0</v>
      </c>
      <c r="CG34" s="11">
        <f t="shared" si="103"/>
        <v>0</v>
      </c>
      <c r="CH34" s="11">
        <f t="shared" si="104"/>
        <v>0</v>
      </c>
      <c r="CI34" s="11">
        <f t="shared" si="73"/>
        <v>0</v>
      </c>
      <c r="CJ34" s="11">
        <f t="shared" si="105"/>
        <v>0</v>
      </c>
      <c r="CK34" s="11">
        <f t="shared" si="106"/>
        <v>0</v>
      </c>
      <c r="CL34" s="11">
        <f t="shared" si="107"/>
        <v>0</v>
      </c>
      <c r="CM34" s="99">
        <v>0</v>
      </c>
      <c r="CN34" s="11">
        <f t="shared" si="74"/>
        <v>0</v>
      </c>
      <c r="CO34" s="11">
        <f t="shared" si="75"/>
        <v>0</v>
      </c>
      <c r="CP34" s="11">
        <f t="shared" si="76"/>
        <v>0</v>
      </c>
      <c r="CQ34" s="99">
        <v>38636.167195624286</v>
      </c>
      <c r="CR34" s="11">
        <f t="shared" si="30"/>
        <v>69.036027263875368</v>
      </c>
      <c r="CS34" s="11">
        <f t="shared" si="77"/>
        <v>643828.75941545016</v>
      </c>
      <c r="CT34" s="11">
        <f t="shared" si="31"/>
        <v>53.216690722686245</v>
      </c>
      <c r="CU34" s="99">
        <v>13805.118509014788</v>
      </c>
      <c r="CV34" s="11">
        <f t="shared" si="32"/>
        <v>24.66731580655631</v>
      </c>
      <c r="CW34" s="11">
        <f t="shared" si="78"/>
        <v>271058.21550543397</v>
      </c>
      <c r="CX34" s="11">
        <f t="shared" si="33"/>
        <v>22.404748174798232</v>
      </c>
      <c r="CY34" s="99">
        <v>1479.1198402515845</v>
      </c>
      <c r="CZ34" s="11">
        <f t="shared" si="34"/>
        <v>2.642926693559605</v>
      </c>
      <c r="DA34" s="11">
        <f t="shared" si="79"/>
        <v>38403.79460346383</v>
      </c>
      <c r="DB34" s="11">
        <f t="shared" si="35"/>
        <v>3.1743267601864411</v>
      </c>
      <c r="DC34" s="99">
        <v>1767.1589670374194</v>
      </c>
      <c r="DD34" s="11">
        <f>DC34/EU34*100</f>
        <v>3.1576018917791071</v>
      </c>
      <c r="DE34" s="11">
        <f>DC34+DE33</f>
        <v>33495.480659507863</v>
      </c>
      <c r="DF34" s="11">
        <f t="shared" si="37"/>
        <v>2.7686222598741104</v>
      </c>
      <c r="DG34" s="99">
        <v>277.6593384331922</v>
      </c>
      <c r="DH34" s="11">
        <f t="shared" si="38"/>
        <v>0.49612834422961011</v>
      </c>
      <c r="DI34" s="11">
        <f t="shared" si="81"/>
        <v>3718.6786740384136</v>
      </c>
      <c r="DJ34" s="11">
        <f t="shared" si="39"/>
        <v>0.30737330384716932</v>
      </c>
      <c r="DK34" s="99"/>
      <c r="DL34" s="11">
        <f t="shared" si="82"/>
        <v>0</v>
      </c>
      <c r="DM34" s="11">
        <f t="shared" si="83"/>
        <v>0</v>
      </c>
      <c r="DN34" s="11">
        <f t="shared" si="84"/>
        <v>0</v>
      </c>
      <c r="DO34" s="99"/>
      <c r="DP34" s="11">
        <f t="shared" si="85"/>
        <v>0</v>
      </c>
      <c r="DQ34" s="11">
        <f t="shared" si="86"/>
        <v>0</v>
      </c>
      <c r="DR34" s="11">
        <f t="shared" si="87"/>
        <v>0</v>
      </c>
      <c r="DS34" s="99"/>
      <c r="DT34" s="11">
        <f t="shared" si="108"/>
        <v>0</v>
      </c>
      <c r="DU34" s="11">
        <f t="shared" si="88"/>
        <v>0</v>
      </c>
      <c r="DV34" s="11">
        <f t="shared" si="109"/>
        <v>0</v>
      </c>
      <c r="DW34" s="11">
        <f t="shared" si="89"/>
        <v>55965.223850361268</v>
      </c>
      <c r="DX34" s="11">
        <f t="shared" si="40"/>
        <v>100</v>
      </c>
      <c r="DY34" s="11">
        <f t="shared" si="90"/>
        <v>1132012.3701153945</v>
      </c>
      <c r="DZ34" s="11">
        <f t="shared" si="41"/>
        <v>93.568283978773025</v>
      </c>
      <c r="EA34" s="99"/>
      <c r="EB34" s="11">
        <f t="shared" si="42"/>
        <v>0</v>
      </c>
      <c r="EC34" s="11">
        <f t="shared" si="91"/>
        <v>11000</v>
      </c>
      <c r="ED34" s="11">
        <f t="shared" si="43"/>
        <v>0.90922250581200281</v>
      </c>
      <c r="EE34" s="99"/>
      <c r="EF34" s="11">
        <f t="shared" si="44"/>
        <v>0</v>
      </c>
      <c r="EG34" s="11">
        <f t="shared" si="92"/>
        <v>0</v>
      </c>
      <c r="EH34" s="11">
        <f t="shared" si="45"/>
        <v>0</v>
      </c>
      <c r="EI34" s="99"/>
      <c r="EJ34" s="17">
        <f t="shared" si="46"/>
        <v>0</v>
      </c>
      <c r="EK34" s="11">
        <f t="shared" si="93"/>
        <v>0</v>
      </c>
      <c r="EL34" s="11">
        <f t="shared" si="47"/>
        <v>0</v>
      </c>
      <c r="EM34" s="11">
        <f t="shared" si="94"/>
        <v>0</v>
      </c>
      <c r="EN34" s="11">
        <f t="shared" si="48"/>
        <v>0</v>
      </c>
      <c r="EO34" s="11">
        <f t="shared" si="95"/>
        <v>11000</v>
      </c>
      <c r="EP34" s="11">
        <f t="shared" si="49"/>
        <v>0.90922250581200281</v>
      </c>
      <c r="EQ34" s="99"/>
      <c r="ER34" s="11">
        <f t="shared" si="50"/>
        <v>0</v>
      </c>
      <c r="ES34" s="11">
        <f t="shared" si="96"/>
        <v>0</v>
      </c>
      <c r="ET34" s="11">
        <f t="shared" si="51"/>
        <v>0</v>
      </c>
      <c r="EU34" s="11">
        <f t="shared" si="97"/>
        <v>55965.223850361268</v>
      </c>
      <c r="EV34" s="11">
        <f t="shared" si="98"/>
        <v>1209824.8701153947</v>
      </c>
      <c r="EW34" s="11">
        <f t="shared" si="52"/>
        <v>1.0527694478999488</v>
      </c>
      <c r="EX34" s="11">
        <f t="shared" si="53"/>
        <v>1.0633953327901862</v>
      </c>
      <c r="EY34" s="493">
        <f t="shared" si="99"/>
        <v>0.94987558956501594</v>
      </c>
      <c r="EZ34" s="494">
        <f t="shared" si="100"/>
        <v>1.0050243531208283</v>
      </c>
      <c r="FA34" s="7" t="s">
        <v>425</v>
      </c>
    </row>
    <row r="35" spans="1:157">
      <c r="A35" s="18">
        <f>+Chem!A34</f>
        <v>46107</v>
      </c>
      <c r="B35" s="6" t="str">
        <f>+Chem!B34</f>
        <v>Toilet</v>
      </c>
      <c r="C35" s="6" t="str">
        <f>+Chem!C34</f>
        <v>15</v>
      </c>
      <c r="D35" s="9">
        <f>+Chem!D34</f>
        <v>52.444000000000003</v>
      </c>
      <c r="E35" s="7">
        <f>+Chem!E34</f>
        <v>52.279000000000003</v>
      </c>
      <c r="F35" s="7">
        <f t="shared" si="54"/>
        <v>1189.979</v>
      </c>
      <c r="G35" s="99"/>
      <c r="H35" s="11">
        <f t="shared" si="0"/>
        <v>0</v>
      </c>
      <c r="I35" s="9">
        <f t="shared" si="55"/>
        <v>44750</v>
      </c>
      <c r="J35" s="11">
        <f t="shared" si="1"/>
        <v>3.5302274698999958</v>
      </c>
      <c r="K35" s="99"/>
      <c r="L35" s="11">
        <f t="shared" si="2"/>
        <v>0</v>
      </c>
      <c r="M35" s="11">
        <f t="shared" si="56"/>
        <v>0</v>
      </c>
      <c r="N35" s="11">
        <f t="shared" si="3"/>
        <v>0</v>
      </c>
      <c r="O35" s="99"/>
      <c r="P35" s="11">
        <f t="shared" si="4"/>
        <v>0</v>
      </c>
      <c r="Q35" s="11">
        <f t="shared" si="57"/>
        <v>0</v>
      </c>
      <c r="R35" s="11">
        <f t="shared" si="5"/>
        <v>0</v>
      </c>
      <c r="S35" s="99"/>
      <c r="T35" s="11">
        <f t="shared" si="6"/>
        <v>0</v>
      </c>
      <c r="U35" s="11">
        <f t="shared" si="58"/>
        <v>22062.5</v>
      </c>
      <c r="V35" s="11">
        <f t="shared" si="7"/>
        <v>1.7404613084842158</v>
      </c>
      <c r="W35" s="99"/>
      <c r="X35" s="11">
        <f t="shared" si="8"/>
        <v>0</v>
      </c>
      <c r="Y35" s="11">
        <f t="shared" si="59"/>
        <v>0</v>
      </c>
      <c r="Z35" s="11">
        <f t="shared" si="9"/>
        <v>0</v>
      </c>
      <c r="AA35" s="99"/>
      <c r="AB35" s="11">
        <f t="shared" si="10"/>
        <v>0</v>
      </c>
      <c r="AC35" s="11">
        <f t="shared" si="60"/>
        <v>0</v>
      </c>
      <c r="AD35" s="11">
        <f t="shared" si="11"/>
        <v>0</v>
      </c>
      <c r="AE35" s="99"/>
      <c r="AF35" s="11">
        <f t="shared" si="12"/>
        <v>0</v>
      </c>
      <c r="AG35" s="11">
        <f t="shared" si="61"/>
        <v>0</v>
      </c>
      <c r="AH35" s="11">
        <f t="shared" si="13"/>
        <v>0</v>
      </c>
      <c r="AI35" s="99"/>
      <c r="AJ35" s="11">
        <f t="shared" si="14"/>
        <v>0</v>
      </c>
      <c r="AK35" s="11">
        <f t="shared" si="62"/>
        <v>0</v>
      </c>
      <c r="AL35" s="11">
        <f t="shared" si="15"/>
        <v>0</v>
      </c>
      <c r="AM35" s="99"/>
      <c r="AN35" s="11">
        <f t="shared" si="16"/>
        <v>0</v>
      </c>
      <c r="AO35" s="11">
        <f t="shared" si="63"/>
        <v>0</v>
      </c>
      <c r="AP35" s="11">
        <f t="shared" si="17"/>
        <v>0</v>
      </c>
      <c r="AQ35" s="99"/>
      <c r="AR35" s="11">
        <f t="shared" si="18"/>
        <v>0</v>
      </c>
      <c r="AS35" s="11">
        <f t="shared" si="64"/>
        <v>0</v>
      </c>
      <c r="AT35" s="11">
        <f t="shared" si="19"/>
        <v>0</v>
      </c>
      <c r="AU35" s="256"/>
      <c r="AV35" s="11">
        <f t="shared" si="20"/>
        <v>0</v>
      </c>
      <c r="AW35" s="9">
        <f t="shared" si="65"/>
        <v>0</v>
      </c>
      <c r="AX35" s="11">
        <f t="shared" si="21"/>
        <v>0</v>
      </c>
      <c r="AY35" s="99"/>
      <c r="AZ35" s="11">
        <f t="shared" si="22"/>
        <v>0</v>
      </c>
      <c r="BA35" s="11">
        <f t="shared" si="66"/>
        <v>0</v>
      </c>
      <c r="BB35" s="11">
        <f t="shared" si="23"/>
        <v>0</v>
      </c>
      <c r="BC35" s="99"/>
      <c r="BD35" s="11">
        <f t="shared" si="24"/>
        <v>0</v>
      </c>
      <c r="BE35" s="11">
        <f t="shared" si="67"/>
        <v>0</v>
      </c>
      <c r="BF35" s="11">
        <f t="shared" si="25"/>
        <v>0</v>
      </c>
      <c r="BG35" s="99"/>
      <c r="BH35" s="11">
        <f t="shared" si="26"/>
        <v>0</v>
      </c>
      <c r="BI35" s="11">
        <f t="shared" si="68"/>
        <v>0</v>
      </c>
      <c r="BJ35" s="11">
        <f t="shared" si="27"/>
        <v>0</v>
      </c>
      <c r="BK35" s="99"/>
      <c r="BL35" s="11"/>
      <c r="BM35" s="11"/>
      <c r="BN35" s="11"/>
      <c r="BO35" s="99"/>
      <c r="BP35" s="11"/>
      <c r="BQ35" s="11"/>
      <c r="BR35" s="11"/>
      <c r="BS35" s="99"/>
      <c r="BT35" s="11"/>
      <c r="BU35" s="11"/>
      <c r="BV35" s="11"/>
      <c r="BW35" s="11">
        <f t="shared" si="69"/>
        <v>0</v>
      </c>
      <c r="BX35" s="11">
        <f t="shared" si="28"/>
        <v>0</v>
      </c>
      <c r="BY35" s="11">
        <f t="shared" si="70"/>
        <v>66812.5</v>
      </c>
      <c r="BZ35" s="11">
        <f t="shared" si="29"/>
        <v>5.270688778384212</v>
      </c>
      <c r="CA35" s="11"/>
      <c r="CB35" s="11">
        <f t="shared" si="71"/>
        <v>0</v>
      </c>
      <c r="CC35" s="11">
        <f t="shared" si="101"/>
        <v>0</v>
      </c>
      <c r="CD35" s="11">
        <f t="shared" si="72"/>
        <v>0</v>
      </c>
      <c r="CE35" s="11"/>
      <c r="CF35" s="11">
        <f t="shared" si="102"/>
        <v>0</v>
      </c>
      <c r="CG35" s="11">
        <f t="shared" si="103"/>
        <v>0</v>
      </c>
      <c r="CH35" s="11">
        <f t="shared" si="104"/>
        <v>0</v>
      </c>
      <c r="CI35" s="11">
        <f t="shared" si="73"/>
        <v>0</v>
      </c>
      <c r="CJ35" s="11">
        <f t="shared" si="105"/>
        <v>0</v>
      </c>
      <c r="CK35" s="11">
        <f t="shared" si="106"/>
        <v>0</v>
      </c>
      <c r="CL35" s="11">
        <f t="shared" si="107"/>
        <v>0</v>
      </c>
      <c r="CM35" s="99">
        <v>0</v>
      </c>
      <c r="CN35" s="11">
        <f t="shared" si="74"/>
        <v>0</v>
      </c>
      <c r="CO35" s="11">
        <f t="shared" si="75"/>
        <v>0</v>
      </c>
      <c r="CP35" s="11">
        <f t="shared" si="76"/>
        <v>0</v>
      </c>
      <c r="CQ35" s="99">
        <v>39926.347891069745</v>
      </c>
      <c r="CR35" s="11">
        <f t="shared" si="30"/>
        <v>69.078127337089285</v>
      </c>
      <c r="CS35" s="11">
        <f t="shared" si="77"/>
        <v>683755.10730651987</v>
      </c>
      <c r="CT35" s="11">
        <f t="shared" si="31"/>
        <v>53.939912011126154</v>
      </c>
      <c r="CU35" s="99">
        <v>14250.147262456867</v>
      </c>
      <c r="CV35" s="11">
        <f t="shared" si="32"/>
        <v>24.654734008076982</v>
      </c>
      <c r="CW35" s="11">
        <f t="shared" si="78"/>
        <v>285308.36276789085</v>
      </c>
      <c r="CX35" s="11">
        <f t="shared" si="33"/>
        <v>22.507338986265953</v>
      </c>
      <c r="CY35" s="99">
        <v>1461.0363320658505</v>
      </c>
      <c r="CZ35" s="11">
        <f t="shared" si="34"/>
        <v>2.5277957820212391</v>
      </c>
      <c r="DA35" s="11">
        <f t="shared" si="79"/>
        <v>39864.830935529681</v>
      </c>
      <c r="DB35" s="11">
        <f t="shared" si="35"/>
        <v>3.1448474022687378</v>
      </c>
      <c r="DC35" s="99">
        <v>2008.564740532343</v>
      </c>
      <c r="DD35" s="11">
        <f>DC35/EU35*100</f>
        <v>3.4750959764670686</v>
      </c>
      <c r="DE35" s="11">
        <f>DC35+DE34</f>
        <v>35504.045400040202</v>
      </c>
      <c r="DF35" s="11">
        <f t="shared" si="37"/>
        <v>2.8008347790792962</v>
      </c>
      <c r="DG35" s="99">
        <v>152.73160867749525</v>
      </c>
      <c r="DH35" s="11">
        <f t="shared" si="38"/>
        <v>0.26424689634541559</v>
      </c>
      <c r="DI35" s="11">
        <f t="shared" si="81"/>
        <v>3871.410282715909</v>
      </c>
      <c r="DJ35" s="11">
        <f t="shared" si="39"/>
        <v>0.30540690340328513</v>
      </c>
      <c r="DK35" s="99"/>
      <c r="DL35" s="11">
        <f t="shared" si="82"/>
        <v>0</v>
      </c>
      <c r="DM35" s="11">
        <f t="shared" si="83"/>
        <v>0</v>
      </c>
      <c r="DN35" s="11">
        <f t="shared" si="84"/>
        <v>0</v>
      </c>
      <c r="DO35" s="99"/>
      <c r="DP35" s="11">
        <f t="shared" si="85"/>
        <v>0</v>
      </c>
      <c r="DQ35" s="11">
        <f t="shared" si="86"/>
        <v>0</v>
      </c>
      <c r="DR35" s="11">
        <f t="shared" si="87"/>
        <v>0</v>
      </c>
      <c r="DS35" s="99"/>
      <c r="DT35" s="11">
        <f t="shared" si="108"/>
        <v>0</v>
      </c>
      <c r="DU35" s="11">
        <f t="shared" si="88"/>
        <v>0</v>
      </c>
      <c r="DV35" s="11">
        <f t="shared" si="109"/>
        <v>0</v>
      </c>
      <c r="DW35" s="11">
        <f t="shared" si="89"/>
        <v>57798.827834802301</v>
      </c>
      <c r="DX35" s="11">
        <f t="shared" si="40"/>
        <v>100</v>
      </c>
      <c r="DY35" s="11">
        <f t="shared" si="90"/>
        <v>1189811.1979501967</v>
      </c>
      <c r="DZ35" s="11">
        <f t="shared" si="41"/>
        <v>93.861545810020246</v>
      </c>
      <c r="EA35" s="99"/>
      <c r="EB35" s="11">
        <f t="shared" si="42"/>
        <v>0</v>
      </c>
      <c r="EC35" s="11">
        <f t="shared" si="91"/>
        <v>11000</v>
      </c>
      <c r="ED35" s="11">
        <f t="shared" si="43"/>
        <v>0.86776541159552978</v>
      </c>
      <c r="EE35" s="99"/>
      <c r="EF35" s="11">
        <f t="shared" si="44"/>
        <v>0</v>
      </c>
      <c r="EG35" s="11">
        <f t="shared" si="92"/>
        <v>0</v>
      </c>
      <c r="EH35" s="11">
        <f t="shared" si="45"/>
        <v>0</v>
      </c>
      <c r="EI35" s="99"/>
      <c r="EJ35" s="17">
        <f t="shared" si="46"/>
        <v>0</v>
      </c>
      <c r="EK35" s="11">
        <f t="shared" si="93"/>
        <v>0</v>
      </c>
      <c r="EL35" s="11">
        <f t="shared" si="47"/>
        <v>0</v>
      </c>
      <c r="EM35" s="11">
        <f t="shared" si="94"/>
        <v>0</v>
      </c>
      <c r="EN35" s="11">
        <f t="shared" si="48"/>
        <v>0</v>
      </c>
      <c r="EO35" s="11">
        <f t="shared" si="95"/>
        <v>11000</v>
      </c>
      <c r="EP35" s="11">
        <f t="shared" si="49"/>
        <v>0.86776541159552978</v>
      </c>
      <c r="EQ35" s="99"/>
      <c r="ER35" s="11">
        <f t="shared" si="50"/>
        <v>0</v>
      </c>
      <c r="ES35" s="11">
        <f t="shared" si="96"/>
        <v>0</v>
      </c>
      <c r="ET35" s="11">
        <f t="shared" si="51"/>
        <v>0</v>
      </c>
      <c r="EU35" s="11">
        <f t="shared" si="97"/>
        <v>57798.827834802301</v>
      </c>
      <c r="EV35" s="11">
        <f t="shared" si="98"/>
        <v>1267623.6979501969</v>
      </c>
      <c r="EW35" s="11">
        <f t="shared" si="52"/>
        <v>1.1055840363205551</v>
      </c>
      <c r="EX35" s="11">
        <f t="shared" si="53"/>
        <v>1.065248796785655</v>
      </c>
      <c r="EY35" s="493">
        <f t="shared" si="99"/>
        <v>0.90449931180994192</v>
      </c>
      <c r="EZ35" s="494">
        <f t="shared" si="100"/>
        <v>1.0001410325017048</v>
      </c>
      <c r="FA35" s="7" t="s">
        <v>425</v>
      </c>
    </row>
    <row r="36" spans="1:157" ht="15">
      <c r="A36" s="18">
        <f>+Chem!A35</f>
        <v>46108</v>
      </c>
      <c r="B36" s="6" t="str">
        <f>+Chem!B35</f>
        <v>Toilet</v>
      </c>
      <c r="C36" s="6" t="str">
        <f>+Chem!C35</f>
        <v>15/13,5</v>
      </c>
      <c r="D36" s="9">
        <f>+Chem!D35</f>
        <v>51.503</v>
      </c>
      <c r="E36" s="7">
        <f>+Chem!E35</f>
        <v>49.753999999999998</v>
      </c>
      <c r="F36" s="7">
        <f t="shared" si="54"/>
        <v>1239.7329999999999</v>
      </c>
      <c r="G36" s="99"/>
      <c r="H36" s="11">
        <f t="shared" si="0"/>
        <v>0</v>
      </c>
      <c r="I36" s="9">
        <f t="shared" si="55"/>
        <v>44750</v>
      </c>
      <c r="J36" s="11">
        <f t="shared" si="1"/>
        <v>3.3175461026438473</v>
      </c>
      <c r="K36" s="99"/>
      <c r="L36" s="11">
        <f t="shared" si="2"/>
        <v>0</v>
      </c>
      <c r="M36" s="11">
        <f t="shared" si="56"/>
        <v>0</v>
      </c>
      <c r="N36" s="11">
        <f t="shared" si="3"/>
        <v>0</v>
      </c>
      <c r="O36" s="99"/>
      <c r="P36" s="11">
        <f t="shared" si="4"/>
        <v>0</v>
      </c>
      <c r="Q36" s="11">
        <f t="shared" si="57"/>
        <v>0</v>
      </c>
      <c r="R36" s="11">
        <f t="shared" si="5"/>
        <v>0</v>
      </c>
      <c r="S36" s="99"/>
      <c r="T36" s="11">
        <f t="shared" si="6"/>
        <v>0</v>
      </c>
      <c r="U36" s="11">
        <f t="shared" si="58"/>
        <v>22062.5</v>
      </c>
      <c r="V36" s="11">
        <f t="shared" si="7"/>
        <v>1.635605829934746</v>
      </c>
      <c r="W36" s="99"/>
      <c r="X36" s="11">
        <f t="shared" si="8"/>
        <v>0</v>
      </c>
      <c r="Y36" s="11">
        <f t="shared" si="59"/>
        <v>0</v>
      </c>
      <c r="Z36" s="11">
        <f t="shared" si="9"/>
        <v>0</v>
      </c>
      <c r="AA36" s="99"/>
      <c r="AB36" s="11">
        <f t="shared" si="10"/>
        <v>0</v>
      </c>
      <c r="AC36" s="11">
        <f t="shared" si="60"/>
        <v>0</v>
      </c>
      <c r="AD36" s="11">
        <f t="shared" si="11"/>
        <v>0</v>
      </c>
      <c r="AE36" s="99"/>
      <c r="AF36" s="11">
        <f t="shared" si="12"/>
        <v>0</v>
      </c>
      <c r="AG36" s="11">
        <f t="shared" si="61"/>
        <v>0</v>
      </c>
      <c r="AH36" s="11">
        <f t="shared" si="13"/>
        <v>0</v>
      </c>
      <c r="AI36" s="99"/>
      <c r="AJ36" s="11">
        <f t="shared" si="14"/>
        <v>0</v>
      </c>
      <c r="AK36" s="11">
        <f t="shared" si="62"/>
        <v>0</v>
      </c>
      <c r="AL36" s="11">
        <f t="shared" si="15"/>
        <v>0</v>
      </c>
      <c r="AM36" s="99"/>
      <c r="AN36" s="11">
        <f t="shared" si="16"/>
        <v>0</v>
      </c>
      <c r="AO36" s="11">
        <f t="shared" si="63"/>
        <v>0</v>
      </c>
      <c r="AP36" s="11">
        <f t="shared" si="17"/>
        <v>0</v>
      </c>
      <c r="AQ36" s="99"/>
      <c r="AR36" s="11">
        <f t="shared" si="18"/>
        <v>0</v>
      </c>
      <c r="AS36" s="11">
        <f t="shared" si="64"/>
        <v>0</v>
      </c>
      <c r="AT36" s="11">
        <f t="shared" si="19"/>
        <v>0</v>
      </c>
      <c r="AU36" s="256"/>
      <c r="AV36" s="11">
        <f t="shared" si="20"/>
        <v>0</v>
      </c>
      <c r="AW36" s="9">
        <f t="shared" si="65"/>
        <v>0</v>
      </c>
      <c r="AX36" s="11">
        <f t="shared" si="21"/>
        <v>0</v>
      </c>
      <c r="AY36" s="99"/>
      <c r="AZ36" s="11">
        <f t="shared" si="22"/>
        <v>0</v>
      </c>
      <c r="BA36" s="11">
        <f t="shared" si="66"/>
        <v>0</v>
      </c>
      <c r="BB36" s="11">
        <f t="shared" si="23"/>
        <v>0</v>
      </c>
      <c r="BC36" s="99"/>
      <c r="BD36" s="11">
        <f t="shared" si="24"/>
        <v>0</v>
      </c>
      <c r="BE36" s="11">
        <f t="shared" si="67"/>
        <v>0</v>
      </c>
      <c r="BF36" s="11">
        <f t="shared" si="25"/>
        <v>0</v>
      </c>
      <c r="BG36" s="99"/>
      <c r="BH36" s="11">
        <f t="shared" si="26"/>
        <v>0</v>
      </c>
      <c r="BI36" s="11">
        <f t="shared" si="68"/>
        <v>0</v>
      </c>
      <c r="BJ36" s="11">
        <f t="shared" si="27"/>
        <v>0</v>
      </c>
      <c r="BK36" s="99"/>
      <c r="BL36" s="11"/>
      <c r="BM36" s="11"/>
      <c r="BN36" s="11"/>
      <c r="BO36" s="99"/>
      <c r="BP36" s="11"/>
      <c r="BQ36" s="11"/>
      <c r="BR36" s="11"/>
      <c r="BS36" s="99"/>
      <c r="BT36" s="11"/>
      <c r="BU36" s="11"/>
      <c r="BV36" s="11"/>
      <c r="BW36" s="11">
        <f t="shared" si="69"/>
        <v>0</v>
      </c>
      <c r="BX36" s="11">
        <f t="shared" si="28"/>
        <v>0</v>
      </c>
      <c r="BY36" s="11">
        <f t="shared" si="70"/>
        <v>66812.5</v>
      </c>
      <c r="BZ36" s="11">
        <f t="shared" si="29"/>
        <v>4.953151932578594</v>
      </c>
      <c r="CA36" s="11"/>
      <c r="CB36" s="11">
        <f t="shared" si="71"/>
        <v>0</v>
      </c>
      <c r="CC36" s="11">
        <f t="shared" si="101"/>
        <v>0</v>
      </c>
      <c r="CD36" s="11">
        <f t="shared" si="72"/>
        <v>0</v>
      </c>
      <c r="CE36" s="11"/>
      <c r="CF36" s="11">
        <f t="shared" si="102"/>
        <v>0</v>
      </c>
      <c r="CG36" s="11">
        <f t="shared" si="103"/>
        <v>0</v>
      </c>
      <c r="CH36" s="11">
        <f t="shared" si="104"/>
        <v>0</v>
      </c>
      <c r="CI36" s="11">
        <f t="shared" si="73"/>
        <v>0</v>
      </c>
      <c r="CJ36" s="11">
        <f t="shared" si="105"/>
        <v>0</v>
      </c>
      <c r="CK36" s="11">
        <f t="shared" si="106"/>
        <v>0</v>
      </c>
      <c r="CL36" s="11">
        <f t="shared" si="107"/>
        <v>0</v>
      </c>
      <c r="CM36" s="600">
        <f t="shared" ref="CM36" si="110">+CQ36</f>
        <v>33214.646016407321</v>
      </c>
      <c r="CN36" s="11">
        <f t="shared" si="74"/>
        <v>40.872085851733075</v>
      </c>
      <c r="CO36" s="11">
        <f t="shared" si="75"/>
        <v>33214.646016407321</v>
      </c>
      <c r="CP36" s="11">
        <f t="shared" si="76"/>
        <v>2.462371384188315</v>
      </c>
      <c r="CQ36" s="99">
        <v>33214.646016407321</v>
      </c>
      <c r="CR36" s="11">
        <f t="shared" si="30"/>
        <v>40.872085851733075</v>
      </c>
      <c r="CS36" s="11">
        <f t="shared" si="77"/>
        <v>716969.75332292716</v>
      </c>
      <c r="CT36" s="11">
        <f t="shared" si="31"/>
        <v>53.152630410055814</v>
      </c>
      <c r="CU36" s="99">
        <v>11500.076246362849</v>
      </c>
      <c r="CV36" s="11">
        <f t="shared" si="32"/>
        <v>14.151350684593563</v>
      </c>
      <c r="CW36" s="11">
        <f t="shared" si="78"/>
        <v>296808.43901425367</v>
      </c>
      <c r="CX36" s="11">
        <f t="shared" si="33"/>
        <v>22.003925811922713</v>
      </c>
      <c r="CY36" s="99">
        <v>1440.9552934536148</v>
      </c>
      <c r="CZ36" s="11">
        <f t="shared" si="34"/>
        <v>1.7731589983964477</v>
      </c>
      <c r="DA36" s="11">
        <f t="shared" si="79"/>
        <v>41305.786228983292</v>
      </c>
      <c r="DB36" s="11">
        <f t="shared" si="35"/>
        <v>3.0622089412425346</v>
      </c>
      <c r="DC36" s="99">
        <v>1618.8819470800611</v>
      </c>
      <c r="DD36" s="11">
        <f t="shared" si="36"/>
        <v>1.9921055877636613</v>
      </c>
      <c r="DE36" s="11">
        <f t="shared" si="80"/>
        <v>37122.927347120261</v>
      </c>
      <c r="DF36" s="11">
        <f t="shared" si="37"/>
        <v>2.7521122444507156</v>
      </c>
      <c r="DG36" s="99">
        <v>275.66101266069154</v>
      </c>
      <c r="DH36" s="11">
        <f t="shared" si="38"/>
        <v>0.33921302578019008</v>
      </c>
      <c r="DI36" s="11">
        <f t="shared" si="81"/>
        <v>4147.0712953766006</v>
      </c>
      <c r="DJ36" s="11">
        <f t="shared" si="39"/>
        <v>0.30744358018687851</v>
      </c>
      <c r="DK36" s="99"/>
      <c r="DL36" s="11">
        <f t="shared" si="82"/>
        <v>0</v>
      </c>
      <c r="DM36" s="11">
        <f t="shared" si="83"/>
        <v>0</v>
      </c>
      <c r="DN36" s="11">
        <f t="shared" si="84"/>
        <v>0</v>
      </c>
      <c r="DO36" s="99"/>
      <c r="DP36" s="11">
        <f t="shared" si="85"/>
        <v>0</v>
      </c>
      <c r="DQ36" s="11">
        <f t="shared" si="86"/>
        <v>0</v>
      </c>
      <c r="DR36" s="11">
        <f t="shared" si="87"/>
        <v>0</v>
      </c>
      <c r="DS36" s="99"/>
      <c r="DT36" s="11">
        <f t="shared" si="108"/>
        <v>0</v>
      </c>
      <c r="DU36" s="11">
        <f t="shared" si="88"/>
        <v>0</v>
      </c>
      <c r="DV36" s="11">
        <f t="shared" si="109"/>
        <v>0</v>
      </c>
      <c r="DW36" s="11">
        <f t="shared" si="89"/>
        <v>81264.866532371845</v>
      </c>
      <c r="DX36" s="11">
        <f t="shared" si="40"/>
        <v>100</v>
      </c>
      <c r="DY36" s="11">
        <f t="shared" si="90"/>
        <v>1271076.0644825685</v>
      </c>
      <c r="DZ36" s="11">
        <f t="shared" si="41"/>
        <v>94.231361874592736</v>
      </c>
      <c r="EA36" s="99"/>
      <c r="EB36" s="11">
        <f t="shared" si="42"/>
        <v>0</v>
      </c>
      <c r="EC36" s="11">
        <f t="shared" si="91"/>
        <v>11000</v>
      </c>
      <c r="ED36" s="11">
        <f t="shared" si="43"/>
        <v>0.81548619282865531</v>
      </c>
      <c r="EE36" s="99"/>
      <c r="EF36" s="11">
        <f t="shared" si="44"/>
        <v>0</v>
      </c>
      <c r="EG36" s="11">
        <f t="shared" si="92"/>
        <v>0</v>
      </c>
      <c r="EH36" s="11">
        <f t="shared" si="45"/>
        <v>0</v>
      </c>
      <c r="EI36" s="99"/>
      <c r="EJ36" s="17">
        <f t="shared" si="46"/>
        <v>0</v>
      </c>
      <c r="EK36" s="11">
        <f t="shared" si="93"/>
        <v>0</v>
      </c>
      <c r="EL36" s="11">
        <f t="shared" si="47"/>
        <v>0</v>
      </c>
      <c r="EM36" s="11">
        <f t="shared" si="94"/>
        <v>0</v>
      </c>
      <c r="EN36" s="11">
        <f t="shared" si="48"/>
        <v>0</v>
      </c>
      <c r="EO36" s="11">
        <f t="shared" si="95"/>
        <v>11000</v>
      </c>
      <c r="EP36" s="11">
        <f t="shared" si="49"/>
        <v>0.81548619282865531</v>
      </c>
      <c r="EQ36" s="99"/>
      <c r="ER36" s="11">
        <f t="shared" si="50"/>
        <v>0</v>
      </c>
      <c r="ES36" s="11">
        <f t="shared" si="96"/>
        <v>0</v>
      </c>
      <c r="ET36" s="11">
        <f t="shared" si="51"/>
        <v>0</v>
      </c>
      <c r="EU36" s="11">
        <f t="shared" si="97"/>
        <v>81264.866532371845</v>
      </c>
      <c r="EV36" s="11">
        <f t="shared" si="98"/>
        <v>1348888.5644825688</v>
      </c>
      <c r="EW36" s="11">
        <f t="shared" si="52"/>
        <v>1.6333333306341569</v>
      </c>
      <c r="EX36" s="11">
        <f t="shared" si="53"/>
        <v>1.0880476396793251</v>
      </c>
      <c r="EY36" s="493">
        <f t="shared" si="99"/>
        <v>0.61224489897095324</v>
      </c>
      <c r="EZ36" s="494">
        <f t="shared" si="100"/>
        <v>0.97534131484465669</v>
      </c>
      <c r="FA36" s="7" t="s">
        <v>425</v>
      </c>
    </row>
    <row r="37" spans="1:157">
      <c r="A37" s="18">
        <f>+Chem!A36</f>
        <v>46109</v>
      </c>
      <c r="B37" s="6" t="str">
        <f>+Chem!B36</f>
        <v>Toilet</v>
      </c>
      <c r="C37" s="6" t="str">
        <f>+Chem!C36</f>
        <v>13,5/15,5</v>
      </c>
      <c r="D37" s="9">
        <f>+Chem!D36</f>
        <v>51.396000000000001</v>
      </c>
      <c r="E37" s="7">
        <f>+Chem!E36</f>
        <v>52.008000000000003</v>
      </c>
      <c r="F37" s="7">
        <f t="shared" si="54"/>
        <v>1291.741</v>
      </c>
      <c r="G37" s="99"/>
      <c r="H37" s="11">
        <f t="shared" si="0"/>
        <v>0</v>
      </c>
      <c r="I37" s="9">
        <f t="shared" si="55"/>
        <v>44750</v>
      </c>
      <c r="J37" s="11">
        <f t="shared" si="1"/>
        <v>3.2029129694406904</v>
      </c>
      <c r="K37" s="99"/>
      <c r="L37" s="11">
        <f t="shared" si="2"/>
        <v>0</v>
      </c>
      <c r="M37" s="11">
        <f t="shared" si="56"/>
        <v>0</v>
      </c>
      <c r="N37" s="11">
        <f t="shared" si="3"/>
        <v>0</v>
      </c>
      <c r="O37" s="99"/>
      <c r="P37" s="11">
        <f t="shared" si="4"/>
        <v>0</v>
      </c>
      <c r="Q37" s="11">
        <f t="shared" si="57"/>
        <v>0</v>
      </c>
      <c r="R37" s="11">
        <f t="shared" si="5"/>
        <v>0</v>
      </c>
      <c r="S37" s="99"/>
      <c r="T37" s="11">
        <f t="shared" si="6"/>
        <v>0</v>
      </c>
      <c r="U37" s="11">
        <f t="shared" si="58"/>
        <v>22062.5</v>
      </c>
      <c r="V37" s="11">
        <f t="shared" si="7"/>
        <v>1.5790897740398935</v>
      </c>
      <c r="W37" s="99"/>
      <c r="X37" s="11">
        <f t="shared" si="8"/>
        <v>0</v>
      </c>
      <c r="Y37" s="11">
        <f t="shared" si="59"/>
        <v>0</v>
      </c>
      <c r="Z37" s="11">
        <f t="shared" si="9"/>
        <v>0</v>
      </c>
      <c r="AA37" s="99"/>
      <c r="AB37" s="11">
        <f t="shared" si="10"/>
        <v>0</v>
      </c>
      <c r="AC37" s="11">
        <f t="shared" si="60"/>
        <v>0</v>
      </c>
      <c r="AD37" s="11">
        <f t="shared" si="11"/>
        <v>0</v>
      </c>
      <c r="AE37" s="99"/>
      <c r="AF37" s="11">
        <f t="shared" si="12"/>
        <v>0</v>
      </c>
      <c r="AG37" s="11">
        <f t="shared" si="61"/>
        <v>0</v>
      </c>
      <c r="AH37" s="11">
        <f t="shared" si="13"/>
        <v>0</v>
      </c>
      <c r="AI37" s="99"/>
      <c r="AJ37" s="11">
        <f t="shared" si="14"/>
        <v>0</v>
      </c>
      <c r="AK37" s="11">
        <f t="shared" si="62"/>
        <v>0</v>
      </c>
      <c r="AL37" s="11">
        <f t="shared" si="15"/>
        <v>0</v>
      </c>
      <c r="AM37" s="99"/>
      <c r="AN37" s="11">
        <f t="shared" si="16"/>
        <v>0</v>
      </c>
      <c r="AO37" s="11">
        <f t="shared" si="63"/>
        <v>0</v>
      </c>
      <c r="AP37" s="11">
        <f t="shared" si="17"/>
        <v>0</v>
      </c>
      <c r="AQ37" s="99"/>
      <c r="AR37" s="11">
        <f t="shared" si="18"/>
        <v>0</v>
      </c>
      <c r="AS37" s="11">
        <f t="shared" si="64"/>
        <v>0</v>
      </c>
      <c r="AT37" s="11">
        <f t="shared" si="19"/>
        <v>0</v>
      </c>
      <c r="AU37" s="256"/>
      <c r="AV37" s="11">
        <f t="shared" si="20"/>
        <v>0</v>
      </c>
      <c r="AW37" s="9">
        <f t="shared" si="65"/>
        <v>0</v>
      </c>
      <c r="AX37" s="11">
        <f t="shared" si="21"/>
        <v>0</v>
      </c>
      <c r="AY37" s="99"/>
      <c r="AZ37" s="11">
        <f t="shared" si="22"/>
        <v>0</v>
      </c>
      <c r="BA37" s="11">
        <f t="shared" si="66"/>
        <v>0</v>
      </c>
      <c r="BB37" s="11">
        <f t="shared" si="23"/>
        <v>0</v>
      </c>
      <c r="BC37" s="99"/>
      <c r="BD37" s="11">
        <f t="shared" si="24"/>
        <v>0</v>
      </c>
      <c r="BE37" s="11">
        <f t="shared" si="67"/>
        <v>0</v>
      </c>
      <c r="BF37" s="11">
        <f t="shared" si="25"/>
        <v>0</v>
      </c>
      <c r="BG37" s="99"/>
      <c r="BH37" s="11">
        <f t="shared" si="26"/>
        <v>0</v>
      </c>
      <c r="BI37" s="11">
        <f t="shared" si="68"/>
        <v>0</v>
      </c>
      <c r="BJ37" s="11">
        <f t="shared" si="27"/>
        <v>0</v>
      </c>
      <c r="BK37" s="99"/>
      <c r="BL37" s="11"/>
      <c r="BM37" s="11"/>
      <c r="BN37" s="11"/>
      <c r="BO37" s="99"/>
      <c r="BP37" s="11"/>
      <c r="BQ37" s="11"/>
      <c r="BR37" s="11"/>
      <c r="BS37" s="99"/>
      <c r="BT37" s="11"/>
      <c r="BU37" s="11"/>
      <c r="BV37" s="11"/>
      <c r="BW37" s="11">
        <f t="shared" si="69"/>
        <v>0</v>
      </c>
      <c r="BX37" s="11">
        <f t="shared" si="28"/>
        <v>0</v>
      </c>
      <c r="BY37" s="11">
        <f t="shared" si="70"/>
        <v>66812.5</v>
      </c>
      <c r="BZ37" s="11">
        <f t="shared" si="29"/>
        <v>4.7820027434805841</v>
      </c>
      <c r="CA37" s="11"/>
      <c r="CB37" s="11">
        <f t="shared" si="71"/>
        <v>0</v>
      </c>
      <c r="CC37" s="11">
        <f t="shared" si="101"/>
        <v>0</v>
      </c>
      <c r="CD37" s="11">
        <f t="shared" si="72"/>
        <v>0</v>
      </c>
      <c r="CE37" s="11"/>
      <c r="CF37" s="11">
        <f t="shared" si="102"/>
        <v>0</v>
      </c>
      <c r="CG37" s="11">
        <f t="shared" si="103"/>
        <v>0</v>
      </c>
      <c r="CH37" s="11">
        <f t="shared" si="104"/>
        <v>0</v>
      </c>
      <c r="CI37" s="11">
        <f t="shared" si="73"/>
        <v>0</v>
      </c>
      <c r="CJ37" s="11">
        <f t="shared" si="105"/>
        <v>0</v>
      </c>
      <c r="CK37" s="11">
        <f t="shared" si="106"/>
        <v>0</v>
      </c>
      <c r="CL37" s="11">
        <f t="shared" si="107"/>
        <v>0</v>
      </c>
      <c r="CM37" s="99"/>
      <c r="CN37" s="11">
        <f t="shared" si="74"/>
        <v>0</v>
      </c>
      <c r="CO37" s="11">
        <f t="shared" si="75"/>
        <v>0</v>
      </c>
      <c r="CP37" s="11">
        <f t="shared" si="76"/>
        <v>0</v>
      </c>
      <c r="CQ37" s="99">
        <v>33074.521267352728</v>
      </c>
      <c r="CR37" s="11">
        <f t="shared" si="30"/>
        <v>68.50976361767728</v>
      </c>
      <c r="CS37" s="11">
        <f t="shared" si="77"/>
        <v>750044.27459027991</v>
      </c>
      <c r="CT37" s="11">
        <f t="shared" si="31"/>
        <v>53.683274519328307</v>
      </c>
      <c r="CU37" s="99">
        <v>11749.244878651554</v>
      </c>
      <c r="CV37" s="11">
        <f t="shared" si="32"/>
        <v>24.337101747173691</v>
      </c>
      <c r="CW37" s="11">
        <f t="shared" si="78"/>
        <v>308557.68389290525</v>
      </c>
      <c r="CX37" s="11">
        <f t="shared" si="33"/>
        <v>22.084545420361273</v>
      </c>
      <c r="CY37" s="99">
        <v>1163.5126368428164</v>
      </c>
      <c r="CZ37" s="11">
        <f t="shared" si="34"/>
        <v>2.4100719424460428</v>
      </c>
      <c r="DA37" s="11">
        <f t="shared" si="79"/>
        <v>42469.298865826109</v>
      </c>
      <c r="DB37" s="11">
        <f t="shared" si="35"/>
        <v>3.0396752657074244</v>
      </c>
      <c r="DC37" s="99">
        <v>2091.3457417025465</v>
      </c>
      <c r="DD37" s="11">
        <f t="shared" si="36"/>
        <v>4.3319630010277494</v>
      </c>
      <c r="DE37" s="11">
        <f t="shared" si="80"/>
        <v>39214.273088822811</v>
      </c>
      <c r="DF37" s="11">
        <f t="shared" si="37"/>
        <v>2.8067017623101589</v>
      </c>
      <c r="DG37" s="99">
        <v>198.46697430154651</v>
      </c>
      <c r="DH37" s="11">
        <f t="shared" si="38"/>
        <v>0.41109969167523119</v>
      </c>
      <c r="DI37" s="11">
        <f t="shared" si="81"/>
        <v>4345.5382696781471</v>
      </c>
      <c r="DJ37" s="11">
        <f t="shared" si="39"/>
        <v>0.31102527113191047</v>
      </c>
      <c r="DK37" s="99"/>
      <c r="DL37" s="11">
        <f t="shared" si="82"/>
        <v>0</v>
      </c>
      <c r="DM37" s="11">
        <f t="shared" si="83"/>
        <v>0</v>
      </c>
      <c r="DN37" s="11">
        <f t="shared" si="84"/>
        <v>0</v>
      </c>
      <c r="DO37" s="99"/>
      <c r="DP37" s="11">
        <f t="shared" si="85"/>
        <v>0</v>
      </c>
      <c r="DQ37" s="11">
        <f t="shared" si="86"/>
        <v>0</v>
      </c>
      <c r="DR37" s="11">
        <f t="shared" si="87"/>
        <v>0</v>
      </c>
      <c r="DS37" s="99"/>
      <c r="DT37" s="11">
        <f t="shared" si="108"/>
        <v>0</v>
      </c>
      <c r="DU37" s="11">
        <f t="shared" si="88"/>
        <v>0</v>
      </c>
      <c r="DV37" s="11">
        <f t="shared" si="109"/>
        <v>0</v>
      </c>
      <c r="DW37" s="11">
        <f t="shared" si="89"/>
        <v>48277.091498851194</v>
      </c>
      <c r="DX37" s="11">
        <f t="shared" si="40"/>
        <v>100</v>
      </c>
      <c r="DY37" s="11">
        <f t="shared" si="90"/>
        <v>1319353.1559814196</v>
      </c>
      <c r="DZ37" s="11">
        <f t="shared" si="41"/>
        <v>94.430689040567486</v>
      </c>
      <c r="EA37" s="99"/>
      <c r="EB37" s="11">
        <f t="shared" si="42"/>
        <v>0</v>
      </c>
      <c r="EC37" s="11">
        <f t="shared" si="91"/>
        <v>11000</v>
      </c>
      <c r="ED37" s="11">
        <f t="shared" si="43"/>
        <v>0.78730821595190148</v>
      </c>
      <c r="EE37" s="99"/>
      <c r="EF37" s="11">
        <f t="shared" si="44"/>
        <v>0</v>
      </c>
      <c r="EG37" s="11">
        <f t="shared" si="92"/>
        <v>0</v>
      </c>
      <c r="EH37" s="11">
        <f t="shared" si="45"/>
        <v>0</v>
      </c>
      <c r="EI37" s="99"/>
      <c r="EJ37" s="17">
        <f t="shared" si="46"/>
        <v>0</v>
      </c>
      <c r="EK37" s="11">
        <f t="shared" si="93"/>
        <v>0</v>
      </c>
      <c r="EL37" s="11">
        <f t="shared" si="47"/>
        <v>0</v>
      </c>
      <c r="EM37" s="11">
        <f t="shared" si="94"/>
        <v>0</v>
      </c>
      <c r="EN37" s="11">
        <f t="shared" si="48"/>
        <v>0</v>
      </c>
      <c r="EO37" s="11">
        <f t="shared" si="95"/>
        <v>11000</v>
      </c>
      <c r="EP37" s="11">
        <f t="shared" si="49"/>
        <v>0.78730821595190148</v>
      </c>
      <c r="EQ37" s="99"/>
      <c r="ER37" s="11">
        <f t="shared" si="50"/>
        <v>0</v>
      </c>
      <c r="ES37" s="11">
        <f t="shared" si="96"/>
        <v>0</v>
      </c>
      <c r="ET37" s="11">
        <f t="shared" si="51"/>
        <v>0</v>
      </c>
      <c r="EU37" s="11">
        <f t="shared" si="97"/>
        <v>48277.091498851194</v>
      </c>
      <c r="EV37" s="11">
        <f t="shared" si="98"/>
        <v>1397165.6559814201</v>
      </c>
      <c r="EW37" s="11">
        <f t="shared" si="52"/>
        <v>0.92826279608620188</v>
      </c>
      <c r="EX37" s="11">
        <f t="shared" si="53"/>
        <v>1.0816143917251368</v>
      </c>
      <c r="EY37" s="493">
        <f t="shared" si="99"/>
        <v>1.0772811365663482</v>
      </c>
      <c r="EZ37" s="494">
        <f t="shared" si="100"/>
        <v>0.9790714443238816</v>
      </c>
      <c r="FA37" s="7" t="s">
        <v>425</v>
      </c>
    </row>
    <row r="38" spans="1:157">
      <c r="A38" s="18">
        <f>+Chem!A37</f>
        <v>46110</v>
      </c>
      <c r="B38" s="6" t="str">
        <f>+Chem!B37</f>
        <v>Toilet</v>
      </c>
      <c r="C38" s="6">
        <f>+Chem!C37</f>
        <v>15.5</v>
      </c>
      <c r="D38" s="9">
        <f>+Chem!D37</f>
        <v>52.830799999999996</v>
      </c>
      <c r="E38" s="7">
        <f>+Chem!E37</f>
        <v>50.317</v>
      </c>
      <c r="F38" s="7">
        <f t="shared" si="54"/>
        <v>1342.058</v>
      </c>
      <c r="G38" s="99"/>
      <c r="H38" s="11">
        <f t="shared" si="0"/>
        <v>0</v>
      </c>
      <c r="I38" s="9">
        <f t="shared" si="55"/>
        <v>44750</v>
      </c>
      <c r="J38" s="11">
        <f t="shared" si="1"/>
        <v>3.0892273325370376</v>
      </c>
      <c r="K38" s="99"/>
      <c r="L38" s="11">
        <f t="shared" si="2"/>
        <v>0</v>
      </c>
      <c r="M38" s="11">
        <f t="shared" si="56"/>
        <v>0</v>
      </c>
      <c r="N38" s="11">
        <f t="shared" si="3"/>
        <v>0</v>
      </c>
      <c r="O38" s="99"/>
      <c r="P38" s="11">
        <f t="shared" si="4"/>
        <v>0</v>
      </c>
      <c r="Q38" s="11">
        <f t="shared" si="57"/>
        <v>0</v>
      </c>
      <c r="R38" s="11">
        <f t="shared" si="5"/>
        <v>0</v>
      </c>
      <c r="S38" s="99"/>
      <c r="T38" s="11">
        <f t="shared" si="6"/>
        <v>0</v>
      </c>
      <c r="U38" s="11">
        <f t="shared" si="58"/>
        <v>22062.5</v>
      </c>
      <c r="V38" s="11">
        <f t="shared" si="7"/>
        <v>1.5230408497005228</v>
      </c>
      <c r="W38" s="99"/>
      <c r="X38" s="11">
        <f t="shared" si="8"/>
        <v>0</v>
      </c>
      <c r="Y38" s="11">
        <f t="shared" si="59"/>
        <v>0</v>
      </c>
      <c r="Z38" s="11">
        <f t="shared" si="9"/>
        <v>0</v>
      </c>
      <c r="AA38" s="99"/>
      <c r="AB38" s="11">
        <f t="shared" si="10"/>
        <v>0</v>
      </c>
      <c r="AC38" s="11">
        <f t="shared" si="60"/>
        <v>0</v>
      </c>
      <c r="AD38" s="11">
        <f t="shared" si="11"/>
        <v>0</v>
      </c>
      <c r="AE38" s="99"/>
      <c r="AF38" s="11">
        <f t="shared" si="12"/>
        <v>0</v>
      </c>
      <c r="AG38" s="11">
        <f t="shared" si="61"/>
        <v>0</v>
      </c>
      <c r="AH38" s="11">
        <f t="shared" si="13"/>
        <v>0</v>
      </c>
      <c r="AI38" s="99"/>
      <c r="AJ38" s="11">
        <f t="shared" si="14"/>
        <v>0</v>
      </c>
      <c r="AK38" s="11">
        <f t="shared" si="62"/>
        <v>0</v>
      </c>
      <c r="AL38" s="11">
        <f t="shared" si="15"/>
        <v>0</v>
      </c>
      <c r="AM38" s="99"/>
      <c r="AN38" s="11">
        <f t="shared" si="16"/>
        <v>0</v>
      </c>
      <c r="AO38" s="11">
        <f t="shared" si="63"/>
        <v>0</v>
      </c>
      <c r="AP38" s="11">
        <f t="shared" si="17"/>
        <v>0</v>
      </c>
      <c r="AQ38" s="99"/>
      <c r="AR38" s="11">
        <f t="shared" si="18"/>
        <v>0</v>
      </c>
      <c r="AS38" s="11">
        <f t="shared" si="64"/>
        <v>0</v>
      </c>
      <c r="AT38" s="11">
        <f t="shared" si="19"/>
        <v>0</v>
      </c>
      <c r="AU38" s="256"/>
      <c r="AV38" s="11">
        <f t="shared" si="20"/>
        <v>0</v>
      </c>
      <c r="AW38" s="9">
        <f t="shared" si="65"/>
        <v>0</v>
      </c>
      <c r="AX38" s="11">
        <f t="shared" si="21"/>
        <v>0</v>
      </c>
      <c r="AY38" s="99"/>
      <c r="AZ38" s="11">
        <f t="shared" si="22"/>
        <v>0</v>
      </c>
      <c r="BA38" s="11">
        <f t="shared" si="66"/>
        <v>0</v>
      </c>
      <c r="BB38" s="11">
        <f t="shared" si="23"/>
        <v>0</v>
      </c>
      <c r="BC38" s="99"/>
      <c r="BD38" s="11">
        <f t="shared" si="24"/>
        <v>0</v>
      </c>
      <c r="BE38" s="11">
        <f t="shared" si="67"/>
        <v>0</v>
      </c>
      <c r="BF38" s="11">
        <f t="shared" si="25"/>
        <v>0</v>
      </c>
      <c r="BG38" s="99"/>
      <c r="BH38" s="11">
        <f t="shared" si="26"/>
        <v>0</v>
      </c>
      <c r="BI38" s="11">
        <f t="shared" si="68"/>
        <v>0</v>
      </c>
      <c r="BJ38" s="11">
        <f t="shared" si="27"/>
        <v>0</v>
      </c>
      <c r="BK38" s="99"/>
      <c r="BL38" s="11"/>
      <c r="BM38" s="11"/>
      <c r="BN38" s="11"/>
      <c r="BO38" s="99"/>
      <c r="BP38" s="11"/>
      <c r="BQ38" s="11"/>
      <c r="BR38" s="11"/>
      <c r="BS38" s="99"/>
      <c r="BT38" s="11"/>
      <c r="BU38" s="11"/>
      <c r="BV38" s="11"/>
      <c r="BW38" s="11">
        <f t="shared" si="69"/>
        <v>0</v>
      </c>
      <c r="BX38" s="11">
        <f t="shared" si="28"/>
        <v>0</v>
      </c>
      <c r="BY38" s="11">
        <f t="shared" si="70"/>
        <v>66812.5</v>
      </c>
      <c r="BZ38" s="11">
        <f t="shared" si="29"/>
        <v>4.6122681822375604</v>
      </c>
      <c r="CA38" s="11"/>
      <c r="CB38" s="11">
        <f t="shared" si="71"/>
        <v>0</v>
      </c>
      <c r="CC38" s="11">
        <f t="shared" si="101"/>
        <v>0</v>
      </c>
      <c r="CD38" s="11">
        <f t="shared" si="72"/>
        <v>0</v>
      </c>
      <c r="CE38" s="11"/>
      <c r="CF38" s="11">
        <f t="shared" si="102"/>
        <v>0</v>
      </c>
      <c r="CG38" s="11">
        <f t="shared" si="103"/>
        <v>0</v>
      </c>
      <c r="CH38" s="11">
        <f t="shared" si="104"/>
        <v>0</v>
      </c>
      <c r="CI38" s="11">
        <f t="shared" si="73"/>
        <v>0</v>
      </c>
      <c r="CJ38" s="11">
        <f t="shared" si="105"/>
        <v>0</v>
      </c>
      <c r="CK38" s="11">
        <f t="shared" si="106"/>
        <v>0</v>
      </c>
      <c r="CL38" s="11">
        <f t="shared" si="107"/>
        <v>0</v>
      </c>
      <c r="CM38" s="99"/>
      <c r="CN38" s="11">
        <f t="shared" si="74"/>
        <v>0</v>
      </c>
      <c r="CO38" s="11">
        <f t="shared" si="75"/>
        <v>0</v>
      </c>
      <c r="CP38" s="11">
        <f t="shared" si="76"/>
        <v>0</v>
      </c>
      <c r="CQ38" s="99">
        <v>35280.44015640251</v>
      </c>
      <c r="CR38" s="11">
        <f t="shared" si="30"/>
        <v>68.616784530933188</v>
      </c>
      <c r="CS38" s="11">
        <f t="shared" si="77"/>
        <v>785324.71474668244</v>
      </c>
      <c r="CT38" s="11">
        <f t="shared" si="31"/>
        <v>54.213331256140876</v>
      </c>
      <c r="CU38" s="99">
        <v>12784.868692352564</v>
      </c>
      <c r="CV38" s="11">
        <f t="shared" si="32"/>
        <v>24.865239107858169</v>
      </c>
      <c r="CW38" s="11">
        <f t="shared" si="78"/>
        <v>321342.5525852578</v>
      </c>
      <c r="CX38" s="11">
        <f t="shared" si="33"/>
        <v>22.183244615722877</v>
      </c>
      <c r="CY38" s="99">
        <v>1131.516819430567</v>
      </c>
      <c r="CZ38" s="11">
        <f t="shared" si="34"/>
        <v>2.2006824588299296</v>
      </c>
      <c r="DA38" s="11">
        <f t="shared" si="79"/>
        <v>43600.815685256675</v>
      </c>
      <c r="DB38" s="11">
        <f t="shared" si="35"/>
        <v>3.0098956767777545</v>
      </c>
      <c r="DC38" s="99">
        <v>2219.8071536244606</v>
      </c>
      <c r="DD38" s="11">
        <f t="shared" si="36"/>
        <v>4.3172939023787151</v>
      </c>
      <c r="DE38" s="11">
        <f t="shared" si="80"/>
        <v>41434.080242447271</v>
      </c>
      <c r="DF38" s="11">
        <f t="shared" si="37"/>
        <v>2.860319400748625</v>
      </c>
      <c r="DG38" s="99"/>
      <c r="DH38" s="11">
        <f t="shared" si="38"/>
        <v>0</v>
      </c>
      <c r="DI38" s="11">
        <f t="shared" si="81"/>
        <v>4345.5382696781471</v>
      </c>
      <c r="DJ38" s="11">
        <f t="shared" si="39"/>
        <v>0.29998559993911594</v>
      </c>
      <c r="DK38" s="99"/>
      <c r="DL38" s="11">
        <f t="shared" si="82"/>
        <v>0</v>
      </c>
      <c r="DM38" s="11">
        <f t="shared" si="83"/>
        <v>0</v>
      </c>
      <c r="DN38" s="11">
        <f t="shared" si="84"/>
        <v>0</v>
      </c>
      <c r="DO38" s="99"/>
      <c r="DP38" s="11">
        <f t="shared" si="85"/>
        <v>0</v>
      </c>
      <c r="DQ38" s="11">
        <f t="shared" si="86"/>
        <v>0</v>
      </c>
      <c r="DR38" s="11">
        <f t="shared" si="87"/>
        <v>0</v>
      </c>
      <c r="DS38" s="99"/>
      <c r="DT38" s="11">
        <f t="shared" si="108"/>
        <v>0</v>
      </c>
      <c r="DU38" s="11">
        <f t="shared" si="88"/>
        <v>0</v>
      </c>
      <c r="DV38" s="11">
        <f t="shared" si="109"/>
        <v>0</v>
      </c>
      <c r="DW38" s="11">
        <f t="shared" si="89"/>
        <v>51416.632821810097</v>
      </c>
      <c r="DX38" s="11">
        <f t="shared" si="40"/>
        <v>100</v>
      </c>
      <c r="DY38" s="11">
        <f t="shared" si="90"/>
        <v>1370769.7888032298</v>
      </c>
      <c r="DZ38" s="11">
        <f t="shared" si="41"/>
        <v>94.628368674568947</v>
      </c>
      <c r="EA38" s="99"/>
      <c r="EB38" s="11">
        <f t="shared" si="42"/>
        <v>0</v>
      </c>
      <c r="EC38" s="11">
        <f t="shared" si="91"/>
        <v>11000</v>
      </c>
      <c r="ED38" s="11">
        <f t="shared" si="43"/>
        <v>0.75936314319346188</v>
      </c>
      <c r="EE38" s="99"/>
      <c r="EF38" s="11">
        <f t="shared" si="44"/>
        <v>0</v>
      </c>
      <c r="EG38" s="11">
        <f t="shared" si="92"/>
        <v>0</v>
      </c>
      <c r="EH38" s="11">
        <f t="shared" si="45"/>
        <v>0</v>
      </c>
      <c r="EI38" s="99"/>
      <c r="EJ38" s="17">
        <f t="shared" si="46"/>
        <v>0</v>
      </c>
      <c r="EK38" s="11">
        <f t="shared" si="93"/>
        <v>0</v>
      </c>
      <c r="EL38" s="11">
        <f t="shared" si="47"/>
        <v>0</v>
      </c>
      <c r="EM38" s="11">
        <f t="shared" si="94"/>
        <v>0</v>
      </c>
      <c r="EN38" s="11">
        <f t="shared" si="48"/>
        <v>0</v>
      </c>
      <c r="EO38" s="11">
        <f t="shared" si="95"/>
        <v>11000</v>
      </c>
      <c r="EP38" s="11">
        <f t="shared" si="49"/>
        <v>0.75936314319346188</v>
      </c>
      <c r="EQ38" s="99"/>
      <c r="ER38" s="11">
        <f t="shared" si="50"/>
        <v>0</v>
      </c>
      <c r="ES38" s="11">
        <f t="shared" si="96"/>
        <v>0</v>
      </c>
      <c r="ET38" s="11">
        <f t="shared" si="51"/>
        <v>0</v>
      </c>
      <c r="EU38" s="11">
        <f t="shared" si="97"/>
        <v>51416.632821810097</v>
      </c>
      <c r="EV38" s="11">
        <f t="shared" si="98"/>
        <v>1448582.2888032303</v>
      </c>
      <c r="EW38" s="11">
        <f t="shared" si="52"/>
        <v>1.0218541014331159</v>
      </c>
      <c r="EX38" s="11">
        <f t="shared" si="53"/>
        <v>1.0793738339201662</v>
      </c>
      <c r="EY38" s="493">
        <f t="shared" si="99"/>
        <v>0.97861328598430408</v>
      </c>
      <c r="EZ38" s="494">
        <f t="shared" si="100"/>
        <v>0.97905425911939814</v>
      </c>
      <c r="FA38" s="7" t="s">
        <v>425</v>
      </c>
    </row>
    <row r="39" spans="1:157">
      <c r="A39" s="18">
        <f>+Chem!A38</f>
        <v>46111</v>
      </c>
      <c r="B39" s="6" t="str">
        <f>+Chem!B38</f>
        <v>Toilet</v>
      </c>
      <c r="C39" s="6">
        <f>+Chem!C38</f>
        <v>15.5</v>
      </c>
      <c r="D39" s="9">
        <f>+Chem!D38</f>
        <v>47.233000000000004</v>
      </c>
      <c r="E39" s="7">
        <f>+Chem!E38</f>
        <v>45.555</v>
      </c>
      <c r="F39" s="7">
        <f t="shared" si="54"/>
        <v>1387.6130000000001</v>
      </c>
      <c r="G39" s="99"/>
      <c r="H39" s="11">
        <f t="shared" si="0"/>
        <v>0</v>
      </c>
      <c r="I39" s="9">
        <f t="shared" si="55"/>
        <v>44750</v>
      </c>
      <c r="J39" s="11">
        <f t="shared" si="1"/>
        <v>3.0196427611499645</v>
      </c>
      <c r="K39" s="99"/>
      <c r="L39" s="11">
        <f t="shared" si="2"/>
        <v>0</v>
      </c>
      <c r="M39" s="11">
        <f t="shared" si="56"/>
        <v>0</v>
      </c>
      <c r="N39" s="11">
        <f t="shared" si="3"/>
        <v>0</v>
      </c>
      <c r="O39" s="99"/>
      <c r="P39" s="11">
        <f t="shared" si="4"/>
        <v>0</v>
      </c>
      <c r="Q39" s="11">
        <f t="shared" si="57"/>
        <v>0</v>
      </c>
      <c r="R39" s="11">
        <f t="shared" si="5"/>
        <v>0</v>
      </c>
      <c r="S39" s="99"/>
      <c r="T39" s="11">
        <f t="shared" si="6"/>
        <v>0</v>
      </c>
      <c r="U39" s="11">
        <f t="shared" si="58"/>
        <v>22062.5</v>
      </c>
      <c r="V39" s="11">
        <f t="shared" si="7"/>
        <v>1.4887344897848289</v>
      </c>
      <c r="W39" s="99"/>
      <c r="X39" s="11">
        <f t="shared" si="8"/>
        <v>0</v>
      </c>
      <c r="Y39" s="11">
        <f t="shared" si="59"/>
        <v>0</v>
      </c>
      <c r="Z39" s="11">
        <f t="shared" si="9"/>
        <v>0</v>
      </c>
      <c r="AA39" s="99"/>
      <c r="AB39" s="11">
        <f t="shared" si="10"/>
        <v>0</v>
      </c>
      <c r="AC39" s="11">
        <f t="shared" si="60"/>
        <v>0</v>
      </c>
      <c r="AD39" s="11">
        <f t="shared" si="11"/>
        <v>0</v>
      </c>
      <c r="AE39" s="99"/>
      <c r="AF39" s="11">
        <f t="shared" si="12"/>
        <v>0</v>
      </c>
      <c r="AG39" s="11">
        <f t="shared" si="61"/>
        <v>0</v>
      </c>
      <c r="AH39" s="11">
        <f t="shared" si="13"/>
        <v>0</v>
      </c>
      <c r="AI39" s="99"/>
      <c r="AJ39" s="11">
        <f t="shared" si="14"/>
        <v>0</v>
      </c>
      <c r="AK39" s="11">
        <f t="shared" si="62"/>
        <v>0</v>
      </c>
      <c r="AL39" s="11">
        <f t="shared" si="15"/>
        <v>0</v>
      </c>
      <c r="AM39" s="99"/>
      <c r="AN39" s="11">
        <f t="shared" si="16"/>
        <v>0</v>
      </c>
      <c r="AO39" s="11">
        <f t="shared" si="63"/>
        <v>0</v>
      </c>
      <c r="AP39" s="11">
        <f t="shared" si="17"/>
        <v>0</v>
      </c>
      <c r="AQ39" s="99"/>
      <c r="AR39" s="11">
        <f t="shared" si="18"/>
        <v>0</v>
      </c>
      <c r="AS39" s="11">
        <f t="shared" si="64"/>
        <v>0</v>
      </c>
      <c r="AT39" s="11">
        <f t="shared" si="19"/>
        <v>0</v>
      </c>
      <c r="AU39" s="256"/>
      <c r="AV39" s="11">
        <f t="shared" si="20"/>
        <v>0</v>
      </c>
      <c r="AW39" s="9">
        <f t="shared" si="65"/>
        <v>0</v>
      </c>
      <c r="AX39" s="11">
        <f t="shared" si="21"/>
        <v>0</v>
      </c>
      <c r="AY39" s="99"/>
      <c r="AZ39" s="11">
        <f t="shared" si="22"/>
        <v>0</v>
      </c>
      <c r="BA39" s="11">
        <f t="shared" si="66"/>
        <v>0</v>
      </c>
      <c r="BB39" s="11">
        <f t="shared" si="23"/>
        <v>0</v>
      </c>
      <c r="BC39" s="99"/>
      <c r="BD39" s="11">
        <f t="shared" si="24"/>
        <v>0</v>
      </c>
      <c r="BE39" s="11">
        <f t="shared" si="67"/>
        <v>0</v>
      </c>
      <c r="BF39" s="11">
        <f t="shared" si="25"/>
        <v>0</v>
      </c>
      <c r="BG39" s="99"/>
      <c r="BH39" s="11">
        <f t="shared" si="26"/>
        <v>0</v>
      </c>
      <c r="BI39" s="11">
        <f t="shared" si="68"/>
        <v>0</v>
      </c>
      <c r="BJ39" s="11">
        <f t="shared" si="27"/>
        <v>0</v>
      </c>
      <c r="BK39" s="99"/>
      <c r="BL39" s="11"/>
      <c r="BM39" s="11"/>
      <c r="BN39" s="11"/>
      <c r="BO39" s="99"/>
      <c r="BP39" s="11"/>
      <c r="BQ39" s="11"/>
      <c r="BR39" s="11"/>
      <c r="BS39" s="99"/>
      <c r="BT39" s="11"/>
      <c r="BU39" s="11"/>
      <c r="BV39" s="11"/>
      <c r="BW39" s="11">
        <f t="shared" si="69"/>
        <v>0</v>
      </c>
      <c r="BX39" s="11">
        <f t="shared" si="28"/>
        <v>0</v>
      </c>
      <c r="BY39" s="11">
        <f t="shared" si="70"/>
        <v>66812.5</v>
      </c>
      <c r="BZ39" s="11">
        <f t="shared" si="29"/>
        <v>4.5083772509347932</v>
      </c>
      <c r="CA39" s="11"/>
      <c r="CB39" s="11">
        <f t="shared" si="71"/>
        <v>0</v>
      </c>
      <c r="CC39" s="11">
        <f t="shared" si="101"/>
        <v>0</v>
      </c>
      <c r="CD39" s="11">
        <f t="shared" si="72"/>
        <v>0</v>
      </c>
      <c r="CE39" s="11"/>
      <c r="CF39" s="11">
        <f t="shared" si="102"/>
        <v>0</v>
      </c>
      <c r="CG39" s="11">
        <f t="shared" si="103"/>
        <v>0</v>
      </c>
      <c r="CH39" s="11">
        <f t="shared" si="104"/>
        <v>0</v>
      </c>
      <c r="CI39" s="11">
        <f t="shared" si="73"/>
        <v>0</v>
      </c>
      <c r="CJ39" s="11">
        <f t="shared" si="105"/>
        <v>0</v>
      </c>
      <c r="CK39" s="11">
        <f t="shared" si="106"/>
        <v>0</v>
      </c>
      <c r="CL39" s="11">
        <f t="shared" si="107"/>
        <v>0</v>
      </c>
      <c r="CM39" s="99"/>
      <c r="CN39" s="11">
        <f t="shared" si="74"/>
        <v>0</v>
      </c>
      <c r="CO39" s="11">
        <f t="shared" si="75"/>
        <v>0</v>
      </c>
      <c r="CP39" s="11">
        <f t="shared" si="76"/>
        <v>0</v>
      </c>
      <c r="CQ39" s="99">
        <v>23052.599078955467</v>
      </c>
      <c r="CR39" s="11">
        <f t="shared" si="30"/>
        <v>69.058849140120444</v>
      </c>
      <c r="CS39" s="11">
        <f t="shared" si="77"/>
        <v>808377.31382563792</v>
      </c>
      <c r="CT39" s="11">
        <f t="shared" si="31"/>
        <v>54.547725228412084</v>
      </c>
      <c r="CU39" s="99">
        <v>8133.9316703932391</v>
      </c>
      <c r="CV39" s="11">
        <f t="shared" si="32"/>
        <v>24.366881938901383</v>
      </c>
      <c r="CW39" s="11">
        <f t="shared" si="78"/>
        <v>329476.48425565101</v>
      </c>
      <c r="CX39" s="11">
        <f t="shared" si="33"/>
        <v>22.232430852552334</v>
      </c>
      <c r="CY39" s="99">
        <v>961.63516174690767</v>
      </c>
      <c r="CZ39" s="11">
        <f t="shared" si="34"/>
        <v>2.8807778825919743</v>
      </c>
      <c r="DA39" s="11">
        <f t="shared" si="79"/>
        <v>44562.45084700358</v>
      </c>
      <c r="DB39" s="11">
        <f t="shared" si="35"/>
        <v>3.0069873099274962</v>
      </c>
      <c r="DC39" s="99">
        <v>1232.9277010810479</v>
      </c>
      <c r="DD39" s="11">
        <f t="shared" si="36"/>
        <v>3.6934910383861834</v>
      </c>
      <c r="DE39" s="11">
        <f t="shared" si="80"/>
        <v>42667.007943528319</v>
      </c>
      <c r="DF39" s="11">
        <f t="shared" si="37"/>
        <v>2.8790865179129232</v>
      </c>
      <c r="DG39" s="99"/>
      <c r="DH39" s="11">
        <f t="shared" si="38"/>
        <v>0</v>
      </c>
      <c r="DI39" s="11">
        <f t="shared" si="81"/>
        <v>4345.5382696781471</v>
      </c>
      <c r="DJ39" s="11">
        <f t="shared" si="39"/>
        <v>0.29322845093483257</v>
      </c>
      <c r="DK39" s="99"/>
      <c r="DL39" s="11">
        <f t="shared" si="82"/>
        <v>0</v>
      </c>
      <c r="DM39" s="11">
        <f t="shared" si="83"/>
        <v>0</v>
      </c>
      <c r="DN39" s="11">
        <f t="shared" si="84"/>
        <v>0</v>
      </c>
      <c r="DO39" s="99"/>
      <c r="DP39" s="11">
        <f t="shared" si="85"/>
        <v>0</v>
      </c>
      <c r="DQ39" s="11">
        <f t="shared" si="86"/>
        <v>0</v>
      </c>
      <c r="DR39" s="11">
        <f t="shared" si="87"/>
        <v>0</v>
      </c>
      <c r="DS39" s="99"/>
      <c r="DT39" s="11">
        <f t="shared" si="108"/>
        <v>0</v>
      </c>
      <c r="DU39" s="11">
        <f t="shared" si="88"/>
        <v>0</v>
      </c>
      <c r="DV39" s="11">
        <f t="shared" si="109"/>
        <v>0</v>
      </c>
      <c r="DW39" s="11">
        <f t="shared" si="89"/>
        <v>33381.093612176664</v>
      </c>
      <c r="DX39" s="11">
        <f t="shared" si="40"/>
        <v>100</v>
      </c>
      <c r="DY39" s="11">
        <f t="shared" si="90"/>
        <v>1404150.8824154064</v>
      </c>
      <c r="DZ39" s="11">
        <f t="shared" si="41"/>
        <v>94.749364193251779</v>
      </c>
      <c r="EA39" s="99"/>
      <c r="EB39" s="11">
        <f t="shared" si="42"/>
        <v>0</v>
      </c>
      <c r="EC39" s="11">
        <f t="shared" si="91"/>
        <v>11000</v>
      </c>
      <c r="ED39" s="11">
        <f t="shared" si="43"/>
        <v>0.74225855581339906</v>
      </c>
      <c r="EE39" s="99"/>
      <c r="EF39" s="11">
        <f t="shared" si="44"/>
        <v>0</v>
      </c>
      <c r="EG39" s="11">
        <f t="shared" si="92"/>
        <v>0</v>
      </c>
      <c r="EH39" s="11">
        <f t="shared" si="45"/>
        <v>0</v>
      </c>
      <c r="EI39" s="99"/>
      <c r="EJ39" s="17">
        <f t="shared" si="46"/>
        <v>0</v>
      </c>
      <c r="EK39" s="11">
        <f t="shared" si="93"/>
        <v>0</v>
      </c>
      <c r="EL39" s="11">
        <f t="shared" si="47"/>
        <v>0</v>
      </c>
      <c r="EM39" s="11">
        <f t="shared" si="94"/>
        <v>0</v>
      </c>
      <c r="EN39" s="11">
        <f t="shared" si="48"/>
        <v>0</v>
      </c>
      <c r="EO39" s="11">
        <f t="shared" si="95"/>
        <v>11000</v>
      </c>
      <c r="EP39" s="11">
        <f t="shared" si="49"/>
        <v>0.74225855581339906</v>
      </c>
      <c r="EQ39" s="99"/>
      <c r="ER39" s="11">
        <f t="shared" si="50"/>
        <v>0</v>
      </c>
      <c r="ES39" s="11">
        <f t="shared" si="96"/>
        <v>0</v>
      </c>
      <c r="ET39" s="11">
        <f t="shared" si="51"/>
        <v>0</v>
      </c>
      <c r="EU39" s="11">
        <f t="shared" si="97"/>
        <v>33381.093612176664</v>
      </c>
      <c r="EV39" s="11">
        <f t="shared" si="98"/>
        <v>1481963.3824154069</v>
      </c>
      <c r="EW39" s="11">
        <f t="shared" si="52"/>
        <v>0.7327646495922876</v>
      </c>
      <c r="EX39" s="11">
        <f t="shared" si="53"/>
        <v>1.0679947380252324</v>
      </c>
      <c r="EY39" s="493">
        <f t="shared" si="99"/>
        <v>1.364694654083549</v>
      </c>
      <c r="EZ39" s="494">
        <f t="shared" si="100"/>
        <v>0.98822214719050838</v>
      </c>
      <c r="FA39" s="7" t="s">
        <v>425</v>
      </c>
    </row>
    <row r="40" spans="1:157">
      <c r="A40" s="18">
        <f>+Chem!A39</f>
        <v>46112</v>
      </c>
      <c r="B40" s="6" t="str">
        <f>+Chem!B39</f>
        <v>Toilet</v>
      </c>
      <c r="C40" s="6" t="str">
        <f>+Chem!C39</f>
        <v>15,5/16</v>
      </c>
      <c r="D40" s="9">
        <f>+Chem!D39</f>
        <v>33.408000000000001</v>
      </c>
      <c r="E40" s="7">
        <f>+Chem!E39</f>
        <v>33.673999999999999</v>
      </c>
      <c r="F40" s="7">
        <f t="shared" ref="F40" si="111">+E40+F39</f>
        <v>1421.287</v>
      </c>
      <c r="G40" s="99"/>
      <c r="H40" s="11">
        <f t="shared" ref="H40" si="112">G40/EU40*100</f>
        <v>0</v>
      </c>
      <c r="I40" s="9">
        <f t="shared" ref="I40" si="113">G40+I39</f>
        <v>44750</v>
      </c>
      <c r="J40" s="11">
        <f t="shared" ref="J40" si="114">I40/EV40*100</f>
        <v>2.9340761535898752</v>
      </c>
      <c r="K40" s="99"/>
      <c r="L40" s="11">
        <f t="shared" ref="L40" si="115">+K40/EU40*100</f>
        <v>0</v>
      </c>
      <c r="M40" s="11">
        <f t="shared" ref="M40" si="116">+K40+M39</f>
        <v>0</v>
      </c>
      <c r="N40" s="11">
        <f t="shared" ref="N40" si="117">+M40/EV40*100</f>
        <v>0</v>
      </c>
      <c r="O40" s="99"/>
      <c r="P40" s="11">
        <f t="shared" ref="P40" si="118">+O40/EU40*100</f>
        <v>0</v>
      </c>
      <c r="Q40" s="11">
        <f t="shared" ref="Q40" si="119">+O40+Q39</f>
        <v>0</v>
      </c>
      <c r="R40" s="11">
        <f t="shared" ref="R40" si="120">+Q40/EV40*100</f>
        <v>0</v>
      </c>
      <c r="S40" s="99"/>
      <c r="T40" s="11">
        <f t="shared" ref="T40" si="121">+S40/EU40*100</f>
        <v>0</v>
      </c>
      <c r="U40" s="11">
        <f t="shared" ref="U40" si="122">+S40+U39</f>
        <v>22062.5</v>
      </c>
      <c r="V40" s="11">
        <f t="shared" ref="V40" si="123">+U40/EV40*100</f>
        <v>1.446548718180483</v>
      </c>
      <c r="W40" s="99"/>
      <c r="X40" s="11">
        <f t="shared" ref="X40" si="124">+W40/EU40*100</f>
        <v>0</v>
      </c>
      <c r="Y40" s="11">
        <f t="shared" ref="Y40" si="125">+W40+Y39</f>
        <v>0</v>
      </c>
      <c r="Z40" s="11">
        <f t="shared" ref="Z40" si="126">+Y40/EV40*100</f>
        <v>0</v>
      </c>
      <c r="AA40" s="99"/>
      <c r="AB40" s="11">
        <f t="shared" ref="AB40" si="127">AA40/EU40*100</f>
        <v>0</v>
      </c>
      <c r="AC40" s="11">
        <f t="shared" ref="AC40" si="128">AA40+AC39</f>
        <v>0</v>
      </c>
      <c r="AD40" s="11">
        <f t="shared" ref="AD40" si="129">AC40/EV40*100</f>
        <v>0</v>
      </c>
      <c r="AE40" s="99"/>
      <c r="AF40" s="11">
        <f t="shared" ref="AF40" si="130">+AE40/EU40*100</f>
        <v>0</v>
      </c>
      <c r="AG40" s="11">
        <f t="shared" ref="AG40" si="131">+AE40+AG39</f>
        <v>0</v>
      </c>
      <c r="AH40" s="11">
        <f t="shared" ref="AH40" si="132">+AG40/EV40*100</f>
        <v>0</v>
      </c>
      <c r="AI40" s="99"/>
      <c r="AJ40" s="11">
        <f t="shared" ref="AJ40" si="133">AI40/EU40*100</f>
        <v>0</v>
      </c>
      <c r="AK40" s="11">
        <f t="shared" ref="AK40" si="134">AI40+AK39</f>
        <v>0</v>
      </c>
      <c r="AL40" s="11">
        <f t="shared" ref="AL40" si="135">AK40/EV40*100</f>
        <v>0</v>
      </c>
      <c r="AM40" s="99"/>
      <c r="AN40" s="11">
        <f t="shared" ref="AN40" si="136">AM40/EU40*100</f>
        <v>0</v>
      </c>
      <c r="AO40" s="11">
        <f t="shared" ref="AO40" si="137">+AM40+AO39</f>
        <v>0</v>
      </c>
      <c r="AP40" s="11">
        <f t="shared" ref="AP40" si="138">+AO40/EV40*100</f>
        <v>0</v>
      </c>
      <c r="AQ40" s="99"/>
      <c r="AR40" s="11">
        <f t="shared" ref="AR40" si="139">AQ40/EU40*100</f>
        <v>0</v>
      </c>
      <c r="AS40" s="11">
        <f t="shared" ref="AS40" si="140">AQ40+AS39</f>
        <v>0</v>
      </c>
      <c r="AT40" s="11">
        <f t="shared" ref="AT40" si="141">AS40/EV40*100</f>
        <v>0</v>
      </c>
      <c r="AU40" s="256"/>
      <c r="AV40" s="11">
        <f t="shared" ref="AV40" si="142">AU40/EU40*100</f>
        <v>0</v>
      </c>
      <c r="AW40" s="9">
        <f t="shared" ref="AW40" si="143">AU40+AW39</f>
        <v>0</v>
      </c>
      <c r="AX40" s="11">
        <f t="shared" ref="AX40" si="144">AW40/EV40*100</f>
        <v>0</v>
      </c>
      <c r="AY40" s="99"/>
      <c r="AZ40" s="11">
        <f t="shared" ref="AZ40" si="145">AY40/EU40*100</f>
        <v>0</v>
      </c>
      <c r="BA40" s="11">
        <f t="shared" ref="BA40" si="146">AY40+BA39</f>
        <v>0</v>
      </c>
      <c r="BB40" s="11">
        <f t="shared" ref="BB40" si="147">BA40/EV40*100</f>
        <v>0</v>
      </c>
      <c r="BC40" s="99"/>
      <c r="BD40" s="11">
        <f t="shared" ref="BD40" si="148">BC40/EU40*100</f>
        <v>0</v>
      </c>
      <c r="BE40" s="11">
        <f t="shared" ref="BE40" si="149">BC40+BE39</f>
        <v>0</v>
      </c>
      <c r="BF40" s="11">
        <f t="shared" ref="BF40" si="150">BE40/EV40*100</f>
        <v>0</v>
      </c>
      <c r="BG40" s="99"/>
      <c r="BH40" s="11">
        <f t="shared" ref="BH40" si="151">BG40/EU40*100</f>
        <v>0</v>
      </c>
      <c r="BI40" s="11">
        <f t="shared" ref="BI40" si="152">BG40+BI39</f>
        <v>0</v>
      </c>
      <c r="BJ40" s="11">
        <f t="shared" ref="BJ40" si="153">BI40/EV40*100</f>
        <v>0</v>
      </c>
      <c r="BK40" s="99"/>
      <c r="BL40" s="11"/>
      <c r="BM40" s="11"/>
      <c r="BN40" s="11"/>
      <c r="BO40" s="99"/>
      <c r="BP40" s="11"/>
      <c r="BQ40" s="11"/>
      <c r="BR40" s="11"/>
      <c r="BS40" s="99"/>
      <c r="BT40" s="11"/>
      <c r="BU40" s="11"/>
      <c r="BV40" s="11"/>
      <c r="BW40" s="11">
        <f t="shared" ref="BW40" si="154">G40+AY40+BK40+BG40+BS40+BO40+AU40+AI40+BC40+AQ40+AA40+AM40+AE40+K40+W40+S40+O40</f>
        <v>0</v>
      </c>
      <c r="BX40" s="11">
        <f t="shared" ref="BX40" si="155">BW40/EU40*100</f>
        <v>0</v>
      </c>
      <c r="BY40" s="11">
        <f t="shared" ref="BY40" si="156">BW40+BY39</f>
        <v>66812.5</v>
      </c>
      <c r="BZ40" s="11">
        <f t="shared" ref="BZ40" si="157">BY40/EV40*100</f>
        <v>4.3806248717703582</v>
      </c>
      <c r="CA40" s="11"/>
      <c r="CB40" s="11">
        <f t="shared" ref="CB40" si="158">CA40/EU40*100</f>
        <v>0</v>
      </c>
      <c r="CC40" s="11">
        <f t="shared" ref="CC40" si="159">+CA40+CC39</f>
        <v>0</v>
      </c>
      <c r="CD40" s="11">
        <f t="shared" ref="CD40" si="160">CC40/EV40*100</f>
        <v>0</v>
      </c>
      <c r="CE40" s="11"/>
      <c r="CF40" s="11">
        <f t="shared" ref="CF40" si="161">CE40/EU40*100</f>
        <v>0</v>
      </c>
      <c r="CG40" s="11">
        <f t="shared" ref="CG40" si="162">+CE40+CG39</f>
        <v>0</v>
      </c>
      <c r="CH40" s="11">
        <f t="shared" ref="CH40" si="163">CG40/EV40*100</f>
        <v>0</v>
      </c>
      <c r="CI40" s="11">
        <f t="shared" ref="CI40" si="164">+CA40+CE40</f>
        <v>0</v>
      </c>
      <c r="CJ40" s="11">
        <f t="shared" ref="CJ40" si="165">CI40/EU40*100</f>
        <v>0</v>
      </c>
      <c r="CK40" s="11">
        <f t="shared" ref="CK40" si="166">+CI40+CK39</f>
        <v>0</v>
      </c>
      <c r="CL40" s="11">
        <f t="shared" ref="CL40" si="167">CK40/EV40*100</f>
        <v>0</v>
      </c>
      <c r="CM40" s="99"/>
      <c r="CN40" s="11">
        <f t="shared" ref="CN40" si="168">CM40/EU40*100</f>
        <v>0</v>
      </c>
      <c r="CO40" s="11">
        <f t="shared" ref="CO40" si="169">CM40</f>
        <v>0</v>
      </c>
      <c r="CP40" s="11">
        <f t="shared" ref="CP40" si="170">CO40/EV40*100</f>
        <v>0</v>
      </c>
      <c r="CQ40" s="99">
        <v>30062.63280786866</v>
      </c>
      <c r="CR40" s="11">
        <f t="shared" ref="CR40" si="171">CQ40/EU40*100</f>
        <v>69.559524922846734</v>
      </c>
      <c r="CS40" s="11">
        <f t="shared" ref="CS40" si="172">CQ40+CS39</f>
        <v>838439.94663350657</v>
      </c>
      <c r="CT40" s="11">
        <f t="shared" ref="CT40" si="173">CS40/EV40*100</f>
        <v>54.973109578425451</v>
      </c>
      <c r="CU40" s="99">
        <v>10704.60916800755</v>
      </c>
      <c r="CV40" s="11">
        <f t="shared" ref="CV40" si="174">CU40/EU40*100</f>
        <v>24.768540166464046</v>
      </c>
      <c r="CW40" s="11">
        <f t="shared" ref="CW40" si="175">CU40+CW39</f>
        <v>340181.09342365857</v>
      </c>
      <c r="CX40" s="11">
        <f t="shared" ref="CX40" si="176">CW40/EV40*100</f>
        <v>22.304295734446615</v>
      </c>
      <c r="CY40" s="99">
        <v>1038.7330776582746</v>
      </c>
      <c r="CZ40" s="11">
        <f t="shared" ref="CZ40" si="177">CY40/EU40*100</f>
        <v>2.403441503787525</v>
      </c>
      <c r="DA40" s="11">
        <f t="shared" ref="DA40" si="178">CY40+DA39</f>
        <v>45601.183924661855</v>
      </c>
      <c r="DB40" s="11">
        <f t="shared" ref="DB40" si="179">DA40/EV40*100</f>
        <v>2.9898848341634929</v>
      </c>
      <c r="DC40" s="99">
        <v>1113.505692197878</v>
      </c>
      <c r="DD40" s="11">
        <f t="shared" ref="DD40" si="180">DC40/EU40*100</f>
        <v>2.5764518844103623</v>
      </c>
      <c r="DE40" s="11">
        <f t="shared" ref="DE40" si="181">DC40+DE39</f>
        <v>43780.513635726194</v>
      </c>
      <c r="DF40" s="11">
        <f t="shared" ref="DF40" si="182">DE40/EV40*100</f>
        <v>2.8705108614637003</v>
      </c>
      <c r="DG40" s="99">
        <v>299.0904581584137</v>
      </c>
      <c r="DH40" s="11">
        <f t="shared" ref="DH40" si="183">DG40/EU40*100</f>
        <v>0.69204152249134954</v>
      </c>
      <c r="DI40" s="11">
        <f t="shared" ref="DI40" si="184">DG40+DI39</f>
        <v>4644.6287278365608</v>
      </c>
      <c r="DJ40" s="11">
        <f t="shared" ref="DJ40" si="185">DI40/EV40*100</f>
        <v>0.30452948363404986</v>
      </c>
      <c r="DK40" s="99"/>
      <c r="DL40" s="11">
        <f t="shared" si="82"/>
        <v>0</v>
      </c>
      <c r="DM40" s="11">
        <f t="shared" si="83"/>
        <v>0</v>
      </c>
      <c r="DN40" s="11">
        <f t="shared" si="84"/>
        <v>0</v>
      </c>
      <c r="DO40" s="99"/>
      <c r="DP40" s="11">
        <f t="shared" ref="DP40" si="186">DO40/EU40*100</f>
        <v>0</v>
      </c>
      <c r="DQ40" s="11">
        <f t="shared" ref="DQ40" si="187">DO40+DQ39</f>
        <v>0</v>
      </c>
      <c r="DR40" s="11">
        <f t="shared" ref="DR40" si="188">DQ40/EV40*100</f>
        <v>0</v>
      </c>
      <c r="DS40" s="99"/>
      <c r="DT40" s="11">
        <f t="shared" ref="DT40" si="189">DS40/EU40*100</f>
        <v>0</v>
      </c>
      <c r="DU40" s="11">
        <f t="shared" ref="DU40" si="190">DS40+DU39</f>
        <v>0</v>
      </c>
      <c r="DV40" s="11">
        <f t="shared" ref="DV40" si="191">DU40/EV40*100</f>
        <v>0</v>
      </c>
      <c r="DW40" s="11">
        <f t="shared" ref="DW40" si="192">CQ40+CU40+CY40+DC40+DG40+DK40+DO40+DS40+CM40</f>
        <v>43218.571203890773</v>
      </c>
      <c r="DX40" s="11">
        <f t="shared" ref="DX40" si="193">DW40/EU40*100</f>
        <v>100</v>
      </c>
      <c r="DY40" s="11">
        <f t="shared" ref="DY40" si="194">DW40+DY39</f>
        <v>1447369.4536192971</v>
      </c>
      <c r="DZ40" s="11">
        <f t="shared" ref="DZ40" si="195">DY40/EV40*100</f>
        <v>94.898149705000804</v>
      </c>
      <c r="EA40" s="99"/>
      <c r="EB40" s="11">
        <f t="shared" ref="EB40" si="196">+EA40/EU40*100</f>
        <v>0</v>
      </c>
      <c r="EC40" s="11">
        <f t="shared" ref="EC40" si="197">+EA40+EC39</f>
        <v>11000</v>
      </c>
      <c r="ED40" s="11">
        <f t="shared" ref="ED40" si="198">+EC40/EV40*100</f>
        <v>0.72122542322879613</v>
      </c>
      <c r="EE40" s="99"/>
      <c r="EF40" s="11">
        <f t="shared" ref="EF40" si="199">EE40/EU40*100</f>
        <v>0</v>
      </c>
      <c r="EG40" s="11">
        <f t="shared" ref="EG40" si="200">EE40+EG39</f>
        <v>0</v>
      </c>
      <c r="EH40" s="11">
        <f t="shared" ref="EH40" si="201">EG40/EV40*100</f>
        <v>0</v>
      </c>
      <c r="EI40" s="99"/>
      <c r="EJ40" s="17">
        <f t="shared" ref="EJ40" si="202">EI40/EU40*100</f>
        <v>0</v>
      </c>
      <c r="EK40" s="11">
        <f t="shared" ref="EK40" si="203">EI40+EK39</f>
        <v>0</v>
      </c>
      <c r="EL40" s="11">
        <f t="shared" ref="EL40" si="204">EK40/EV40*100</f>
        <v>0</v>
      </c>
      <c r="EM40" s="11">
        <f t="shared" ref="EM40" si="205">EA40+EE40+EI40</f>
        <v>0</v>
      </c>
      <c r="EN40" s="11">
        <f t="shared" ref="EN40" si="206">EM40/EU40*100</f>
        <v>0</v>
      </c>
      <c r="EO40" s="11">
        <f t="shared" ref="EO40" si="207">EM40+EO39</f>
        <v>11000</v>
      </c>
      <c r="EP40" s="11">
        <f t="shared" ref="EP40" si="208">EO40/EV40*100</f>
        <v>0.72122542322879613</v>
      </c>
      <c r="EQ40" s="99"/>
      <c r="ER40" s="11">
        <f t="shared" ref="ER40" si="209">EQ40/EU40*100</f>
        <v>0</v>
      </c>
      <c r="ES40" s="11">
        <f t="shared" ref="ES40" si="210">EQ40+ES39</f>
        <v>0</v>
      </c>
      <c r="ET40" s="11">
        <f t="shared" ref="ET40" si="211">ES40/EV40*100</f>
        <v>0</v>
      </c>
      <c r="EU40" s="11">
        <f t="shared" ref="EU40" si="212">BW40+DW40+EM40+EQ40+CI40</f>
        <v>43218.571203890773</v>
      </c>
      <c r="EV40" s="11">
        <f t="shared" ref="EV40" si="213">EU40+EV39</f>
        <v>1525181.9536192976</v>
      </c>
      <c r="EW40" s="11">
        <f t="shared" ref="EW40" si="214">EU40/1000/E40</f>
        <v>1.2834403754793247</v>
      </c>
      <c r="EX40" s="11">
        <f t="shared" ref="EX40" si="215">(EV40/1000)/F40</f>
        <v>1.0730992077035093</v>
      </c>
      <c r="EY40" s="493">
        <f t="shared" ref="EY40" si="216">+(E40*1000)/DW40</f>
        <v>0.77915579025362325</v>
      </c>
      <c r="EZ40" s="494">
        <f t="shared" ref="EZ40" si="217">+(F40*1000)/DY40</f>
        <v>0.98197940853727761</v>
      </c>
      <c r="FA40" s="7" t="s">
        <v>425</v>
      </c>
    </row>
    <row r="41" spans="1:157">
      <c r="A41" s="18"/>
      <c r="B41" s="18"/>
      <c r="C41" s="18"/>
      <c r="D41" s="9"/>
      <c r="E41" s="7"/>
      <c r="F41" s="7"/>
      <c r="G41" s="99"/>
      <c r="H41" s="11"/>
      <c r="I41" s="9"/>
      <c r="J41" s="11"/>
      <c r="K41" s="99"/>
      <c r="L41" s="11"/>
      <c r="M41" s="11"/>
      <c r="N41" s="11"/>
      <c r="O41" s="99"/>
      <c r="P41" s="11"/>
      <c r="Q41" s="11"/>
      <c r="R41" s="11"/>
      <c r="S41" s="99"/>
      <c r="T41" s="11"/>
      <c r="U41" s="11"/>
      <c r="V41" s="11"/>
      <c r="W41" s="99"/>
      <c r="X41" s="11"/>
      <c r="Y41" s="11"/>
      <c r="Z41" s="11"/>
      <c r="AA41" s="99"/>
      <c r="AB41" s="11"/>
      <c r="AC41" s="11"/>
      <c r="AD41" s="11"/>
      <c r="AE41" s="99"/>
      <c r="AF41" s="11"/>
      <c r="AG41" s="11"/>
      <c r="AH41" s="11"/>
      <c r="AI41" s="99"/>
      <c r="AJ41" s="11"/>
      <c r="AK41" s="11"/>
      <c r="AL41" s="11"/>
      <c r="AM41" s="99"/>
      <c r="AN41" s="11"/>
      <c r="AO41" s="11"/>
      <c r="AP41" s="11"/>
      <c r="AQ41" s="99"/>
      <c r="AR41" s="11"/>
      <c r="AS41" s="11"/>
      <c r="AT41" s="11"/>
      <c r="AU41" s="256"/>
      <c r="AV41" s="11"/>
      <c r="AW41" s="9"/>
      <c r="AX41" s="11"/>
      <c r="AY41" s="99"/>
      <c r="AZ41" s="11"/>
      <c r="BA41" s="11"/>
      <c r="BB41" s="11"/>
      <c r="BC41" s="99"/>
      <c r="BD41" s="11"/>
      <c r="BE41" s="11"/>
      <c r="BF41" s="11"/>
      <c r="BG41" s="99"/>
      <c r="BH41" s="11"/>
      <c r="BI41" s="11"/>
      <c r="BJ41" s="11"/>
      <c r="BK41" s="99"/>
      <c r="BL41" s="11"/>
      <c r="BM41" s="11"/>
      <c r="BN41" s="11"/>
      <c r="BO41" s="99"/>
      <c r="BP41" s="11"/>
      <c r="BQ41" s="11"/>
      <c r="BR41" s="11"/>
      <c r="BS41" s="99"/>
      <c r="BT41" s="11"/>
      <c r="BU41" s="11"/>
      <c r="BV41" s="11"/>
      <c r="BW41" s="11"/>
      <c r="BX41" s="11"/>
      <c r="BY41" s="11"/>
      <c r="BZ41" s="11"/>
      <c r="CA41" s="11"/>
      <c r="CB41" s="11"/>
      <c r="CC41" s="11"/>
      <c r="CD41" s="11"/>
      <c r="CE41" s="11"/>
      <c r="CF41" s="11"/>
      <c r="CG41" s="11"/>
      <c r="CH41" s="11"/>
      <c r="CI41" s="11"/>
      <c r="CJ41" s="11"/>
      <c r="CK41" s="11"/>
      <c r="CL41" s="11"/>
      <c r="CM41" s="99"/>
      <c r="CN41" s="11"/>
      <c r="CO41" s="11"/>
      <c r="CP41" s="11"/>
      <c r="CQ41" s="99"/>
      <c r="CR41" s="11"/>
      <c r="CS41" s="11"/>
      <c r="CT41" s="11"/>
      <c r="CU41" s="99"/>
      <c r="CV41" s="11"/>
      <c r="CW41" s="11"/>
      <c r="CX41" s="11"/>
      <c r="CY41" s="99"/>
      <c r="CZ41" s="11"/>
      <c r="DA41" s="11"/>
      <c r="DB41" s="11"/>
      <c r="DC41" s="99"/>
      <c r="DD41" s="11"/>
      <c r="DE41" s="11"/>
      <c r="DF41" s="11"/>
      <c r="DG41" s="99"/>
      <c r="DH41" s="11"/>
      <c r="DI41" s="11"/>
      <c r="DJ41" s="11"/>
      <c r="DK41" s="99"/>
      <c r="DL41" s="17"/>
      <c r="DM41" s="11"/>
      <c r="DN41" s="11"/>
      <c r="DO41" s="99"/>
      <c r="DP41" s="11"/>
      <c r="DQ41" s="11"/>
      <c r="DR41" s="11"/>
      <c r="DS41" s="99"/>
      <c r="DT41" s="11"/>
      <c r="DU41" s="11"/>
      <c r="DV41" s="11"/>
      <c r="DW41" s="11"/>
      <c r="DX41" s="11"/>
      <c r="DY41" s="11"/>
      <c r="DZ41" s="11"/>
      <c r="EA41" s="99"/>
      <c r="EB41" s="11"/>
      <c r="EC41" s="11"/>
      <c r="ED41" s="11"/>
      <c r="EE41" s="99"/>
      <c r="EF41" s="11"/>
      <c r="EG41" s="11"/>
      <c r="EH41" s="11"/>
      <c r="EI41" s="99"/>
      <c r="EJ41" s="17"/>
      <c r="EK41" s="11"/>
      <c r="EL41" s="11"/>
      <c r="EM41" s="11"/>
      <c r="EN41" s="11"/>
      <c r="EO41" s="11"/>
      <c r="EP41" s="11"/>
      <c r="EQ41" s="99"/>
      <c r="ER41" s="11"/>
      <c r="ES41" s="11"/>
      <c r="ET41" s="11"/>
      <c r="EU41" s="11"/>
      <c r="EV41" s="11"/>
      <c r="EW41" s="11"/>
      <c r="EX41" s="11"/>
      <c r="EY41" s="6"/>
      <c r="EZ41" s="493"/>
      <c r="FA41" s="6"/>
    </row>
    <row r="42" spans="1:157" ht="13.5" thickBot="1">
      <c r="A42" s="12" t="s">
        <v>29</v>
      </c>
      <c r="B42" s="12"/>
      <c r="C42" s="13"/>
      <c r="D42" s="13">
        <f>SUM(D10:D41)</f>
        <v>1452.9290999999996</v>
      </c>
      <c r="E42" s="13">
        <f>SUM(E10:E41)</f>
        <v>1421.287</v>
      </c>
      <c r="F42" s="13"/>
      <c r="G42" s="13">
        <f>SUM(G10:G41)</f>
        <v>44750</v>
      </c>
      <c r="H42" s="13">
        <f>G42/EU42*100</f>
        <v>2.9340761535898761</v>
      </c>
      <c r="I42" s="13"/>
      <c r="J42" s="13"/>
      <c r="K42" s="13">
        <f>SUM(K10:K41)</f>
        <v>0</v>
      </c>
      <c r="L42" s="13"/>
      <c r="M42" s="13"/>
      <c r="N42" s="13"/>
      <c r="O42" s="13"/>
      <c r="P42" s="13"/>
      <c r="Q42" s="13"/>
      <c r="R42" s="13"/>
      <c r="S42" s="13"/>
      <c r="T42" s="13"/>
      <c r="U42" s="13"/>
      <c r="V42" s="13"/>
      <c r="W42" s="13"/>
      <c r="X42" s="13"/>
      <c r="Y42" s="13"/>
      <c r="Z42" s="13"/>
      <c r="AA42" s="13">
        <f>SUM(AA10:AA41)</f>
        <v>0</v>
      </c>
      <c r="AB42" s="13">
        <f>+AA42/$EU$42*100</f>
        <v>0</v>
      </c>
      <c r="AC42" s="13"/>
      <c r="AD42" s="13"/>
      <c r="AE42" s="13">
        <f>SUM(AE10:AE41)</f>
        <v>0</v>
      </c>
      <c r="AF42" s="13"/>
      <c r="AG42" s="13"/>
      <c r="AH42" s="13"/>
      <c r="AI42" s="13">
        <f>SUM(AI10:AI41)</f>
        <v>0</v>
      </c>
      <c r="AJ42" s="13"/>
      <c r="AK42" s="13"/>
      <c r="AL42" s="13"/>
      <c r="AM42" s="13">
        <f>SUM(AM10:AM41)</f>
        <v>0</v>
      </c>
      <c r="AN42" s="13">
        <f>AM42/$EU$42*100</f>
        <v>0</v>
      </c>
      <c r="AO42" s="13"/>
      <c r="AP42" s="13"/>
      <c r="AQ42" s="13">
        <f>SUM(AQ10:AQ41)</f>
        <v>0</v>
      </c>
      <c r="AR42" s="13">
        <f>AQ42/$EU$42*100</f>
        <v>0</v>
      </c>
      <c r="AS42" s="13"/>
      <c r="AT42" s="13"/>
      <c r="AU42" s="13">
        <f>SUM(AU10:AU41)</f>
        <v>0</v>
      </c>
      <c r="AV42" s="13">
        <f>AU42/$EU$42*100</f>
        <v>0</v>
      </c>
      <c r="AW42" s="13"/>
      <c r="AX42" s="13"/>
      <c r="AY42" s="13">
        <f>SUM(AY10:AY41)</f>
        <v>0</v>
      </c>
      <c r="AZ42" s="13">
        <f>AY42/$EU$42*100</f>
        <v>0</v>
      </c>
      <c r="BA42" s="13"/>
      <c r="BB42" s="13"/>
      <c r="BC42" s="13">
        <f>SUM(BC10:BC41)</f>
        <v>0</v>
      </c>
      <c r="BD42" s="13">
        <f>BC42/$EU$42*100</f>
        <v>0</v>
      </c>
      <c r="BE42" s="13"/>
      <c r="BF42" s="13"/>
      <c r="BG42" s="13">
        <f>SUM(BG10:BG41)</f>
        <v>0</v>
      </c>
      <c r="BH42" s="13">
        <f>BG42/EU42*100</f>
        <v>0</v>
      </c>
      <c r="BI42" s="13"/>
      <c r="BJ42" s="13"/>
      <c r="BK42" s="13">
        <f>SUM(BK10:BK41)</f>
        <v>0</v>
      </c>
      <c r="BL42" s="13">
        <f>BK42/EU42*100</f>
        <v>0</v>
      </c>
      <c r="BM42" s="13"/>
      <c r="BN42" s="13"/>
      <c r="BO42" s="13"/>
      <c r="BP42" s="13"/>
      <c r="BQ42" s="13"/>
      <c r="BR42" s="13"/>
      <c r="BS42" s="13">
        <f>SUM(BS10:BS41)</f>
        <v>0</v>
      </c>
      <c r="BT42" s="13">
        <f>BS42/EU42*100</f>
        <v>0</v>
      </c>
      <c r="BU42" s="13"/>
      <c r="BV42" s="13"/>
      <c r="BW42" s="13">
        <f>SUM(BW10:BW41)</f>
        <v>66812.5</v>
      </c>
      <c r="BX42" s="20">
        <f>BW42/$EU$42*100</f>
        <v>4.38062487177036</v>
      </c>
      <c r="BY42" s="13"/>
      <c r="BZ42" s="13"/>
      <c r="CA42" s="13">
        <f>SUM(CA10:CA41)</f>
        <v>0</v>
      </c>
      <c r="CB42" s="20">
        <f>CA42/$EU$42*100</f>
        <v>0</v>
      </c>
      <c r="CC42" s="13"/>
      <c r="CD42" s="13"/>
      <c r="CE42" s="13">
        <f>SUM(CE10:CE41)</f>
        <v>0</v>
      </c>
      <c r="CF42" s="20">
        <f>CE42/$EU$42*100</f>
        <v>0</v>
      </c>
      <c r="CG42" s="13"/>
      <c r="CH42" s="13"/>
      <c r="CI42" s="13">
        <f>SUM(CI10:CI41)</f>
        <v>0</v>
      </c>
      <c r="CJ42" s="20">
        <f>CI42/$EU$42*100</f>
        <v>0</v>
      </c>
      <c r="CK42" s="13"/>
      <c r="CL42" s="13"/>
      <c r="CM42" s="13">
        <f>SUM(CM10:CM41)</f>
        <v>174722.08727390764</v>
      </c>
      <c r="CN42" s="13" t="e">
        <f>CM42/EQ42*100</f>
        <v>#DIV/0!</v>
      </c>
      <c r="CO42" s="13"/>
      <c r="CP42" s="13"/>
      <c r="CQ42" s="13">
        <f>SUM(CQ10:CQ41)</f>
        <v>838439.94663350657</v>
      </c>
      <c r="CR42" s="13">
        <f>CQ42/$EU$42*100</f>
        <v>54.973109578425472</v>
      </c>
      <c r="CS42" s="13"/>
      <c r="CT42" s="13"/>
      <c r="CU42" s="13">
        <f>SUM(CU10:CU41)</f>
        <v>340181.09342365857</v>
      </c>
      <c r="CV42" s="13">
        <f>CU42/$EU$42*100</f>
        <v>22.304295734446626</v>
      </c>
      <c r="CW42" s="13"/>
      <c r="CX42" s="13"/>
      <c r="CY42" s="13">
        <f>SUM(CY10:CY41)</f>
        <v>45601.183924661855</v>
      </c>
      <c r="CZ42" s="13">
        <f>CY42/$EU$42*100</f>
        <v>2.9898848341634938</v>
      </c>
      <c r="DA42" s="13"/>
      <c r="DB42" s="13"/>
      <c r="DC42" s="13">
        <f>SUM(DC10:DC41)</f>
        <v>43780.513635726194</v>
      </c>
      <c r="DD42" s="13">
        <f>DC42/$EU$42*100</f>
        <v>2.8705108614637012</v>
      </c>
      <c r="DE42" s="13"/>
      <c r="DF42" s="13"/>
      <c r="DG42" s="13">
        <f>SUM(DG10:DG41)</f>
        <v>4644.6287278365608</v>
      </c>
      <c r="DH42" s="13">
        <f>DG42/$EU$42*100</f>
        <v>0.30452948363404997</v>
      </c>
      <c r="DI42" s="13"/>
      <c r="DJ42" s="13"/>
      <c r="DK42" s="13">
        <f>SUM(DK10:DK41)</f>
        <v>0</v>
      </c>
      <c r="DL42" s="13">
        <f>DK42/$EU$42*100</f>
        <v>0</v>
      </c>
      <c r="DM42" s="13"/>
      <c r="DN42" s="13"/>
      <c r="DO42" s="13">
        <f>SUM(DO10:DO41)</f>
        <v>0</v>
      </c>
      <c r="DP42" s="13">
        <f>DO42/$EU$42*100</f>
        <v>0</v>
      </c>
      <c r="DQ42" s="13"/>
      <c r="DR42" s="13"/>
      <c r="DS42" s="13">
        <f>SUM(DS10:DS41)</f>
        <v>0</v>
      </c>
      <c r="DT42" s="13"/>
      <c r="DU42" s="13"/>
      <c r="DV42" s="13"/>
      <c r="DW42" s="13">
        <f>SUM(DW10:DW41)</f>
        <v>1447369.4536192971</v>
      </c>
      <c r="DX42" s="20">
        <f>DW42/$EU$42*100</f>
        <v>94.898149705000847</v>
      </c>
      <c r="DY42" s="13"/>
      <c r="DZ42" s="13"/>
      <c r="EA42" s="13">
        <f>SUM(EA10:EA41)</f>
        <v>11000</v>
      </c>
      <c r="EB42" s="13">
        <f>EA42/$EU$42*100</f>
        <v>0.72122542322879635</v>
      </c>
      <c r="EC42" s="13"/>
      <c r="ED42" s="13"/>
      <c r="EE42" s="13">
        <f>SUM(EE10:EE41)</f>
        <v>0</v>
      </c>
      <c r="EF42" s="13">
        <f>EE42/$EU$42*100</f>
        <v>0</v>
      </c>
      <c r="EG42" s="13"/>
      <c r="EH42" s="13"/>
      <c r="EI42" s="13">
        <f>SUM(EI10:EI41)</f>
        <v>0</v>
      </c>
      <c r="EJ42" s="13">
        <f>EI42/$EU$42*100</f>
        <v>0</v>
      </c>
      <c r="EK42" s="13"/>
      <c r="EL42" s="13"/>
      <c r="EM42" s="13">
        <f>SUM(EM10:EM41)</f>
        <v>11000</v>
      </c>
      <c r="EN42" s="22">
        <f>EM42/$EU$42*100</f>
        <v>0.72122542322879635</v>
      </c>
      <c r="EO42" s="13"/>
      <c r="EP42" s="13"/>
      <c r="EQ42" s="13">
        <f>SUM(EQ10:EQ41)</f>
        <v>0</v>
      </c>
      <c r="ER42" s="13">
        <f>EQ42/$EU$42*100</f>
        <v>0</v>
      </c>
      <c r="ES42" s="13"/>
      <c r="ET42" s="13"/>
      <c r="EU42" s="556">
        <f>BW42+DW42+EM42+EQ42+CI42</f>
        <v>1525181.9536192971</v>
      </c>
      <c r="EV42" s="13">
        <f>EU42/$EU$42*100</f>
        <v>100</v>
      </c>
      <c r="EW42" s="13">
        <f>EU42/1000/E42</f>
        <v>1.0730992077035089</v>
      </c>
      <c r="EX42" s="13"/>
      <c r="EY42" s="6"/>
      <c r="EZ42" s="493"/>
      <c r="FA42" s="6"/>
    </row>
    <row r="43" spans="1:157" ht="13.5" thickTop="1"/>
    <row r="44" spans="1:157">
      <c r="F44" t="s">
        <v>4</v>
      </c>
      <c r="G44" s="15">
        <f>+G42+K42</f>
        <v>44750</v>
      </c>
      <c r="CM44" s="15"/>
      <c r="DC44" s="15"/>
      <c r="DG44" s="15"/>
      <c r="EN44" s="15"/>
      <c r="EQ44" s="15"/>
      <c r="ER44" s="15"/>
    </row>
    <row r="45" spans="1:157">
      <c r="E45" s="15"/>
      <c r="F45" s="497" t="s">
        <v>148</v>
      </c>
      <c r="G45" s="15">
        <f>+EU42</f>
        <v>1525181.9536192971</v>
      </c>
      <c r="I45" s="15"/>
      <c r="AY45" s="15"/>
      <c r="DC45" s="15"/>
      <c r="DG45" s="15"/>
      <c r="EQ45" s="15"/>
    </row>
    <row r="46" spans="1:157">
      <c r="G46" s="498">
        <f>+G44/G45</f>
        <v>2.9340761535898759E-2</v>
      </c>
    </row>
    <row r="48" spans="1:157">
      <c r="G48">
        <f>+G42/G7</f>
        <v>179</v>
      </c>
      <c r="K48">
        <f>+K42/K7</f>
        <v>0</v>
      </c>
    </row>
  </sheetData>
  <mergeCells count="44">
    <mergeCell ref="CA8:CD8"/>
    <mergeCell ref="CE8:CH8"/>
    <mergeCell ref="CI8:CL8"/>
    <mergeCell ref="EY8:EZ8"/>
    <mergeCell ref="CM8:CP8"/>
    <mergeCell ref="DO8:DR8"/>
    <mergeCell ref="CQ8:CT8"/>
    <mergeCell ref="CY8:DB8"/>
    <mergeCell ref="CU8:CX8"/>
    <mergeCell ref="DC8:DF8"/>
    <mergeCell ref="DK8:DN8"/>
    <mergeCell ref="DG8:DJ8"/>
    <mergeCell ref="DS8:DV8"/>
    <mergeCell ref="EW8:EX8"/>
    <mergeCell ref="EE8:EH8"/>
    <mergeCell ref="EM8:EP8"/>
    <mergeCell ref="A8:A9"/>
    <mergeCell ref="B8:B9"/>
    <mergeCell ref="C8:C9"/>
    <mergeCell ref="K8:N8"/>
    <mergeCell ref="G8:J8"/>
    <mergeCell ref="D8:D9"/>
    <mergeCell ref="E8:F8"/>
    <mergeCell ref="O8:R8"/>
    <mergeCell ref="W8:Z8"/>
    <mergeCell ref="AI8:AL8"/>
    <mergeCell ref="BW8:BZ8"/>
    <mergeCell ref="BS8:BV8"/>
    <mergeCell ref="BC8:BF8"/>
    <mergeCell ref="BO8:BR8"/>
    <mergeCell ref="S8:V8"/>
    <mergeCell ref="AA8:AD8"/>
    <mergeCell ref="AM8:AP8"/>
    <mergeCell ref="AE8:AH8"/>
    <mergeCell ref="BK8:BN8"/>
    <mergeCell ref="AY8:BB8"/>
    <mergeCell ref="AQ8:AT8"/>
    <mergeCell ref="BG8:BJ8"/>
    <mergeCell ref="AU8:AX8"/>
    <mergeCell ref="EQ8:ET8"/>
    <mergeCell ref="EU8:EV8"/>
    <mergeCell ref="EI8:EL8"/>
    <mergeCell ref="EA8:ED8"/>
    <mergeCell ref="DW8:DZ8"/>
  </mergeCells>
  <phoneticPr fontId="31" type="noConversion"/>
  <pageMargins left="0.19513888888888889" right="0.19513888888888889" top="0.05" bottom="0.05" header="0" footer="0"/>
  <pageSetup paperSize="9" scale="70" firstPageNumber="4294963191" orientation="landscape" r:id="rId1"/>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39"/>
  <sheetViews>
    <sheetView workbookViewId="0">
      <pane xSplit="1" topLeftCell="J1" activePane="topRight" state="frozen"/>
      <selection pane="topRight" activeCell="N18" sqref="N18"/>
    </sheetView>
  </sheetViews>
  <sheetFormatPr defaultRowHeight="12.75"/>
  <cols>
    <col min="1" max="1" width="17.5703125" bestFit="1" customWidth="1"/>
    <col min="2" max="13" width="9.140625" customWidth="1"/>
    <col min="14" max="14" width="9.42578125" customWidth="1"/>
    <col min="15" max="32" width="9.140625" customWidth="1"/>
    <col min="34" max="34" width="10.85546875" bestFit="1" customWidth="1"/>
    <col min="35" max="35" width="16.28515625" bestFit="1" customWidth="1"/>
  </cols>
  <sheetData>
    <row r="1" spans="1:35">
      <c r="B1">
        <v>7730</v>
      </c>
      <c r="C1">
        <v>6090</v>
      </c>
      <c r="D1">
        <v>8060</v>
      </c>
      <c r="E1">
        <v>6860</v>
      </c>
      <c r="F1">
        <v>7670</v>
      </c>
      <c r="H1">
        <v>6890</v>
      </c>
      <c r="I1">
        <v>7380</v>
      </c>
      <c r="J1">
        <v>6680</v>
      </c>
      <c r="K1">
        <v>7340</v>
      </c>
      <c r="L1">
        <v>5390</v>
      </c>
      <c r="M1">
        <v>7870</v>
      </c>
      <c r="N1">
        <v>5910</v>
      </c>
      <c r="O1">
        <v>5660</v>
      </c>
      <c r="P1">
        <v>7460</v>
      </c>
      <c r="Q1">
        <v>9390</v>
      </c>
      <c r="R1">
        <v>10690</v>
      </c>
      <c r="S1">
        <v>7940</v>
      </c>
      <c r="T1">
        <v>5670</v>
      </c>
      <c r="U1">
        <v>6530</v>
      </c>
      <c r="V1">
        <v>5210</v>
      </c>
      <c r="W1">
        <v>6530</v>
      </c>
      <c r="X1">
        <v>6690</v>
      </c>
      <c r="Y1">
        <v>5700</v>
      </c>
      <c r="Z1">
        <v>6000</v>
      </c>
      <c r="AA1">
        <v>5860</v>
      </c>
      <c r="AB1">
        <v>6250</v>
      </c>
      <c r="AC1">
        <v>5720</v>
      </c>
      <c r="AD1">
        <v>5980</v>
      </c>
      <c r="AE1">
        <v>6280</v>
      </c>
      <c r="AF1">
        <v>6600</v>
      </c>
    </row>
    <row r="2" spans="1:35" ht="15">
      <c r="A2" s="6"/>
      <c r="B2" s="6">
        <v>1</v>
      </c>
      <c r="C2" s="6">
        <v>2</v>
      </c>
      <c r="D2" s="6">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67" t="s">
        <v>257</v>
      </c>
      <c r="AH2" s="469" t="s">
        <v>258</v>
      </c>
      <c r="AI2" s="479" t="s">
        <v>270</v>
      </c>
    </row>
    <row r="3" spans="1:35">
      <c r="A3" s="458" t="s">
        <v>205</v>
      </c>
      <c r="B3" s="6">
        <f>6985/1000</f>
        <v>6.9850000000000003</v>
      </c>
      <c r="C3" s="6">
        <f>2904/1000</f>
        <v>2.9039999999999999</v>
      </c>
      <c r="D3" s="6">
        <f>3855/1000</f>
        <v>3.855</v>
      </c>
      <c r="E3" s="6">
        <f>3701/1000</f>
        <v>3.7010000000000001</v>
      </c>
      <c r="F3" s="6">
        <f>1369/1000</f>
        <v>1.369</v>
      </c>
      <c r="G3" s="6"/>
      <c r="H3" s="6">
        <v>5.5970000000000004</v>
      </c>
      <c r="I3" s="6">
        <v>3.899</v>
      </c>
      <c r="J3" s="6">
        <f>2415/1000</f>
        <v>2.415</v>
      </c>
      <c r="K3" s="6">
        <f>3852/1000</f>
        <v>3.8519999999999999</v>
      </c>
      <c r="L3" s="6">
        <f>5100/1000</f>
        <v>5.0999999999999996</v>
      </c>
      <c r="M3" s="6">
        <f>4518/1000</f>
        <v>4.5179999999999998</v>
      </c>
      <c r="N3" s="6">
        <f>7261/1000</f>
        <v>7.2610000000000001</v>
      </c>
      <c r="O3" s="6">
        <f>5482/1000</f>
        <v>5.4820000000000002</v>
      </c>
      <c r="P3" s="6">
        <f>4983/1000</f>
        <v>4.9829999999999997</v>
      </c>
      <c r="Q3" s="6">
        <f>4992/1000</f>
        <v>4.992</v>
      </c>
      <c r="R3" s="6">
        <f>4992/1000</f>
        <v>4.992</v>
      </c>
      <c r="S3" s="6">
        <f>5444/1000</f>
        <v>5.444</v>
      </c>
      <c r="T3" s="6">
        <f>4497/1000</f>
        <v>4.4969999999999999</v>
      </c>
      <c r="U3" s="6">
        <f>4803/1000</f>
        <v>4.8029999999999999</v>
      </c>
      <c r="V3" s="6">
        <v>6.2679999999999998</v>
      </c>
      <c r="W3" s="6">
        <v>6.8010000000000002</v>
      </c>
      <c r="X3" s="6">
        <f>5270/1000</f>
        <v>5.27</v>
      </c>
      <c r="Y3" s="6">
        <f>6004/1000</f>
        <v>6.0039999999999996</v>
      </c>
      <c r="Z3" s="6">
        <f>6029/1000</f>
        <v>6.0289999999999999</v>
      </c>
      <c r="AA3" s="6">
        <f>5550/1000</f>
        <v>5.55</v>
      </c>
      <c r="AB3" s="6">
        <f>6579/1000</f>
        <v>6.5789999999999997</v>
      </c>
      <c r="AC3" s="6">
        <f>5238/1000</f>
        <v>5.2380000000000004</v>
      </c>
      <c r="AD3" s="6">
        <f>6424/1000</f>
        <v>6.4240000000000004</v>
      </c>
      <c r="AE3" s="6">
        <f>3907/1000</f>
        <v>3.907</v>
      </c>
      <c r="AF3" s="6">
        <f>3450/1000</f>
        <v>3.45</v>
      </c>
      <c r="AG3" s="6">
        <f>+AF3</f>
        <v>3.45</v>
      </c>
      <c r="AH3" s="468">
        <f>+AG3/Efficiency1!$K$173</f>
        <v>2.1121893715189384E-3</v>
      </c>
      <c r="AI3" s="758">
        <f>SUM(AH3:AH4)</f>
        <v>3.0366548645605609E-3</v>
      </c>
    </row>
    <row r="4" spans="1:35">
      <c r="A4" s="458" t="s">
        <v>271</v>
      </c>
      <c r="B4" s="6">
        <f>1917/1000</f>
        <v>1.917</v>
      </c>
      <c r="C4" s="6">
        <f>2022/1000</f>
        <v>2.0219999999999998</v>
      </c>
      <c r="D4" s="6">
        <f>269/1000</f>
        <v>0.26900000000000002</v>
      </c>
      <c r="E4" s="6">
        <f>149/1000</f>
        <v>0.14899999999999999</v>
      </c>
      <c r="F4" s="6">
        <f>1850/1000</f>
        <v>1.85</v>
      </c>
      <c r="G4" s="6"/>
      <c r="H4" s="6">
        <f>28/1000</f>
        <v>2.8000000000000001E-2</v>
      </c>
      <c r="I4" s="6">
        <f>546/1000</f>
        <v>0.54600000000000004</v>
      </c>
      <c r="J4" s="6">
        <f>2285/1000</f>
        <v>2.2850000000000001</v>
      </c>
      <c r="K4" s="6">
        <f>882/1000</f>
        <v>0.88200000000000001</v>
      </c>
      <c r="L4" s="6">
        <f>338/1000</f>
        <v>0.33800000000000002</v>
      </c>
      <c r="M4" s="6">
        <f>1168/1000</f>
        <v>1.1679999999999999</v>
      </c>
      <c r="N4" s="459">
        <f>211/1000</f>
        <v>0.21099999999999999</v>
      </c>
      <c r="O4" s="459">
        <f>892/1000</f>
        <v>0.89200000000000002</v>
      </c>
      <c r="P4" s="6">
        <f>905/1000</f>
        <v>0.90500000000000003</v>
      </c>
      <c r="Q4" s="6">
        <f>1971/1000</f>
        <v>1.9710000000000001</v>
      </c>
      <c r="R4" s="6">
        <f>1126/1000</f>
        <v>1.1259999999999999</v>
      </c>
      <c r="S4" s="6">
        <f>499/1000</f>
        <v>0.499</v>
      </c>
      <c r="T4" s="6">
        <f>575/1000</f>
        <v>0.57499999999999996</v>
      </c>
      <c r="U4" s="6">
        <f>759/1000</f>
        <v>0.75900000000000001</v>
      </c>
      <c r="V4" s="6">
        <f>645/1000</f>
        <v>0.64500000000000002</v>
      </c>
      <c r="W4" s="459">
        <f>1391/1000</f>
        <v>1.391</v>
      </c>
      <c r="X4" s="6">
        <f>997/1000</f>
        <v>0.997</v>
      </c>
      <c r="Y4" s="6">
        <f>904/1000</f>
        <v>0.90400000000000003</v>
      </c>
      <c r="Z4" s="6">
        <f>822/1000</f>
        <v>0.82199999999999995</v>
      </c>
      <c r="AA4" s="6">
        <f>1347/1000</f>
        <v>1.347</v>
      </c>
      <c r="AB4" s="6">
        <f>629/1000</f>
        <v>0.629</v>
      </c>
      <c r="AC4" s="6">
        <f>1160/1000</f>
        <v>1.1599999999999999</v>
      </c>
      <c r="AD4" s="6">
        <f>1975/1000</f>
        <v>1.9750000000000001</v>
      </c>
      <c r="AE4" s="6">
        <f>1530/1000</f>
        <v>1.53</v>
      </c>
      <c r="AF4" s="6">
        <f>1510/1000</f>
        <v>1.51</v>
      </c>
      <c r="AG4" s="6">
        <f>+AF4</f>
        <v>1.51</v>
      </c>
      <c r="AH4" s="468">
        <f>+AG4/Efficiency1!$K$173</f>
        <v>9.2446549304162236E-4</v>
      </c>
      <c r="AI4" s="759"/>
    </row>
    <row r="5" spans="1:35">
      <c r="A5" s="480"/>
      <c r="B5" s="481"/>
      <c r="C5" s="481"/>
      <c r="D5" s="481"/>
      <c r="E5" s="481"/>
      <c r="F5" s="481"/>
      <c r="G5" s="481"/>
      <c r="H5" s="481"/>
      <c r="I5" s="481"/>
      <c r="J5" s="481"/>
      <c r="K5" s="481"/>
      <c r="L5" s="481"/>
      <c r="M5" s="481"/>
      <c r="N5" s="482"/>
      <c r="O5" s="482"/>
      <c r="P5" s="481"/>
      <c r="Q5" s="481"/>
      <c r="R5" s="481"/>
      <c r="S5" s="481"/>
      <c r="T5" s="481"/>
      <c r="U5" s="481"/>
      <c r="V5" s="481"/>
      <c r="W5" s="482"/>
      <c r="X5" s="481"/>
      <c r="Y5" s="481"/>
      <c r="Z5" s="481"/>
      <c r="AA5" s="481"/>
      <c r="AB5" s="481"/>
      <c r="AC5" s="481"/>
      <c r="AD5" s="481"/>
      <c r="AE5" s="481"/>
      <c r="AF5" s="481"/>
      <c r="AG5" s="481"/>
      <c r="AH5" s="483"/>
    </row>
    <row r="6" spans="1:35">
      <c r="A6" s="458" t="s">
        <v>206</v>
      </c>
      <c r="B6" s="459" t="s">
        <v>518</v>
      </c>
      <c r="C6" s="459" t="s">
        <v>524</v>
      </c>
      <c r="D6" s="6" t="s">
        <v>525</v>
      </c>
      <c r="E6" s="6" t="s">
        <v>528</v>
      </c>
      <c r="F6" s="6" t="s">
        <v>530</v>
      </c>
      <c r="G6" s="6" t="s">
        <v>533</v>
      </c>
      <c r="H6" s="6" t="s">
        <v>604</v>
      </c>
      <c r="I6" s="6" t="s">
        <v>605</v>
      </c>
      <c r="J6" s="6" t="s">
        <v>606</v>
      </c>
      <c r="K6" s="6" t="s">
        <v>609</v>
      </c>
      <c r="L6" s="6" t="s">
        <v>804</v>
      </c>
      <c r="M6" s="6" t="s">
        <v>807</v>
      </c>
      <c r="N6" s="6" t="s">
        <v>611</v>
      </c>
      <c r="O6" s="6" t="s">
        <v>694</v>
      </c>
      <c r="P6" s="6" t="s">
        <v>692</v>
      </c>
      <c r="Q6" s="6" t="s">
        <v>690</v>
      </c>
      <c r="R6" s="6" t="s">
        <v>688</v>
      </c>
      <c r="S6" s="6" t="s">
        <v>687</v>
      </c>
      <c r="T6" s="6" t="s">
        <v>684</v>
      </c>
      <c r="U6" s="6" t="s">
        <v>682</v>
      </c>
      <c r="V6" s="6" t="s">
        <v>680</v>
      </c>
      <c r="W6" s="459" t="s">
        <v>679</v>
      </c>
      <c r="X6" s="6" t="s">
        <v>676</v>
      </c>
      <c r="Y6" s="6" t="s">
        <v>802</v>
      </c>
      <c r="Z6" s="459" t="s">
        <v>800</v>
      </c>
      <c r="AA6" s="6" t="s">
        <v>798</v>
      </c>
      <c r="AB6" s="6" t="s">
        <v>796</v>
      </c>
      <c r="AC6" s="6" t="s">
        <v>789</v>
      </c>
      <c r="AD6" s="6" t="s">
        <v>794</v>
      </c>
      <c r="AE6" s="6" t="s">
        <v>792</v>
      </c>
      <c r="AF6" s="6" t="s">
        <v>791</v>
      </c>
      <c r="AG6" s="6">
        <f t="shared" ref="AG6:AG37" si="0">+SUM(B6:AF6)</f>
        <v>0</v>
      </c>
      <c r="AH6" s="484" t="e">
        <f t="shared" ref="AH6:AH36" si="1">+AG6/$AG$39</f>
        <v>#DIV/0!</v>
      </c>
    </row>
    <row r="7" spans="1:35">
      <c r="A7" s="458" t="s">
        <v>272</v>
      </c>
      <c r="B7" s="6" t="s">
        <v>521</v>
      </c>
      <c r="C7" s="6" t="s">
        <v>522</v>
      </c>
      <c r="D7" s="6" t="s">
        <v>517</v>
      </c>
      <c r="E7" s="6" t="s">
        <v>526</v>
      </c>
      <c r="F7" s="6" t="s">
        <v>522</v>
      </c>
      <c r="G7" s="6" t="s">
        <v>532</v>
      </c>
      <c r="H7" s="6"/>
      <c r="I7" s="6"/>
      <c r="J7" s="6" t="s">
        <v>607</v>
      </c>
      <c r="K7" s="6" t="s">
        <v>517</v>
      </c>
      <c r="L7" s="6" t="s">
        <v>805</v>
      </c>
      <c r="M7" s="6" t="s">
        <v>808</v>
      </c>
      <c r="N7" s="6" t="s">
        <v>612</v>
      </c>
      <c r="O7" s="6" t="s">
        <v>693</v>
      </c>
      <c r="P7" s="6" t="s">
        <v>691</v>
      </c>
      <c r="Q7" s="6" t="s">
        <v>683</v>
      </c>
      <c r="R7" t="s">
        <v>689</v>
      </c>
      <c r="S7" s="6" t="s">
        <v>686</v>
      </c>
      <c r="T7" s="6" t="s">
        <v>685</v>
      </c>
      <c r="U7" s="6" t="s">
        <v>531</v>
      </c>
      <c r="V7" s="6" t="s">
        <v>681</v>
      </c>
      <c r="W7" s="6" t="s">
        <v>678</v>
      </c>
      <c r="X7" s="6" t="s">
        <v>677</v>
      </c>
      <c r="Y7" s="6" t="s">
        <v>532</v>
      </c>
      <c r="Z7" s="6" t="s">
        <v>801</v>
      </c>
      <c r="AA7" s="6" t="s">
        <v>799</v>
      </c>
      <c r="AB7" s="6" t="s">
        <v>797</v>
      </c>
      <c r="AC7" s="6" t="s">
        <v>532</v>
      </c>
      <c r="AD7" s="6" t="s">
        <v>795</v>
      </c>
      <c r="AE7" s="6" t="s">
        <v>793</v>
      </c>
      <c r="AF7" s="6"/>
      <c r="AG7" s="6">
        <f t="shared" si="0"/>
        <v>0</v>
      </c>
      <c r="AH7" s="468" t="e">
        <f t="shared" si="1"/>
        <v>#DIV/0!</v>
      </c>
    </row>
    <row r="8" spans="1:35">
      <c r="A8" s="485" t="s">
        <v>273</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0"/>
        <v>0</v>
      </c>
      <c r="AH8" s="468" t="e">
        <f t="shared" si="1"/>
        <v>#DIV/0!</v>
      </c>
    </row>
    <row r="9" spans="1:35">
      <c r="A9" s="458" t="s">
        <v>208</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0"/>
        <v>0</v>
      </c>
      <c r="AH9" s="468" t="e">
        <f t="shared" si="1"/>
        <v>#DIV/0!</v>
      </c>
    </row>
    <row r="10" spans="1:35">
      <c r="A10" s="458" t="s">
        <v>209</v>
      </c>
      <c r="B10" s="6" t="s">
        <v>520</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f t="shared" si="0"/>
        <v>0</v>
      </c>
      <c r="AH10" s="468" t="e">
        <f t="shared" si="1"/>
        <v>#DIV/0!</v>
      </c>
    </row>
    <row r="11" spans="1:35">
      <c r="A11" s="458" t="s">
        <v>210</v>
      </c>
      <c r="B11" s="6"/>
      <c r="C11" s="6" t="s">
        <v>523</v>
      </c>
      <c r="D11" s="6"/>
      <c r="E11" s="6" t="s">
        <v>527</v>
      </c>
      <c r="F11" s="6"/>
      <c r="G11" s="6" t="s">
        <v>531</v>
      </c>
      <c r="H11" s="6" t="s">
        <v>526</v>
      </c>
      <c r="I11" s="6"/>
      <c r="J11" s="6"/>
      <c r="K11" s="6" t="s">
        <v>608</v>
      </c>
      <c r="L11" s="6"/>
      <c r="M11" s="6" t="s">
        <v>806</v>
      </c>
      <c r="N11" s="6" t="s">
        <v>610</v>
      </c>
      <c r="O11" s="6"/>
      <c r="P11" s="6"/>
      <c r="Q11" s="6"/>
      <c r="R11" s="6"/>
      <c r="S11" s="6" t="s">
        <v>517</v>
      </c>
      <c r="T11" s="6"/>
      <c r="U11" s="6"/>
      <c r="V11" s="6"/>
      <c r="W11" s="6"/>
      <c r="X11" s="6" t="s">
        <v>674</v>
      </c>
      <c r="Y11" s="6"/>
      <c r="Z11" s="6"/>
      <c r="AA11" s="6"/>
      <c r="AB11" s="6"/>
      <c r="AC11" s="6" t="s">
        <v>517</v>
      </c>
      <c r="AD11" s="6"/>
      <c r="AE11" s="6"/>
      <c r="AF11" s="6" t="s">
        <v>790</v>
      </c>
      <c r="AG11" s="6">
        <f t="shared" si="0"/>
        <v>0</v>
      </c>
      <c r="AH11" s="468" t="e">
        <f t="shared" si="1"/>
        <v>#DIV/0!</v>
      </c>
    </row>
    <row r="12" spans="1:35">
      <c r="A12" s="458" t="s">
        <v>211</v>
      </c>
      <c r="B12" s="6"/>
      <c r="C12" s="6"/>
      <c r="D12" s="6"/>
      <c r="E12" s="6"/>
      <c r="F12" s="6"/>
      <c r="G12" s="6"/>
      <c r="H12" s="6"/>
      <c r="I12" s="6"/>
      <c r="J12" s="6"/>
      <c r="K12" s="6"/>
      <c r="L12" s="6"/>
      <c r="M12" s="6"/>
      <c r="N12" s="6"/>
      <c r="O12" s="6"/>
      <c r="P12" s="6"/>
      <c r="Q12" s="6"/>
      <c r="R12" s="6"/>
      <c r="S12" s="6"/>
      <c r="T12" s="6"/>
      <c r="U12" s="6"/>
      <c r="V12" s="6" t="s">
        <v>608</v>
      </c>
      <c r="W12" s="6"/>
      <c r="X12" s="6"/>
      <c r="Y12" s="6"/>
      <c r="Z12" s="6"/>
      <c r="AA12" s="6"/>
      <c r="AB12" s="6"/>
      <c r="AC12" s="6"/>
      <c r="AD12" s="6"/>
      <c r="AE12" s="6"/>
      <c r="AF12" s="6"/>
      <c r="AG12" s="6">
        <f t="shared" si="0"/>
        <v>0</v>
      </c>
      <c r="AH12" s="468" t="e">
        <f t="shared" si="1"/>
        <v>#DIV/0!</v>
      </c>
    </row>
    <row r="13" spans="1:35">
      <c r="A13" s="458" t="s">
        <v>212</v>
      </c>
      <c r="B13" s="6" t="s">
        <v>519</v>
      </c>
      <c r="C13" s="6"/>
      <c r="D13" s="6"/>
      <c r="E13" s="6"/>
      <c r="F13" s="6"/>
      <c r="G13" s="6"/>
      <c r="H13" s="6"/>
      <c r="I13" s="6"/>
      <c r="J13" s="6"/>
      <c r="K13" s="6"/>
      <c r="L13" s="6"/>
      <c r="M13" s="6"/>
      <c r="N13" s="6"/>
      <c r="O13" s="6"/>
      <c r="P13" s="6"/>
      <c r="Q13" s="6"/>
      <c r="R13" s="6"/>
      <c r="S13" s="6"/>
      <c r="T13" s="6"/>
      <c r="U13" s="6" t="s">
        <v>532</v>
      </c>
      <c r="V13" s="6"/>
      <c r="W13" s="6"/>
      <c r="X13" s="6" t="s">
        <v>675</v>
      </c>
      <c r="Y13" s="6"/>
      <c r="Z13" s="6"/>
      <c r="AA13" s="6"/>
      <c r="AB13" s="6"/>
      <c r="AC13" s="6"/>
      <c r="AD13" s="6"/>
      <c r="AE13" s="6"/>
      <c r="AF13" s="6"/>
      <c r="AG13" s="6">
        <f t="shared" si="0"/>
        <v>0</v>
      </c>
      <c r="AH13" s="468" t="e">
        <f t="shared" si="1"/>
        <v>#DIV/0!</v>
      </c>
    </row>
    <row r="14" spans="1:35">
      <c r="A14" s="458" t="s">
        <v>274</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0"/>
        <v>0</v>
      </c>
      <c r="AH14" s="468" t="e">
        <f t="shared" si="1"/>
        <v>#DIV/0!</v>
      </c>
    </row>
    <row r="15" spans="1:35">
      <c r="A15" s="458" t="s">
        <v>207</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0"/>
        <v>0</v>
      </c>
      <c r="AH15" s="468" t="e">
        <f t="shared" si="1"/>
        <v>#DIV/0!</v>
      </c>
    </row>
    <row r="16" spans="1:35">
      <c r="A16" s="458" t="s">
        <v>380</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0"/>
        <v>0</v>
      </c>
      <c r="AH16" s="468" t="e">
        <f t="shared" si="1"/>
        <v>#DIV/0!</v>
      </c>
    </row>
    <row r="17" spans="1:34">
      <c r="A17" s="458" t="s">
        <v>275</v>
      </c>
      <c r="B17" s="6"/>
      <c r="C17" s="6"/>
      <c r="D17" s="6"/>
      <c r="E17" s="6"/>
      <c r="F17" s="6"/>
      <c r="G17" s="6"/>
      <c r="H17" s="6"/>
      <c r="I17" s="6"/>
      <c r="J17" s="6"/>
      <c r="K17" s="6"/>
      <c r="L17" s="6"/>
      <c r="M17" s="6"/>
      <c r="N17" s="6"/>
      <c r="O17" s="6" t="s">
        <v>610</v>
      </c>
      <c r="P17" s="6"/>
      <c r="Q17" s="6"/>
      <c r="R17" s="6"/>
      <c r="S17" s="6"/>
      <c r="T17" s="6"/>
      <c r="U17" s="6"/>
      <c r="V17" s="6"/>
      <c r="W17" s="6"/>
      <c r="X17" s="6"/>
      <c r="Y17" s="6"/>
      <c r="Z17" s="6"/>
      <c r="AA17" s="6"/>
      <c r="AB17" s="6"/>
      <c r="AC17" s="6"/>
      <c r="AD17" s="6"/>
      <c r="AE17" s="6"/>
      <c r="AF17" s="6"/>
      <c r="AG17" s="6">
        <f t="shared" si="0"/>
        <v>0</v>
      </c>
      <c r="AH17" s="468" t="e">
        <f t="shared" si="1"/>
        <v>#DIV/0!</v>
      </c>
    </row>
    <row r="18" spans="1:34">
      <c r="A18" s="458" t="s">
        <v>276</v>
      </c>
      <c r="B18" s="6"/>
      <c r="C18" s="6"/>
      <c r="D18" s="6"/>
      <c r="E18" s="6"/>
      <c r="F18" s="6"/>
      <c r="G18" s="6"/>
      <c r="H18" s="6"/>
      <c r="I18" s="6"/>
      <c r="J18" s="6"/>
      <c r="K18" s="6"/>
      <c r="L18" s="6"/>
      <c r="M18" s="6"/>
      <c r="N18" s="6"/>
      <c r="O18" s="459"/>
      <c r="P18" s="6"/>
      <c r="Q18" s="6"/>
      <c r="R18" s="6"/>
      <c r="S18" s="6"/>
      <c r="T18" s="6"/>
      <c r="U18" s="6"/>
      <c r="V18" s="6" t="s">
        <v>526</v>
      </c>
      <c r="W18" s="6"/>
      <c r="X18" s="6"/>
      <c r="Y18" s="6"/>
      <c r="Z18" s="6"/>
      <c r="AA18" s="6"/>
      <c r="AB18" s="6"/>
      <c r="AC18" s="6"/>
      <c r="AD18" s="6"/>
      <c r="AE18" s="6"/>
      <c r="AF18" s="6"/>
      <c r="AG18" s="6">
        <f t="shared" si="0"/>
        <v>0</v>
      </c>
      <c r="AH18" s="468" t="e">
        <f t="shared" si="1"/>
        <v>#DIV/0!</v>
      </c>
    </row>
    <row r="19" spans="1:34">
      <c r="A19" s="458" t="s">
        <v>213</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f t="shared" si="0"/>
        <v>0</v>
      </c>
      <c r="AH19" s="468" t="e">
        <f t="shared" si="1"/>
        <v>#DIV/0!</v>
      </c>
    </row>
    <row r="20" spans="1:34">
      <c r="A20" s="458" t="s">
        <v>214</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0"/>
        <v>0</v>
      </c>
      <c r="AH20" s="468" t="e">
        <f t="shared" si="1"/>
        <v>#DIV/0!</v>
      </c>
    </row>
    <row r="21" spans="1:34">
      <c r="A21" s="458" t="s">
        <v>215</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0"/>
        <v>0</v>
      </c>
      <c r="AH21" s="468" t="e">
        <f t="shared" si="1"/>
        <v>#DIV/0!</v>
      </c>
    </row>
    <row r="22" spans="1:34">
      <c r="A22" s="458" t="s">
        <v>216</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0"/>
        <v>0</v>
      </c>
      <c r="AH22" s="468" t="e">
        <f t="shared" si="1"/>
        <v>#DIV/0!</v>
      </c>
    </row>
    <row r="23" spans="1:34">
      <c r="A23" s="458" t="s">
        <v>217</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t="s">
        <v>610</v>
      </c>
      <c r="AF23" s="6"/>
      <c r="AG23" s="6">
        <f t="shared" si="0"/>
        <v>0</v>
      </c>
      <c r="AH23" s="468" t="e">
        <f t="shared" si="1"/>
        <v>#DIV/0!</v>
      </c>
    </row>
    <row r="24" spans="1:34">
      <c r="A24" s="458" t="s">
        <v>277</v>
      </c>
      <c r="B24" s="6"/>
      <c r="C24" s="6"/>
      <c r="D24" s="6"/>
      <c r="E24" s="6"/>
      <c r="F24" s="6" t="s">
        <v>529</v>
      </c>
      <c r="G24" s="6"/>
      <c r="H24" s="6" t="s">
        <v>529</v>
      </c>
      <c r="I24" s="6"/>
      <c r="J24" s="6"/>
      <c r="K24" s="6"/>
      <c r="L24" s="6"/>
      <c r="M24" s="6"/>
      <c r="N24" s="6"/>
      <c r="O24" s="6"/>
      <c r="P24" s="6"/>
      <c r="Q24" s="6"/>
      <c r="R24" s="6"/>
      <c r="S24" s="6"/>
      <c r="T24" s="6"/>
      <c r="U24" s="6"/>
      <c r="V24" s="6"/>
      <c r="W24" s="6"/>
      <c r="X24" s="6"/>
      <c r="Y24" s="6" t="s">
        <v>803</v>
      </c>
      <c r="Z24" s="6"/>
      <c r="AA24" s="6"/>
      <c r="AB24" s="6"/>
      <c r="AC24" s="6"/>
      <c r="AD24" s="6"/>
      <c r="AE24" s="6"/>
      <c r="AF24" s="6"/>
      <c r="AG24" s="6">
        <f t="shared" si="0"/>
        <v>0</v>
      </c>
      <c r="AH24" s="468" t="e">
        <f t="shared" si="1"/>
        <v>#DIV/0!</v>
      </c>
    </row>
    <row r="25" spans="1:34">
      <c r="A25" s="458" t="s">
        <v>218</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0"/>
        <v>0</v>
      </c>
      <c r="AH25" s="468" t="e">
        <f t="shared" si="1"/>
        <v>#DIV/0!</v>
      </c>
    </row>
    <row r="26" spans="1:34">
      <c r="A26" s="458" t="s">
        <v>219</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0"/>
        <v>0</v>
      </c>
      <c r="AH26" s="468" t="e">
        <f t="shared" si="1"/>
        <v>#DIV/0!</v>
      </c>
    </row>
    <row r="27" spans="1:34">
      <c r="A27" s="458" t="s">
        <v>278</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0"/>
        <v>0</v>
      </c>
      <c r="AH27" s="468" t="e">
        <f t="shared" si="1"/>
        <v>#DIV/0!</v>
      </c>
    </row>
    <row r="28" spans="1:34">
      <c r="A28" s="458" t="s">
        <v>220</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0"/>
        <v>0</v>
      </c>
      <c r="AH28" s="468" t="e">
        <f t="shared" si="1"/>
        <v>#DIV/0!</v>
      </c>
    </row>
    <row r="29" spans="1:34">
      <c r="A29" s="458" t="s">
        <v>221</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0"/>
        <v>0</v>
      </c>
      <c r="AH29" s="468" t="e">
        <f t="shared" si="1"/>
        <v>#DIV/0!</v>
      </c>
    </row>
    <row r="30" spans="1:34">
      <c r="A30" s="458" t="s">
        <v>222</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0"/>
        <v>0</v>
      </c>
      <c r="AH30" s="468" t="e">
        <f t="shared" si="1"/>
        <v>#DIV/0!</v>
      </c>
    </row>
    <row r="31" spans="1:34">
      <c r="A31" s="458" t="s">
        <v>279</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0"/>
        <v>0</v>
      </c>
      <c r="AH31" s="468" t="e">
        <f t="shared" si="1"/>
        <v>#DIV/0!</v>
      </c>
    </row>
    <row r="32" spans="1:34">
      <c r="A32" s="458" t="s">
        <v>223</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0"/>
        <v>0</v>
      </c>
      <c r="AH32" s="468" t="e">
        <f t="shared" si="1"/>
        <v>#DIV/0!</v>
      </c>
    </row>
    <row r="33" spans="1:34">
      <c r="A33" s="458" t="s">
        <v>224</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f t="shared" si="0"/>
        <v>0</v>
      </c>
      <c r="AH33" s="468" t="e">
        <f t="shared" si="1"/>
        <v>#DIV/0!</v>
      </c>
    </row>
    <row r="34" spans="1:34">
      <c r="A34" s="460" t="s">
        <v>225</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0"/>
        <v>0</v>
      </c>
      <c r="AH34" s="468" t="e">
        <f t="shared" si="1"/>
        <v>#DIV/0!</v>
      </c>
    </row>
    <row r="35" spans="1:34">
      <c r="A35" s="460" t="s">
        <v>226</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0"/>
        <v>0</v>
      </c>
      <c r="AH35" s="468" t="e">
        <f t="shared" si="1"/>
        <v>#DIV/0!</v>
      </c>
    </row>
    <row r="36" spans="1:34">
      <c r="A36" s="460" t="s">
        <v>227</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0"/>
        <v>0</v>
      </c>
      <c r="AH36" s="468" t="e">
        <f t="shared" si="1"/>
        <v>#DIV/0!</v>
      </c>
    </row>
    <row r="37" spans="1:34">
      <c r="A37" s="460" t="s">
        <v>377</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0"/>
        <v>0</v>
      </c>
      <c r="AH37" s="468" t="e">
        <f>+AG37/$AG$39</f>
        <v>#DIV/0!</v>
      </c>
    </row>
    <row r="38" spans="1:34">
      <c r="A38" s="486" t="s">
        <v>280</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87">
        <f>+AG39/Efficiency1!$K$173</f>
        <v>0</v>
      </c>
    </row>
    <row r="39" spans="1:34">
      <c r="A39" s="460" t="s">
        <v>3</v>
      </c>
      <c r="B39" s="6">
        <f t="shared" ref="B39:AF39" si="2">SUM(B3:B37)</f>
        <v>8.902000000000001</v>
      </c>
      <c r="C39" s="6">
        <f t="shared" si="2"/>
        <v>4.9260000000000002</v>
      </c>
      <c r="D39" s="6">
        <f t="shared" si="2"/>
        <v>4.1239999999999997</v>
      </c>
      <c r="E39" s="6">
        <f t="shared" si="2"/>
        <v>3.85</v>
      </c>
      <c r="F39" s="6">
        <f t="shared" si="2"/>
        <v>3.2190000000000003</v>
      </c>
      <c r="G39" s="6">
        <f t="shared" si="2"/>
        <v>0</v>
      </c>
      <c r="H39" s="6">
        <f t="shared" si="2"/>
        <v>5.625</v>
      </c>
      <c r="I39" s="6">
        <f t="shared" si="2"/>
        <v>4.4450000000000003</v>
      </c>
      <c r="J39" s="6">
        <f t="shared" si="2"/>
        <v>4.7</v>
      </c>
      <c r="K39" s="6">
        <f t="shared" si="2"/>
        <v>4.734</v>
      </c>
      <c r="L39" s="6">
        <f t="shared" si="2"/>
        <v>5.4379999999999997</v>
      </c>
      <c r="M39" s="6">
        <f t="shared" si="2"/>
        <v>5.6859999999999999</v>
      </c>
      <c r="N39" s="6">
        <f t="shared" si="2"/>
        <v>7.4720000000000004</v>
      </c>
      <c r="O39" s="7">
        <f t="shared" si="2"/>
        <v>6.3740000000000006</v>
      </c>
      <c r="P39" s="6">
        <f t="shared" si="2"/>
        <v>5.8879999999999999</v>
      </c>
      <c r="Q39" s="6">
        <f t="shared" si="2"/>
        <v>6.9630000000000001</v>
      </c>
      <c r="R39" s="6">
        <f t="shared" si="2"/>
        <v>6.1180000000000003</v>
      </c>
      <c r="S39" s="6">
        <f t="shared" si="2"/>
        <v>5.9429999999999996</v>
      </c>
      <c r="T39" s="6">
        <f t="shared" si="2"/>
        <v>5.0720000000000001</v>
      </c>
      <c r="U39" s="6">
        <f t="shared" si="2"/>
        <v>5.5620000000000003</v>
      </c>
      <c r="V39" s="6">
        <f t="shared" si="2"/>
        <v>6.9130000000000003</v>
      </c>
      <c r="W39" s="6">
        <f t="shared" si="2"/>
        <v>8.1920000000000002</v>
      </c>
      <c r="X39" s="6">
        <f t="shared" si="2"/>
        <v>6.2669999999999995</v>
      </c>
      <c r="Y39" s="6">
        <f t="shared" si="2"/>
        <v>6.9079999999999995</v>
      </c>
      <c r="Z39" s="6">
        <f t="shared" si="2"/>
        <v>6.851</v>
      </c>
      <c r="AA39" s="6">
        <f t="shared" si="2"/>
        <v>6.8970000000000002</v>
      </c>
      <c r="AB39" s="6">
        <f t="shared" si="2"/>
        <v>7.2080000000000002</v>
      </c>
      <c r="AC39" s="6">
        <f t="shared" si="2"/>
        <v>6.3980000000000006</v>
      </c>
      <c r="AD39" s="6">
        <f t="shared" si="2"/>
        <v>8.3990000000000009</v>
      </c>
      <c r="AE39" s="6">
        <f t="shared" si="2"/>
        <v>5.4370000000000003</v>
      </c>
      <c r="AF39" s="6">
        <f t="shared" si="2"/>
        <v>4.96</v>
      </c>
      <c r="AG39" s="19">
        <f>SUM(AG6:AG38)</f>
        <v>0</v>
      </c>
      <c r="AH39" s="470" t="e">
        <f>SUM(AH6:AH37)</f>
        <v>#DIV/0!</v>
      </c>
    </row>
  </sheetData>
  <mergeCells count="1">
    <mergeCell ref="AI3:AI4"/>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0"/>
  <sheetViews>
    <sheetView topLeftCell="A142" workbookViewId="0">
      <selection activeCell="D174" sqref="D174"/>
    </sheetView>
  </sheetViews>
  <sheetFormatPr defaultRowHeight="12.75"/>
  <cols>
    <col min="2" max="2" width="10.7109375" bestFit="1" customWidth="1"/>
    <col min="4" max="4" width="52.42578125" bestFit="1" customWidth="1"/>
    <col min="5" max="5" width="18.140625" bestFit="1" customWidth="1"/>
    <col min="6" max="6" width="22.42578125" bestFit="1" customWidth="1"/>
    <col min="8" max="8" width="27.7109375" bestFit="1" customWidth="1"/>
    <col min="13" max="13" width="10.7109375" bestFit="1" customWidth="1"/>
    <col min="15" max="15" width="52.42578125" bestFit="1" customWidth="1"/>
    <col min="16" max="16" width="18.140625" bestFit="1" customWidth="1"/>
    <col min="17" max="17" width="22.42578125" bestFit="1" customWidth="1"/>
    <col min="19" max="19" width="27.7109375" bestFit="1" customWidth="1"/>
  </cols>
  <sheetData>
    <row r="1" spans="1:21" ht="45">
      <c r="A1" s="461" t="s">
        <v>385</v>
      </c>
      <c r="B1" s="472" t="s">
        <v>9</v>
      </c>
      <c r="C1" s="473" t="s">
        <v>259</v>
      </c>
      <c r="D1" s="474" t="s">
        <v>141</v>
      </c>
      <c r="E1" s="474" t="s">
        <v>260</v>
      </c>
      <c r="F1" s="474" t="s">
        <v>261</v>
      </c>
      <c r="H1" s="471" t="s">
        <v>262</v>
      </c>
      <c r="I1" s="465" t="s">
        <v>263</v>
      </c>
      <c r="J1" s="465" t="s">
        <v>264</v>
      </c>
      <c r="L1" s="461" t="s">
        <v>363</v>
      </c>
      <c r="M1" s="472" t="s">
        <v>9</v>
      </c>
      <c r="N1" s="473" t="s">
        <v>259</v>
      </c>
      <c r="O1" s="474" t="s">
        <v>141</v>
      </c>
      <c r="P1" s="474" t="s">
        <v>260</v>
      </c>
      <c r="Q1" s="474" t="s">
        <v>261</v>
      </c>
      <c r="S1" s="537" t="s">
        <v>262</v>
      </c>
      <c r="T1" s="465" t="s">
        <v>263</v>
      </c>
      <c r="U1" s="465" t="s">
        <v>264</v>
      </c>
    </row>
    <row r="2" spans="1:21">
      <c r="B2" s="371">
        <v>46082</v>
      </c>
      <c r="C2" s="4">
        <v>0</v>
      </c>
      <c r="D2" s="488" t="s">
        <v>391</v>
      </c>
      <c r="E2" t="s">
        <v>250</v>
      </c>
      <c r="F2" t="s">
        <v>248</v>
      </c>
      <c r="H2" s="6" t="s">
        <v>160</v>
      </c>
      <c r="I2" s="351">
        <f>+Efficiency1!Z173</f>
        <v>2.8839999999999995</v>
      </c>
      <c r="J2" s="475">
        <f>I2/$I$8</f>
        <v>1.7656678688291645E-3</v>
      </c>
      <c r="M2" s="371">
        <v>46082</v>
      </c>
      <c r="N2" s="4">
        <v>0</v>
      </c>
      <c r="O2" s="488" t="s">
        <v>391</v>
      </c>
      <c r="P2" t="s">
        <v>250</v>
      </c>
      <c r="Q2" t="s">
        <v>248</v>
      </c>
      <c r="S2" s="6" t="s">
        <v>160</v>
      </c>
      <c r="T2" s="351">
        <f>+Efficiency2!Z173</f>
        <v>2.8839999999999995</v>
      </c>
      <c r="U2" s="475">
        <f>T2/$T$8</f>
        <v>1.7948823374232719E-3</v>
      </c>
    </row>
    <row r="3" spans="1:21">
      <c r="B3" s="371"/>
      <c r="C3" s="4">
        <v>18</v>
      </c>
      <c r="D3" s="488" t="s">
        <v>426</v>
      </c>
      <c r="E3" t="s">
        <v>249</v>
      </c>
      <c r="F3" t="s">
        <v>248</v>
      </c>
      <c r="H3" s="6" t="s">
        <v>242</v>
      </c>
      <c r="I3" s="351">
        <f>+Efficiency1!Y173+Efficiency1!AA173</f>
        <v>-1.5004834835050387</v>
      </c>
      <c r="J3" s="475">
        <f>I3/$I$8</f>
        <v>-9.1863920753595799E-4</v>
      </c>
      <c r="M3" s="371"/>
      <c r="N3" s="4">
        <v>18</v>
      </c>
      <c r="O3" s="488" t="s">
        <v>426</v>
      </c>
      <c r="P3" t="s">
        <v>249</v>
      </c>
      <c r="Q3" t="s">
        <v>248</v>
      </c>
      <c r="S3" s="6" t="s">
        <v>242</v>
      </c>
      <c r="T3" s="351">
        <f>+Efficiency2!Y173+Efficiency2!AA173</f>
        <v>-1.5004834835050387</v>
      </c>
      <c r="U3" s="475">
        <f t="shared" ref="U3:U5" si="0">T3/$T$8</f>
        <v>-9.3383887036703808E-4</v>
      </c>
    </row>
    <row r="4" spans="1:21">
      <c r="B4" s="43"/>
      <c r="C4" s="4">
        <v>19</v>
      </c>
      <c r="D4" t="s">
        <v>427</v>
      </c>
      <c r="E4" t="s">
        <v>365</v>
      </c>
      <c r="F4" t="s">
        <v>248</v>
      </c>
      <c r="H4" s="6" t="s">
        <v>265</v>
      </c>
      <c r="I4" s="351">
        <f>+Efficiency1!AB173</f>
        <v>-10.622525298994788</v>
      </c>
      <c r="J4" s="475">
        <f>I4/$I$8</f>
        <v>-6.5034159522399486E-3</v>
      </c>
      <c r="M4" s="43"/>
      <c r="N4" s="4">
        <v>19</v>
      </c>
      <c r="O4" t="s">
        <v>427</v>
      </c>
      <c r="P4" t="s">
        <v>365</v>
      </c>
      <c r="Q4" t="s">
        <v>248</v>
      </c>
      <c r="S4" s="6" t="s">
        <v>265</v>
      </c>
      <c r="T4" s="351">
        <f>+Efficiency2!AB173</f>
        <v>-7.2845406489947839</v>
      </c>
      <c r="U4" s="475">
        <f t="shared" si="0"/>
        <v>-4.5335968609995139E-3</v>
      </c>
    </row>
    <row r="5" spans="1:21">
      <c r="B5" s="371"/>
      <c r="C5" s="4">
        <v>10</v>
      </c>
      <c r="D5" s="488" t="s">
        <v>228</v>
      </c>
      <c r="E5" t="s">
        <v>14</v>
      </c>
      <c r="F5" t="s">
        <v>248</v>
      </c>
      <c r="H5" s="6" t="s">
        <v>245</v>
      </c>
      <c r="I5" s="351">
        <f>+Efficiency1!AC173</f>
        <v>79.770373926147357</v>
      </c>
      <c r="J5" s="475">
        <f>I5/$I$8</f>
        <v>4.8837720570695624E-2</v>
      </c>
      <c r="M5" s="371"/>
      <c r="N5" s="4">
        <v>10</v>
      </c>
      <c r="O5" s="488" t="s">
        <v>228</v>
      </c>
      <c r="P5" t="s">
        <v>14</v>
      </c>
      <c r="Q5" t="s">
        <v>248</v>
      </c>
      <c r="S5" s="6" t="s">
        <v>245</v>
      </c>
      <c r="T5" s="351">
        <f>+Efficiency2!AC173</f>
        <v>76.432389276147347</v>
      </c>
      <c r="U5" s="475">
        <f t="shared" si="0"/>
        <v>4.756835836297392E-2</v>
      </c>
    </row>
    <row r="6" spans="1:21">
      <c r="B6" s="371"/>
      <c r="C6" s="4">
        <v>120</v>
      </c>
      <c r="D6" t="s">
        <v>428</v>
      </c>
      <c r="E6" t="s">
        <v>727</v>
      </c>
      <c r="F6" t="s">
        <v>246</v>
      </c>
      <c r="M6" s="371"/>
      <c r="N6" s="4">
        <v>120</v>
      </c>
      <c r="O6" t="s">
        <v>428</v>
      </c>
      <c r="P6" t="s">
        <v>727</v>
      </c>
      <c r="Q6" t="s">
        <v>246</v>
      </c>
    </row>
    <row r="7" spans="1:21">
      <c r="B7" s="371"/>
      <c r="C7" s="4"/>
      <c r="D7" s="488"/>
      <c r="M7" s="371"/>
      <c r="N7" s="4"/>
      <c r="O7" s="488"/>
    </row>
    <row r="8" spans="1:21">
      <c r="B8" s="371">
        <v>46083</v>
      </c>
      <c r="C8" s="4">
        <v>2</v>
      </c>
      <c r="D8" s="488" t="s">
        <v>453</v>
      </c>
      <c r="E8" t="s">
        <v>250</v>
      </c>
      <c r="F8" t="s">
        <v>248</v>
      </c>
      <c r="H8" s="476" t="s">
        <v>266</v>
      </c>
      <c r="I8" s="7">
        <f>+Efficiency1!K173</f>
        <v>1633.376271332623</v>
      </c>
      <c r="M8" s="371">
        <v>46083</v>
      </c>
      <c r="N8" s="4">
        <v>2</v>
      </c>
      <c r="O8" t="s">
        <v>453</v>
      </c>
      <c r="P8" t="s">
        <v>250</v>
      </c>
      <c r="Q8" t="s">
        <v>248</v>
      </c>
      <c r="S8" s="476" t="s">
        <v>266</v>
      </c>
      <c r="T8" s="7">
        <f>+Efficiency2!K173</f>
        <v>1606.790562182623</v>
      </c>
    </row>
    <row r="9" spans="1:21">
      <c r="B9" s="43"/>
      <c r="C9" s="4">
        <v>15</v>
      </c>
      <c r="D9" t="s">
        <v>461</v>
      </c>
      <c r="E9" t="s">
        <v>249</v>
      </c>
      <c r="F9" t="s">
        <v>248</v>
      </c>
      <c r="H9" s="476" t="s">
        <v>267</v>
      </c>
      <c r="I9" s="7">
        <f>+Efficiency1!AD173</f>
        <v>3825</v>
      </c>
      <c r="M9" s="43"/>
      <c r="N9" s="4">
        <v>15</v>
      </c>
      <c r="O9" s="488" t="s">
        <v>461</v>
      </c>
      <c r="P9" t="s">
        <v>249</v>
      </c>
      <c r="Q9" t="s">
        <v>248</v>
      </c>
      <c r="S9" s="476" t="s">
        <v>267</v>
      </c>
      <c r="T9" s="7">
        <f>+Efficiency2!AD173</f>
        <v>3124</v>
      </c>
    </row>
    <row r="10" spans="1:21">
      <c r="B10" s="371"/>
      <c r="C10" s="4">
        <v>17</v>
      </c>
      <c r="D10" s="488" t="s">
        <v>462</v>
      </c>
      <c r="E10" t="s">
        <v>365</v>
      </c>
      <c r="F10" t="s">
        <v>248</v>
      </c>
      <c r="H10" s="476" t="s">
        <v>268</v>
      </c>
      <c r="I10" s="7">
        <f>+Efficiency1!V173</f>
        <v>141.55790618897547</v>
      </c>
      <c r="M10" s="371"/>
      <c r="N10" s="4">
        <v>17</v>
      </c>
      <c r="O10" t="s">
        <v>462</v>
      </c>
      <c r="P10" t="s">
        <v>365</v>
      </c>
      <c r="Q10" t="s">
        <v>248</v>
      </c>
      <c r="S10" s="476" t="s">
        <v>268</v>
      </c>
      <c r="T10" s="7">
        <f>+Efficiency2!V173</f>
        <v>114.97219703897542</v>
      </c>
    </row>
    <row r="11" spans="1:21">
      <c r="B11" s="371"/>
      <c r="C11" s="4">
        <v>10</v>
      </c>
      <c r="D11" t="s">
        <v>228</v>
      </c>
      <c r="E11" t="s">
        <v>14</v>
      </c>
      <c r="F11" t="s">
        <v>248</v>
      </c>
      <c r="G11" s="514"/>
      <c r="H11" s="476" t="s">
        <v>269</v>
      </c>
      <c r="I11" s="468">
        <f>I10/I8</f>
        <v>8.6665827509225773E-2</v>
      </c>
      <c r="M11" s="371"/>
      <c r="N11" s="4">
        <v>10</v>
      </c>
      <c r="O11" s="488" t="s">
        <v>228</v>
      </c>
      <c r="P11" t="s">
        <v>14</v>
      </c>
      <c r="Q11" t="s">
        <v>248</v>
      </c>
      <c r="R11" s="514"/>
      <c r="S11" s="476" t="s">
        <v>269</v>
      </c>
      <c r="T11" s="468">
        <f>T10/T8</f>
        <v>7.1553940970875599E-2</v>
      </c>
    </row>
    <row r="12" spans="1:21" ht="12.75" customHeight="1">
      <c r="B12" s="371"/>
      <c r="C12" s="4">
        <v>369</v>
      </c>
      <c r="D12" s="488" t="s">
        <v>459</v>
      </c>
      <c r="E12" t="s">
        <v>727</v>
      </c>
      <c r="F12" t="s">
        <v>246</v>
      </c>
      <c r="M12" s="371"/>
      <c r="N12" s="4">
        <v>369</v>
      </c>
      <c r="O12" s="488" t="s">
        <v>459</v>
      </c>
      <c r="P12" t="s">
        <v>727</v>
      </c>
      <c r="Q12" t="s">
        <v>246</v>
      </c>
    </row>
    <row r="13" spans="1:21" ht="12.75" customHeight="1">
      <c r="B13" s="371"/>
      <c r="C13" s="4">
        <v>120</v>
      </c>
      <c r="D13" s="488" t="s">
        <v>460</v>
      </c>
      <c r="E13" t="s">
        <v>728</v>
      </c>
      <c r="F13" t="s">
        <v>253</v>
      </c>
      <c r="M13" s="371"/>
      <c r="N13" s="4">
        <v>120</v>
      </c>
      <c r="O13" t="s">
        <v>460</v>
      </c>
      <c r="P13" t="s">
        <v>728</v>
      </c>
      <c r="Q13" t="s">
        <v>253</v>
      </c>
    </row>
    <row r="14" spans="1:21" ht="12.75" customHeight="1">
      <c r="B14" s="43"/>
      <c r="C14" s="4"/>
      <c r="M14" s="43"/>
      <c r="N14" s="4"/>
      <c r="O14" s="488"/>
      <c r="R14" s="514">
        <f>+summary!Q44</f>
        <v>1.0000000000000002</v>
      </c>
    </row>
    <row r="15" spans="1:21" ht="12.75" customHeight="1">
      <c r="B15" s="371">
        <v>46084</v>
      </c>
      <c r="C15" s="4">
        <v>0</v>
      </c>
      <c r="D15" s="488" t="s">
        <v>391</v>
      </c>
      <c r="E15" t="s">
        <v>250</v>
      </c>
      <c r="F15" t="s">
        <v>248</v>
      </c>
      <c r="G15" s="514">
        <f>+summary!H44</f>
        <v>1.0000000000000002</v>
      </c>
      <c r="M15" s="371">
        <v>46084</v>
      </c>
      <c r="N15" s="4">
        <v>0</v>
      </c>
      <c r="O15" t="s">
        <v>391</v>
      </c>
      <c r="P15" t="s">
        <v>250</v>
      </c>
      <c r="Q15" t="s">
        <v>248</v>
      </c>
    </row>
    <row r="16" spans="1:21" ht="12.75" customHeight="1">
      <c r="B16" s="43"/>
      <c r="C16" s="4">
        <v>14</v>
      </c>
      <c r="D16" t="s">
        <v>461</v>
      </c>
      <c r="E16" t="s">
        <v>249</v>
      </c>
      <c r="F16" t="s">
        <v>248</v>
      </c>
      <c r="M16" s="43"/>
      <c r="N16" s="4">
        <v>14</v>
      </c>
      <c r="O16" s="488" t="s">
        <v>461</v>
      </c>
      <c r="P16" t="s">
        <v>249</v>
      </c>
      <c r="Q16" t="s">
        <v>248</v>
      </c>
    </row>
    <row r="17" spans="2:17" ht="12.75" customHeight="1">
      <c r="B17" s="371"/>
      <c r="C17" s="4">
        <v>20</v>
      </c>
      <c r="D17" s="488" t="s">
        <v>475</v>
      </c>
      <c r="E17" t="s">
        <v>365</v>
      </c>
      <c r="F17" t="s">
        <v>248</v>
      </c>
      <c r="M17" s="371"/>
      <c r="N17" s="4">
        <v>20</v>
      </c>
      <c r="O17" s="488" t="s">
        <v>475</v>
      </c>
      <c r="P17" t="s">
        <v>365</v>
      </c>
      <c r="Q17" t="s">
        <v>248</v>
      </c>
    </row>
    <row r="18" spans="2:17" ht="12.75" customHeight="1">
      <c r="B18" s="371"/>
      <c r="C18" s="4">
        <v>18</v>
      </c>
      <c r="D18" s="488" t="s">
        <v>228</v>
      </c>
      <c r="E18" t="s">
        <v>14</v>
      </c>
      <c r="F18" t="s">
        <v>248</v>
      </c>
      <c r="M18" s="371"/>
      <c r="N18" s="4">
        <v>18</v>
      </c>
      <c r="O18" t="s">
        <v>228</v>
      </c>
      <c r="P18" t="s">
        <v>14</v>
      </c>
      <c r="Q18" t="s">
        <v>248</v>
      </c>
    </row>
    <row r="19" spans="2:17" ht="12.75" customHeight="1">
      <c r="B19" s="43"/>
      <c r="C19" s="4">
        <v>30</v>
      </c>
      <c r="D19" t="s">
        <v>476</v>
      </c>
      <c r="E19" t="s">
        <v>729</v>
      </c>
      <c r="F19" t="s">
        <v>254</v>
      </c>
      <c r="M19" s="43"/>
      <c r="N19" s="4">
        <v>30</v>
      </c>
      <c r="O19" s="488" t="s">
        <v>476</v>
      </c>
      <c r="P19" t="s">
        <v>729</v>
      </c>
      <c r="Q19" t="s">
        <v>254</v>
      </c>
    </row>
    <row r="20" spans="2:17" ht="12.75" customHeight="1">
      <c r="B20" s="371"/>
      <c r="C20" s="4"/>
      <c r="D20" s="488"/>
      <c r="M20" s="371"/>
      <c r="N20" s="4"/>
    </row>
    <row r="21" spans="2:17">
      <c r="B21" s="371">
        <v>46085</v>
      </c>
      <c r="C21" s="4">
        <v>5</v>
      </c>
      <c r="D21" t="s">
        <v>488</v>
      </c>
      <c r="E21" t="s">
        <v>250</v>
      </c>
      <c r="F21" t="s">
        <v>248</v>
      </c>
      <c r="M21" s="371">
        <v>46085</v>
      </c>
      <c r="N21" s="4">
        <v>5</v>
      </c>
      <c r="O21" s="488" t="s">
        <v>488</v>
      </c>
      <c r="P21" t="s">
        <v>250</v>
      </c>
      <c r="Q21" t="s">
        <v>248</v>
      </c>
    </row>
    <row r="22" spans="2:17">
      <c r="B22" s="371"/>
      <c r="C22" s="4">
        <v>10</v>
      </c>
      <c r="D22" s="488" t="s">
        <v>489</v>
      </c>
      <c r="E22" t="s">
        <v>249</v>
      </c>
      <c r="F22" t="s">
        <v>248</v>
      </c>
      <c r="M22" s="371"/>
      <c r="N22" s="4">
        <v>10</v>
      </c>
      <c r="O22" s="488" t="s">
        <v>489</v>
      </c>
      <c r="P22" t="s">
        <v>249</v>
      </c>
      <c r="Q22" t="s">
        <v>248</v>
      </c>
    </row>
    <row r="23" spans="2:17">
      <c r="B23" s="371"/>
      <c r="C23" s="4">
        <v>23</v>
      </c>
      <c r="D23" s="488" t="s">
        <v>490</v>
      </c>
      <c r="E23" t="s">
        <v>365</v>
      </c>
      <c r="F23" t="s">
        <v>248</v>
      </c>
      <c r="M23" s="371"/>
      <c r="N23" s="4">
        <v>23</v>
      </c>
      <c r="O23" t="s">
        <v>490</v>
      </c>
      <c r="P23" t="s">
        <v>365</v>
      </c>
      <c r="Q23" t="s">
        <v>248</v>
      </c>
    </row>
    <row r="24" spans="2:17">
      <c r="B24" s="43"/>
      <c r="C24" s="4">
        <v>17</v>
      </c>
      <c r="D24" t="s">
        <v>228</v>
      </c>
      <c r="E24" t="s">
        <v>14</v>
      </c>
      <c r="F24" t="s">
        <v>248</v>
      </c>
      <c r="M24" s="43"/>
      <c r="N24" s="4">
        <v>17</v>
      </c>
      <c r="O24" t="s">
        <v>228</v>
      </c>
      <c r="P24" t="s">
        <v>14</v>
      </c>
      <c r="Q24" t="s">
        <v>248</v>
      </c>
    </row>
    <row r="25" spans="2:17">
      <c r="B25" s="371"/>
      <c r="C25" s="4">
        <v>20</v>
      </c>
      <c r="D25" s="488" t="s">
        <v>484</v>
      </c>
      <c r="E25" t="s">
        <v>730</v>
      </c>
      <c r="F25" t="s">
        <v>254</v>
      </c>
      <c r="M25" s="371"/>
      <c r="N25" s="4">
        <v>20</v>
      </c>
      <c r="O25" s="488" t="s">
        <v>484</v>
      </c>
      <c r="P25" t="s">
        <v>730</v>
      </c>
      <c r="Q25" t="s">
        <v>254</v>
      </c>
    </row>
    <row r="26" spans="2:17">
      <c r="B26" s="43"/>
      <c r="C26" s="4">
        <v>170</v>
      </c>
      <c r="D26" t="s">
        <v>485</v>
      </c>
      <c r="E26" t="s">
        <v>727</v>
      </c>
      <c r="F26" t="s">
        <v>246</v>
      </c>
      <c r="M26" s="43"/>
      <c r="N26" s="4">
        <v>170</v>
      </c>
      <c r="O26" t="s">
        <v>485</v>
      </c>
      <c r="P26" t="s">
        <v>727</v>
      </c>
      <c r="Q26" t="s">
        <v>246</v>
      </c>
    </row>
    <row r="27" spans="2:17">
      <c r="B27" s="371"/>
      <c r="C27" s="4"/>
      <c r="M27" s="371"/>
      <c r="N27" s="4"/>
    </row>
    <row r="28" spans="2:17">
      <c r="B28" s="371">
        <v>46086</v>
      </c>
      <c r="C28" s="4">
        <v>6</v>
      </c>
      <c r="D28" t="s">
        <v>488</v>
      </c>
      <c r="E28" t="s">
        <v>250</v>
      </c>
      <c r="F28" t="s">
        <v>248</v>
      </c>
      <c r="M28" s="371">
        <v>46086</v>
      </c>
      <c r="N28" s="4">
        <v>6</v>
      </c>
      <c r="O28" t="s">
        <v>488</v>
      </c>
      <c r="P28" t="s">
        <v>250</v>
      </c>
      <c r="Q28" t="s">
        <v>248</v>
      </c>
    </row>
    <row r="29" spans="2:17">
      <c r="B29" s="371"/>
      <c r="C29" s="4">
        <v>14</v>
      </c>
      <c r="D29" t="s">
        <v>461</v>
      </c>
      <c r="E29" t="s">
        <v>249</v>
      </c>
      <c r="F29" t="s">
        <v>248</v>
      </c>
      <c r="M29" s="371"/>
      <c r="N29" s="4">
        <v>14</v>
      </c>
      <c r="O29" t="s">
        <v>461</v>
      </c>
      <c r="P29" t="s">
        <v>249</v>
      </c>
      <c r="Q29" t="s">
        <v>248</v>
      </c>
    </row>
    <row r="30" spans="2:17">
      <c r="B30" s="43"/>
      <c r="C30" s="4">
        <v>14</v>
      </c>
      <c r="D30" t="s">
        <v>490</v>
      </c>
      <c r="E30" t="s">
        <v>365</v>
      </c>
      <c r="F30" t="s">
        <v>248</v>
      </c>
      <c r="M30" s="43"/>
      <c r="N30" s="4">
        <v>14</v>
      </c>
      <c r="O30" t="s">
        <v>490</v>
      </c>
      <c r="P30" t="s">
        <v>365</v>
      </c>
      <c r="Q30" t="s">
        <v>248</v>
      </c>
    </row>
    <row r="31" spans="2:17">
      <c r="B31" s="371"/>
      <c r="C31" s="4">
        <v>17</v>
      </c>
      <c r="D31" t="s">
        <v>228</v>
      </c>
      <c r="E31" t="s">
        <v>14</v>
      </c>
      <c r="F31" t="s">
        <v>248</v>
      </c>
      <c r="M31" s="371"/>
      <c r="N31" s="4">
        <v>17</v>
      </c>
      <c r="O31" t="s">
        <v>228</v>
      </c>
      <c r="P31" t="s">
        <v>14</v>
      </c>
      <c r="Q31" t="s">
        <v>248</v>
      </c>
    </row>
    <row r="32" spans="2:17" ht="12.75" customHeight="1">
      <c r="B32" s="371"/>
      <c r="C32" s="4">
        <v>15</v>
      </c>
      <c r="D32" t="s">
        <v>499</v>
      </c>
      <c r="E32" t="s">
        <v>731</v>
      </c>
      <c r="F32" t="s">
        <v>254</v>
      </c>
      <c r="M32" s="371"/>
      <c r="N32" s="4">
        <v>15</v>
      </c>
      <c r="O32" t="s">
        <v>499</v>
      </c>
      <c r="P32" t="s">
        <v>731</v>
      </c>
      <c r="Q32" t="s">
        <v>254</v>
      </c>
    </row>
    <row r="33" spans="2:17" ht="12.75" customHeight="1">
      <c r="B33" s="371"/>
      <c r="C33" s="4"/>
      <c r="M33" s="371"/>
      <c r="N33" s="4"/>
    </row>
    <row r="34" spans="2:17">
      <c r="B34" s="371">
        <v>46087</v>
      </c>
      <c r="C34" s="4">
        <v>2</v>
      </c>
      <c r="D34" t="s">
        <v>453</v>
      </c>
      <c r="E34" t="s">
        <v>250</v>
      </c>
      <c r="F34" t="s">
        <v>248</v>
      </c>
      <c r="M34" s="371">
        <v>46087</v>
      </c>
      <c r="N34" s="4">
        <v>2</v>
      </c>
      <c r="O34" t="s">
        <v>453</v>
      </c>
      <c r="P34" t="s">
        <v>250</v>
      </c>
      <c r="Q34" t="s">
        <v>248</v>
      </c>
    </row>
    <row r="35" spans="2:17">
      <c r="B35" s="43"/>
      <c r="C35" s="4">
        <v>13</v>
      </c>
      <c r="D35" t="s">
        <v>510</v>
      </c>
      <c r="E35" t="s">
        <v>249</v>
      </c>
      <c r="F35" t="s">
        <v>248</v>
      </c>
      <c r="M35" s="43"/>
      <c r="N35" s="4">
        <v>13</v>
      </c>
      <c r="O35" t="s">
        <v>510</v>
      </c>
      <c r="P35" t="s">
        <v>249</v>
      </c>
      <c r="Q35" t="s">
        <v>248</v>
      </c>
    </row>
    <row r="36" spans="2:17">
      <c r="B36" s="371"/>
      <c r="C36" s="4">
        <v>8</v>
      </c>
      <c r="D36" t="s">
        <v>511</v>
      </c>
      <c r="E36" t="s">
        <v>365</v>
      </c>
      <c r="F36" t="s">
        <v>248</v>
      </c>
      <c r="M36" s="371"/>
      <c r="N36" s="4">
        <v>8</v>
      </c>
      <c r="O36" t="s">
        <v>511</v>
      </c>
      <c r="P36" t="s">
        <v>365</v>
      </c>
      <c r="Q36" t="s">
        <v>248</v>
      </c>
    </row>
    <row r="37" spans="2:17">
      <c r="B37" s="43"/>
      <c r="C37" s="4">
        <v>9</v>
      </c>
      <c r="D37" t="s">
        <v>228</v>
      </c>
      <c r="E37" t="s">
        <v>14</v>
      </c>
      <c r="F37" t="s">
        <v>248</v>
      </c>
      <c r="M37" s="43"/>
      <c r="N37" s="4">
        <v>9</v>
      </c>
      <c r="O37" t="s">
        <v>228</v>
      </c>
      <c r="P37" t="s">
        <v>14</v>
      </c>
      <c r="Q37" t="s">
        <v>248</v>
      </c>
    </row>
    <row r="38" spans="2:17">
      <c r="B38" s="371"/>
      <c r="C38" s="4">
        <v>539</v>
      </c>
      <c r="D38" t="s">
        <v>512</v>
      </c>
      <c r="E38" t="s">
        <v>732</v>
      </c>
      <c r="F38" t="s">
        <v>301</v>
      </c>
      <c r="M38" s="371"/>
      <c r="N38" s="4">
        <v>223</v>
      </c>
      <c r="O38" t="s">
        <v>512</v>
      </c>
      <c r="P38" t="s">
        <v>732</v>
      </c>
      <c r="Q38" t="s">
        <v>301</v>
      </c>
    </row>
    <row r="39" spans="2:17">
      <c r="B39" s="371"/>
      <c r="C39" s="4"/>
      <c r="M39" s="371"/>
      <c r="N39" s="4"/>
    </row>
    <row r="40" spans="2:17">
      <c r="B40" s="43">
        <v>46088</v>
      </c>
      <c r="C40" s="4">
        <v>0</v>
      </c>
      <c r="D40" t="s">
        <v>391</v>
      </c>
      <c r="E40" t="s">
        <v>250</v>
      </c>
      <c r="F40" t="s">
        <v>248</v>
      </c>
      <c r="M40" s="43">
        <v>46088</v>
      </c>
      <c r="N40" s="4">
        <v>0</v>
      </c>
      <c r="O40" t="s">
        <v>391</v>
      </c>
      <c r="P40" t="s">
        <v>250</v>
      </c>
      <c r="Q40" t="s">
        <v>248</v>
      </c>
    </row>
    <row r="41" spans="2:17">
      <c r="B41" s="371"/>
      <c r="C41" s="4">
        <v>9</v>
      </c>
      <c r="D41" t="s">
        <v>555</v>
      </c>
      <c r="E41" t="s">
        <v>249</v>
      </c>
      <c r="F41" t="s">
        <v>248</v>
      </c>
      <c r="M41" s="371"/>
      <c r="N41" s="4">
        <v>9</v>
      </c>
      <c r="O41" t="s">
        <v>555</v>
      </c>
      <c r="P41" t="s">
        <v>249</v>
      </c>
      <c r="Q41" t="s">
        <v>248</v>
      </c>
    </row>
    <row r="42" spans="2:17">
      <c r="B42" s="371"/>
      <c r="C42" s="4">
        <v>17</v>
      </c>
      <c r="D42" t="s">
        <v>556</v>
      </c>
      <c r="E42" t="s">
        <v>365</v>
      </c>
      <c r="F42" t="s">
        <v>248</v>
      </c>
      <c r="M42" s="371"/>
      <c r="N42" s="4">
        <v>17</v>
      </c>
      <c r="O42" t="s">
        <v>556</v>
      </c>
      <c r="P42" t="s">
        <v>365</v>
      </c>
      <c r="Q42" t="s">
        <v>248</v>
      </c>
    </row>
    <row r="43" spans="2:17">
      <c r="B43" s="43"/>
      <c r="C43" s="4">
        <v>8</v>
      </c>
      <c r="D43" t="s">
        <v>228</v>
      </c>
      <c r="E43" t="s">
        <v>14</v>
      </c>
      <c r="F43" t="s">
        <v>248</v>
      </c>
      <c r="M43" s="43"/>
      <c r="N43" s="4">
        <v>8</v>
      </c>
      <c r="O43" t="s">
        <v>228</v>
      </c>
      <c r="P43" t="s">
        <v>14</v>
      </c>
      <c r="Q43" t="s">
        <v>248</v>
      </c>
    </row>
    <row r="44" spans="2:17">
      <c r="B44" s="371"/>
      <c r="C44" s="4">
        <v>385</v>
      </c>
      <c r="D44" t="s">
        <v>512</v>
      </c>
      <c r="E44" t="s">
        <v>732</v>
      </c>
      <c r="F44" t="s">
        <v>301</v>
      </c>
      <c r="M44" s="371"/>
      <c r="N44" s="4">
        <v>0</v>
      </c>
      <c r="O44" t="s">
        <v>512</v>
      </c>
      <c r="P44" t="s">
        <v>732</v>
      </c>
      <c r="Q44" t="s">
        <v>301</v>
      </c>
    </row>
    <row r="45" spans="2:17">
      <c r="B45" s="371"/>
      <c r="C45" s="4"/>
      <c r="M45" s="371"/>
      <c r="N45" s="4"/>
    </row>
    <row r="46" spans="2:17">
      <c r="B46" s="371">
        <v>46089</v>
      </c>
      <c r="C46" s="4">
        <v>0</v>
      </c>
      <c r="D46" t="s">
        <v>391</v>
      </c>
      <c r="E46" t="s">
        <v>250</v>
      </c>
      <c r="F46" t="s">
        <v>248</v>
      </c>
      <c r="M46" s="371">
        <v>46089</v>
      </c>
      <c r="N46" s="4">
        <v>0</v>
      </c>
      <c r="O46" t="s">
        <v>391</v>
      </c>
      <c r="P46" t="s">
        <v>250</v>
      </c>
      <c r="Q46" t="s">
        <v>248</v>
      </c>
    </row>
    <row r="47" spans="2:17">
      <c r="B47" s="43"/>
      <c r="C47" s="4">
        <v>15</v>
      </c>
      <c r="D47" t="s">
        <v>555</v>
      </c>
      <c r="E47" t="s">
        <v>249</v>
      </c>
      <c r="F47" t="s">
        <v>248</v>
      </c>
      <c r="M47" s="43"/>
      <c r="N47" s="4">
        <v>15</v>
      </c>
      <c r="O47" t="s">
        <v>555</v>
      </c>
      <c r="P47" t="s">
        <v>249</v>
      </c>
      <c r="Q47" t="s">
        <v>248</v>
      </c>
    </row>
    <row r="48" spans="2:17">
      <c r="B48" s="371"/>
      <c r="C48" s="4">
        <v>21</v>
      </c>
      <c r="D48" t="s">
        <v>490</v>
      </c>
      <c r="E48" t="s">
        <v>365</v>
      </c>
      <c r="F48" t="s">
        <v>248</v>
      </c>
      <c r="M48" s="371"/>
      <c r="N48" s="4">
        <v>21</v>
      </c>
      <c r="O48" t="s">
        <v>490</v>
      </c>
      <c r="P48" t="s">
        <v>365</v>
      </c>
      <c r="Q48" t="s">
        <v>248</v>
      </c>
    </row>
    <row r="49" spans="2:17">
      <c r="B49" s="371"/>
      <c r="C49" s="4">
        <v>8</v>
      </c>
      <c r="D49" t="s">
        <v>228</v>
      </c>
      <c r="E49" t="s">
        <v>14</v>
      </c>
      <c r="F49" t="s">
        <v>248</v>
      </c>
      <c r="M49" s="371"/>
      <c r="N49" s="4">
        <v>8</v>
      </c>
      <c r="O49" t="s">
        <v>228</v>
      </c>
      <c r="P49" t="s">
        <v>14</v>
      </c>
      <c r="Q49" t="s">
        <v>248</v>
      </c>
    </row>
    <row r="50" spans="2:17">
      <c r="B50" s="43"/>
      <c r="C50" s="4"/>
      <c r="M50" s="43"/>
      <c r="N50" s="4"/>
    </row>
    <row r="51" spans="2:17">
      <c r="B51" s="371">
        <v>46090</v>
      </c>
      <c r="C51" s="4">
        <v>0</v>
      </c>
      <c r="D51" t="s">
        <v>391</v>
      </c>
      <c r="E51" t="s">
        <v>250</v>
      </c>
      <c r="F51" t="s">
        <v>248</v>
      </c>
      <c r="M51" s="371">
        <v>46090</v>
      </c>
      <c r="N51" s="4">
        <v>0</v>
      </c>
      <c r="O51" t="s">
        <v>391</v>
      </c>
      <c r="P51" t="s">
        <v>250</v>
      </c>
      <c r="Q51" t="s">
        <v>248</v>
      </c>
    </row>
    <row r="52" spans="2:17">
      <c r="B52" s="371"/>
      <c r="C52" s="4">
        <v>16</v>
      </c>
      <c r="D52" t="s">
        <v>576</v>
      </c>
      <c r="E52" t="s">
        <v>249</v>
      </c>
      <c r="F52" t="s">
        <v>248</v>
      </c>
      <c r="M52" s="371"/>
      <c r="N52" s="4">
        <v>16</v>
      </c>
      <c r="O52" t="s">
        <v>576</v>
      </c>
      <c r="P52" t="s">
        <v>249</v>
      </c>
      <c r="Q52" t="s">
        <v>248</v>
      </c>
    </row>
    <row r="53" spans="2:17">
      <c r="B53" s="43"/>
      <c r="C53" s="4">
        <v>17</v>
      </c>
      <c r="D53" t="s">
        <v>490</v>
      </c>
      <c r="E53" t="s">
        <v>365</v>
      </c>
      <c r="F53" t="s">
        <v>248</v>
      </c>
      <c r="M53" s="43"/>
      <c r="N53" s="4">
        <v>17</v>
      </c>
      <c r="O53" t="s">
        <v>490</v>
      </c>
      <c r="P53" t="s">
        <v>365</v>
      </c>
      <c r="Q53" t="s">
        <v>248</v>
      </c>
    </row>
    <row r="54" spans="2:17">
      <c r="B54" s="371"/>
      <c r="C54" s="4">
        <v>10</v>
      </c>
      <c r="D54" t="s">
        <v>228</v>
      </c>
      <c r="E54" t="s">
        <v>14</v>
      </c>
      <c r="F54" t="s">
        <v>248</v>
      </c>
      <c r="M54" s="371"/>
      <c r="N54" s="4">
        <v>10</v>
      </c>
      <c r="O54" t="s">
        <v>228</v>
      </c>
      <c r="P54" t="s">
        <v>14</v>
      </c>
      <c r="Q54" t="s">
        <v>248</v>
      </c>
    </row>
    <row r="55" spans="2:17">
      <c r="B55" s="371"/>
      <c r="C55" s="4"/>
      <c r="M55" s="371"/>
      <c r="N55" s="4"/>
    </row>
    <row r="56" spans="2:17">
      <c r="B56" s="371">
        <v>46091</v>
      </c>
      <c r="C56" s="4">
        <v>0</v>
      </c>
      <c r="D56" t="s">
        <v>391</v>
      </c>
      <c r="E56" t="s">
        <v>250</v>
      </c>
      <c r="F56" t="s">
        <v>248</v>
      </c>
      <c r="M56" s="371">
        <v>46091</v>
      </c>
      <c r="N56" s="4">
        <v>0</v>
      </c>
      <c r="O56" t="s">
        <v>391</v>
      </c>
      <c r="P56" t="s">
        <v>250</v>
      </c>
      <c r="Q56" t="s">
        <v>248</v>
      </c>
    </row>
    <row r="57" spans="2:17">
      <c r="B57" s="43"/>
      <c r="C57" s="4">
        <v>8</v>
      </c>
      <c r="D57" t="s">
        <v>452</v>
      </c>
      <c r="E57" t="s">
        <v>249</v>
      </c>
      <c r="F57" t="s">
        <v>248</v>
      </c>
      <c r="M57" s="43"/>
      <c r="N57" s="4">
        <v>8</v>
      </c>
      <c r="O57" t="s">
        <v>452</v>
      </c>
      <c r="P57" t="s">
        <v>249</v>
      </c>
      <c r="Q57" t="s">
        <v>248</v>
      </c>
    </row>
    <row r="58" spans="2:17">
      <c r="B58" s="371"/>
      <c r="C58" s="4">
        <v>22</v>
      </c>
      <c r="D58" t="s">
        <v>587</v>
      </c>
      <c r="E58" t="s">
        <v>365</v>
      </c>
      <c r="F58" t="s">
        <v>248</v>
      </c>
      <c r="M58" s="371"/>
      <c r="N58" s="4">
        <v>22</v>
      </c>
      <c r="O58" t="s">
        <v>587</v>
      </c>
      <c r="P58" t="s">
        <v>365</v>
      </c>
      <c r="Q58" t="s">
        <v>248</v>
      </c>
    </row>
    <row r="59" spans="2:17">
      <c r="B59" s="371"/>
      <c r="C59" s="4">
        <v>6</v>
      </c>
      <c r="D59" t="s">
        <v>228</v>
      </c>
      <c r="E59" t="s">
        <v>14</v>
      </c>
      <c r="F59" t="s">
        <v>248</v>
      </c>
      <c r="M59" s="371"/>
      <c r="N59" s="4">
        <v>6</v>
      </c>
      <c r="O59" t="s">
        <v>228</v>
      </c>
      <c r="P59" t="s">
        <v>14</v>
      </c>
      <c r="Q59" t="s">
        <v>248</v>
      </c>
    </row>
    <row r="60" spans="2:17">
      <c r="B60" s="371"/>
      <c r="C60" s="4"/>
      <c r="M60" s="371"/>
      <c r="N60" s="4"/>
    </row>
    <row r="61" spans="2:17">
      <c r="B61" s="43">
        <v>46092</v>
      </c>
      <c r="C61" s="4">
        <v>0</v>
      </c>
      <c r="D61" t="s">
        <v>391</v>
      </c>
      <c r="E61" t="s">
        <v>250</v>
      </c>
      <c r="F61" t="s">
        <v>248</v>
      </c>
      <c r="M61" s="43">
        <v>46092</v>
      </c>
      <c r="N61" s="4">
        <v>0</v>
      </c>
      <c r="O61" t="s">
        <v>391</v>
      </c>
      <c r="P61" t="s">
        <v>250</v>
      </c>
      <c r="Q61" t="s">
        <v>248</v>
      </c>
    </row>
    <row r="62" spans="2:17">
      <c r="B62" s="371"/>
      <c r="C62">
        <v>5</v>
      </c>
      <c r="D62" t="s">
        <v>474</v>
      </c>
      <c r="E62" t="s">
        <v>249</v>
      </c>
      <c r="F62" t="s">
        <v>248</v>
      </c>
      <c r="M62" s="371"/>
      <c r="N62">
        <v>5</v>
      </c>
      <c r="O62" t="s">
        <v>474</v>
      </c>
      <c r="P62" t="s">
        <v>249</v>
      </c>
      <c r="Q62" t="s">
        <v>248</v>
      </c>
    </row>
    <row r="63" spans="2:17">
      <c r="B63" s="371"/>
      <c r="C63">
        <v>29</v>
      </c>
      <c r="D63" t="s">
        <v>592</v>
      </c>
      <c r="E63" t="s">
        <v>365</v>
      </c>
      <c r="F63" t="s">
        <v>248</v>
      </c>
      <c r="M63" s="371"/>
      <c r="N63">
        <v>29</v>
      </c>
      <c r="O63" t="s">
        <v>592</v>
      </c>
      <c r="P63" t="s">
        <v>365</v>
      </c>
      <c r="Q63" t="s">
        <v>248</v>
      </c>
    </row>
    <row r="64" spans="2:17">
      <c r="B64" s="43"/>
      <c r="C64">
        <v>12</v>
      </c>
      <c r="D64" t="s">
        <v>228</v>
      </c>
      <c r="E64" t="s">
        <v>14</v>
      </c>
      <c r="F64" t="s">
        <v>248</v>
      </c>
      <c r="M64" s="43"/>
      <c r="N64">
        <v>12</v>
      </c>
      <c r="O64" t="s">
        <v>228</v>
      </c>
      <c r="P64" t="s">
        <v>14</v>
      </c>
      <c r="Q64" t="s">
        <v>248</v>
      </c>
    </row>
    <row r="65" spans="2:18">
      <c r="B65" s="43"/>
      <c r="E65" s="408"/>
      <c r="F65" s="408"/>
      <c r="M65" s="43"/>
      <c r="P65" s="408"/>
      <c r="Q65" s="408"/>
    </row>
    <row r="66" spans="2:18">
      <c r="B66" s="371">
        <v>46093</v>
      </c>
      <c r="C66">
        <v>0</v>
      </c>
      <c r="D66" t="s">
        <v>391</v>
      </c>
      <c r="E66" t="s">
        <v>250</v>
      </c>
      <c r="F66" t="s">
        <v>248</v>
      </c>
      <c r="M66" s="371">
        <v>46093</v>
      </c>
      <c r="N66">
        <v>0</v>
      </c>
      <c r="O66" t="s">
        <v>391</v>
      </c>
      <c r="P66" t="s">
        <v>250</v>
      </c>
      <c r="Q66" t="s">
        <v>248</v>
      </c>
      <c r="R66" s="514">
        <f>+summary!Q55</f>
        <v>0</v>
      </c>
    </row>
    <row r="67" spans="2:18">
      <c r="B67" s="371"/>
      <c r="C67">
        <v>10</v>
      </c>
      <c r="D67" t="s">
        <v>452</v>
      </c>
      <c r="E67" t="s">
        <v>249</v>
      </c>
      <c r="F67" t="s">
        <v>248</v>
      </c>
      <c r="M67" s="371"/>
      <c r="N67">
        <v>10</v>
      </c>
      <c r="O67" t="s">
        <v>452</v>
      </c>
      <c r="P67" t="s">
        <v>249</v>
      </c>
      <c r="Q67" t="s">
        <v>248</v>
      </c>
    </row>
    <row r="68" spans="2:18">
      <c r="B68" s="43"/>
      <c r="C68">
        <v>31</v>
      </c>
      <c r="D68" t="s">
        <v>596</v>
      </c>
      <c r="E68" t="s">
        <v>365</v>
      </c>
      <c r="F68" t="s">
        <v>248</v>
      </c>
      <c r="G68" s="514">
        <f>+summary!H55</f>
        <v>0</v>
      </c>
      <c r="M68" s="43"/>
      <c r="N68">
        <v>31</v>
      </c>
      <c r="O68" t="s">
        <v>596</v>
      </c>
      <c r="P68" t="s">
        <v>365</v>
      </c>
      <c r="Q68" t="s">
        <v>248</v>
      </c>
    </row>
    <row r="69" spans="2:18">
      <c r="B69" s="43"/>
      <c r="C69">
        <v>8</v>
      </c>
      <c r="D69" t="s">
        <v>228</v>
      </c>
      <c r="E69" t="s">
        <v>14</v>
      </c>
      <c r="F69" t="s">
        <v>248</v>
      </c>
      <c r="M69" s="43"/>
      <c r="N69">
        <v>8</v>
      </c>
      <c r="O69" t="s">
        <v>228</v>
      </c>
      <c r="P69" t="s">
        <v>14</v>
      </c>
      <c r="Q69" t="s">
        <v>248</v>
      </c>
    </row>
    <row r="70" spans="2:18">
      <c r="B70" s="371"/>
      <c r="M70" s="371"/>
    </row>
    <row r="71" spans="2:18">
      <c r="B71" s="371">
        <v>46094</v>
      </c>
      <c r="C71">
        <v>2</v>
      </c>
      <c r="D71" t="s">
        <v>453</v>
      </c>
      <c r="E71" t="s">
        <v>250</v>
      </c>
      <c r="F71" t="s">
        <v>248</v>
      </c>
      <c r="M71" s="371">
        <v>46094</v>
      </c>
      <c r="N71">
        <v>2</v>
      </c>
      <c r="O71" t="s">
        <v>453</v>
      </c>
      <c r="P71" t="s">
        <v>250</v>
      </c>
      <c r="Q71" t="s">
        <v>248</v>
      </c>
    </row>
    <row r="72" spans="2:18">
      <c r="B72" s="43"/>
      <c r="C72">
        <v>11</v>
      </c>
      <c r="D72" t="s">
        <v>457</v>
      </c>
      <c r="E72" t="s">
        <v>249</v>
      </c>
      <c r="F72" t="s">
        <v>248</v>
      </c>
      <c r="M72" s="43"/>
      <c r="N72">
        <v>11</v>
      </c>
      <c r="O72" t="s">
        <v>457</v>
      </c>
      <c r="P72" t="s">
        <v>249</v>
      </c>
      <c r="Q72" t="s">
        <v>248</v>
      </c>
    </row>
    <row r="73" spans="2:18">
      <c r="B73" s="43"/>
      <c r="C73">
        <v>19</v>
      </c>
      <c r="D73" t="s">
        <v>490</v>
      </c>
      <c r="E73" t="s">
        <v>365</v>
      </c>
      <c r="F73" t="s">
        <v>248</v>
      </c>
      <c r="M73" s="43"/>
      <c r="N73">
        <v>19</v>
      </c>
      <c r="O73" t="s">
        <v>490</v>
      </c>
      <c r="P73" t="s">
        <v>365</v>
      </c>
      <c r="Q73" t="s">
        <v>248</v>
      </c>
    </row>
    <row r="74" spans="2:18">
      <c r="B74" s="43"/>
      <c r="C74">
        <v>12</v>
      </c>
      <c r="D74" t="s">
        <v>228</v>
      </c>
      <c r="E74" t="s">
        <v>14</v>
      </c>
      <c r="F74" t="s">
        <v>248</v>
      </c>
      <c r="M74" s="43"/>
      <c r="N74">
        <v>12</v>
      </c>
      <c r="O74" t="s">
        <v>228</v>
      </c>
      <c r="P74" t="s">
        <v>14</v>
      </c>
      <c r="Q74" t="s">
        <v>248</v>
      </c>
    </row>
    <row r="75" spans="2:18">
      <c r="B75" s="371"/>
      <c r="M75" s="371"/>
    </row>
    <row r="76" spans="2:18">
      <c r="B76" s="371">
        <v>46095</v>
      </c>
      <c r="C76">
        <v>4</v>
      </c>
      <c r="D76" t="s">
        <v>486</v>
      </c>
      <c r="E76" t="s">
        <v>250</v>
      </c>
      <c r="F76" t="s">
        <v>248</v>
      </c>
      <c r="M76" s="371">
        <v>46095</v>
      </c>
      <c r="N76">
        <v>4</v>
      </c>
      <c r="O76" t="s">
        <v>486</v>
      </c>
      <c r="P76" t="s">
        <v>250</v>
      </c>
      <c r="Q76" t="s">
        <v>248</v>
      </c>
    </row>
    <row r="77" spans="2:18">
      <c r="B77" s="43"/>
      <c r="C77">
        <v>6</v>
      </c>
      <c r="D77" t="s">
        <v>399</v>
      </c>
      <c r="E77" t="s">
        <v>249</v>
      </c>
      <c r="F77" t="s">
        <v>248</v>
      </c>
      <c r="M77" s="43"/>
      <c r="N77">
        <v>6</v>
      </c>
      <c r="O77" t="s">
        <v>399</v>
      </c>
      <c r="P77" t="s">
        <v>249</v>
      </c>
      <c r="Q77" t="s">
        <v>248</v>
      </c>
    </row>
    <row r="78" spans="2:18">
      <c r="B78" s="43"/>
      <c r="C78">
        <v>18</v>
      </c>
      <c r="D78" t="s">
        <v>618</v>
      </c>
      <c r="E78" t="s">
        <v>365</v>
      </c>
      <c r="F78" t="s">
        <v>248</v>
      </c>
      <c r="M78" s="43"/>
      <c r="N78">
        <v>18</v>
      </c>
      <c r="O78" t="s">
        <v>618</v>
      </c>
      <c r="P78" t="s">
        <v>365</v>
      </c>
      <c r="Q78" t="s">
        <v>248</v>
      </c>
    </row>
    <row r="79" spans="2:18">
      <c r="B79" s="371"/>
      <c r="C79">
        <v>19</v>
      </c>
      <c r="D79" t="s">
        <v>228</v>
      </c>
      <c r="E79" t="s">
        <v>14</v>
      </c>
      <c r="F79" t="s">
        <v>248</v>
      </c>
      <c r="M79" s="371"/>
      <c r="N79">
        <v>19</v>
      </c>
      <c r="O79" t="s">
        <v>228</v>
      </c>
      <c r="P79" t="s">
        <v>14</v>
      </c>
      <c r="Q79" t="s">
        <v>248</v>
      </c>
    </row>
    <row r="80" spans="2:18">
      <c r="B80" s="371"/>
      <c r="M80" s="371"/>
    </row>
    <row r="81" spans="2:17">
      <c r="B81" s="43">
        <v>46096</v>
      </c>
      <c r="C81">
        <v>4</v>
      </c>
      <c r="D81" t="s">
        <v>486</v>
      </c>
      <c r="E81" t="s">
        <v>250</v>
      </c>
      <c r="F81" t="s">
        <v>248</v>
      </c>
      <c r="M81" s="43">
        <v>46096</v>
      </c>
      <c r="N81">
        <v>4</v>
      </c>
      <c r="O81" t="s">
        <v>486</v>
      </c>
      <c r="P81" t="s">
        <v>250</v>
      </c>
      <c r="Q81" t="s">
        <v>248</v>
      </c>
    </row>
    <row r="82" spans="2:17">
      <c r="B82" s="43"/>
      <c r="C82">
        <v>14</v>
      </c>
      <c r="D82" t="s">
        <v>399</v>
      </c>
      <c r="E82" t="s">
        <v>249</v>
      </c>
      <c r="F82" t="s">
        <v>248</v>
      </c>
      <c r="M82" s="43"/>
      <c r="N82">
        <v>14</v>
      </c>
      <c r="O82" t="s">
        <v>399</v>
      </c>
      <c r="P82" t="s">
        <v>249</v>
      </c>
      <c r="Q82" t="s">
        <v>248</v>
      </c>
    </row>
    <row r="83" spans="2:17">
      <c r="B83" s="371"/>
      <c r="C83">
        <v>25</v>
      </c>
      <c r="D83" t="s">
        <v>475</v>
      </c>
      <c r="E83" t="s">
        <v>365</v>
      </c>
      <c r="F83" t="s">
        <v>248</v>
      </c>
      <c r="M83" s="371"/>
      <c r="N83">
        <v>25</v>
      </c>
      <c r="O83" t="s">
        <v>475</v>
      </c>
      <c r="P83" t="s">
        <v>365</v>
      </c>
      <c r="Q83" t="s">
        <v>248</v>
      </c>
    </row>
    <row r="84" spans="2:17">
      <c r="B84" s="371"/>
      <c r="C84">
        <v>8</v>
      </c>
      <c r="D84" t="s">
        <v>228</v>
      </c>
      <c r="E84" t="s">
        <v>14</v>
      </c>
      <c r="F84" t="s">
        <v>248</v>
      </c>
      <c r="M84" s="371"/>
      <c r="N84">
        <v>8</v>
      </c>
      <c r="O84" t="s">
        <v>228</v>
      </c>
      <c r="P84" t="s">
        <v>14</v>
      </c>
      <c r="Q84" t="s">
        <v>248</v>
      </c>
    </row>
    <row r="85" spans="2:17">
      <c r="B85" s="43"/>
      <c r="M85" s="43"/>
    </row>
    <row r="86" spans="2:17">
      <c r="B86" s="43">
        <v>46097</v>
      </c>
      <c r="C86">
        <v>0</v>
      </c>
      <c r="D86" t="s">
        <v>391</v>
      </c>
      <c r="E86" t="s">
        <v>250</v>
      </c>
      <c r="F86" t="s">
        <v>248</v>
      </c>
      <c r="M86" s="43">
        <v>46097</v>
      </c>
      <c r="N86">
        <v>0</v>
      </c>
      <c r="O86" t="s">
        <v>391</v>
      </c>
      <c r="P86" t="s">
        <v>250</v>
      </c>
      <c r="Q86" t="s">
        <v>248</v>
      </c>
    </row>
    <row r="87" spans="2:17">
      <c r="B87" s="43"/>
      <c r="C87">
        <v>7</v>
      </c>
      <c r="D87" t="s">
        <v>474</v>
      </c>
      <c r="E87" t="s">
        <v>249</v>
      </c>
      <c r="F87" t="s">
        <v>248</v>
      </c>
      <c r="M87" s="43"/>
      <c r="N87">
        <v>7</v>
      </c>
      <c r="O87" t="s">
        <v>474</v>
      </c>
      <c r="P87" t="s">
        <v>249</v>
      </c>
      <c r="Q87" t="s">
        <v>248</v>
      </c>
    </row>
    <row r="88" spans="2:17">
      <c r="B88" s="371"/>
      <c r="C88">
        <v>26</v>
      </c>
      <c r="D88" t="s">
        <v>462</v>
      </c>
      <c r="E88" t="s">
        <v>365</v>
      </c>
      <c r="F88" t="s">
        <v>248</v>
      </c>
      <c r="M88" s="371"/>
      <c r="N88">
        <v>26</v>
      </c>
      <c r="O88" t="s">
        <v>462</v>
      </c>
      <c r="P88" t="s">
        <v>365</v>
      </c>
      <c r="Q88" t="s">
        <v>248</v>
      </c>
    </row>
    <row r="89" spans="2:17">
      <c r="B89" s="371"/>
      <c r="C89">
        <v>8</v>
      </c>
      <c r="D89" t="s">
        <v>228</v>
      </c>
      <c r="E89" t="s">
        <v>14</v>
      </c>
      <c r="F89" t="s">
        <v>248</v>
      </c>
      <c r="M89" s="371"/>
      <c r="N89">
        <v>8</v>
      </c>
      <c r="O89" t="s">
        <v>228</v>
      </c>
      <c r="P89" t="s">
        <v>14</v>
      </c>
      <c r="Q89" t="s">
        <v>248</v>
      </c>
    </row>
    <row r="90" spans="2:17">
      <c r="B90" s="371"/>
      <c r="E90" s="408"/>
      <c r="F90" s="408"/>
      <c r="M90" s="371"/>
      <c r="P90" s="408"/>
      <c r="Q90" s="408"/>
    </row>
    <row r="91" spans="2:17">
      <c r="B91" s="371">
        <v>46098</v>
      </c>
      <c r="C91">
        <v>1</v>
      </c>
      <c r="D91" t="s">
        <v>453</v>
      </c>
      <c r="E91" t="s">
        <v>250</v>
      </c>
      <c r="F91" t="s">
        <v>248</v>
      </c>
      <c r="M91" s="371">
        <v>46098</v>
      </c>
      <c r="N91">
        <v>1</v>
      </c>
      <c r="O91" t="s">
        <v>453</v>
      </c>
      <c r="P91" t="s">
        <v>250</v>
      </c>
      <c r="Q91" t="s">
        <v>248</v>
      </c>
    </row>
    <row r="92" spans="2:17">
      <c r="B92" s="371"/>
      <c r="C92">
        <v>10</v>
      </c>
      <c r="D92" t="s">
        <v>452</v>
      </c>
      <c r="E92" t="s">
        <v>249</v>
      </c>
      <c r="F92" t="s">
        <v>248</v>
      </c>
      <c r="M92" s="371"/>
      <c r="N92">
        <v>10</v>
      </c>
      <c r="O92" t="s">
        <v>452</v>
      </c>
      <c r="P92" t="s">
        <v>249</v>
      </c>
      <c r="Q92" t="s">
        <v>248</v>
      </c>
    </row>
    <row r="93" spans="2:17">
      <c r="B93" s="371"/>
      <c r="C93">
        <v>19</v>
      </c>
      <c r="D93" t="s">
        <v>462</v>
      </c>
      <c r="E93" t="s">
        <v>365</v>
      </c>
      <c r="F93" t="s">
        <v>248</v>
      </c>
      <c r="M93" s="371"/>
      <c r="N93">
        <v>19</v>
      </c>
      <c r="O93" t="s">
        <v>462</v>
      </c>
      <c r="P93" t="s">
        <v>365</v>
      </c>
      <c r="Q93" t="s">
        <v>248</v>
      </c>
    </row>
    <row r="94" spans="2:17">
      <c r="B94" s="371"/>
      <c r="C94">
        <v>7</v>
      </c>
      <c r="D94" t="s">
        <v>228</v>
      </c>
      <c r="E94" t="s">
        <v>14</v>
      </c>
      <c r="F94" t="s">
        <v>248</v>
      </c>
      <c r="M94" s="371"/>
      <c r="N94">
        <v>7</v>
      </c>
      <c r="O94" t="s">
        <v>228</v>
      </c>
      <c r="P94" t="s">
        <v>14</v>
      </c>
      <c r="Q94" t="s">
        <v>248</v>
      </c>
    </row>
    <row r="95" spans="2:17">
      <c r="B95" s="371"/>
      <c r="M95" s="371"/>
    </row>
    <row r="96" spans="2:17">
      <c r="B96" s="371">
        <v>46099</v>
      </c>
      <c r="C96">
        <v>6</v>
      </c>
      <c r="D96" t="s">
        <v>486</v>
      </c>
      <c r="E96" t="s">
        <v>250</v>
      </c>
      <c r="F96" t="s">
        <v>248</v>
      </c>
      <c r="M96" s="371">
        <v>46099</v>
      </c>
      <c r="N96">
        <v>6</v>
      </c>
      <c r="O96" t="s">
        <v>486</v>
      </c>
      <c r="P96" t="s">
        <v>250</v>
      </c>
      <c r="Q96" t="s">
        <v>248</v>
      </c>
    </row>
    <row r="97" spans="2:17">
      <c r="B97" s="371"/>
      <c r="C97">
        <v>12</v>
      </c>
      <c r="D97" t="s">
        <v>399</v>
      </c>
      <c r="E97" t="s">
        <v>249</v>
      </c>
      <c r="F97" t="s">
        <v>248</v>
      </c>
      <c r="M97" s="371"/>
      <c r="N97">
        <v>12</v>
      </c>
      <c r="O97" t="s">
        <v>399</v>
      </c>
      <c r="P97" t="s">
        <v>249</v>
      </c>
      <c r="Q97" t="s">
        <v>248</v>
      </c>
    </row>
    <row r="98" spans="2:17">
      <c r="B98" s="371"/>
      <c r="C98">
        <v>26</v>
      </c>
      <c r="D98" t="s">
        <v>634</v>
      </c>
      <c r="E98" t="s">
        <v>365</v>
      </c>
      <c r="F98" t="s">
        <v>248</v>
      </c>
      <c r="M98" s="371"/>
      <c r="N98">
        <v>26</v>
      </c>
      <c r="O98" t="s">
        <v>634</v>
      </c>
      <c r="P98" t="s">
        <v>365</v>
      </c>
      <c r="Q98" t="s">
        <v>248</v>
      </c>
    </row>
    <row r="99" spans="2:17">
      <c r="B99" s="371"/>
      <c r="C99">
        <v>0</v>
      </c>
      <c r="D99" t="s">
        <v>228</v>
      </c>
      <c r="E99" t="s">
        <v>14</v>
      </c>
      <c r="F99" t="s">
        <v>248</v>
      </c>
      <c r="M99" s="371"/>
      <c r="N99">
        <v>0</v>
      </c>
      <c r="O99" t="s">
        <v>228</v>
      </c>
      <c r="P99" t="s">
        <v>14</v>
      </c>
      <c r="Q99" t="s">
        <v>248</v>
      </c>
    </row>
    <row r="100" spans="2:17">
      <c r="B100" s="371"/>
      <c r="M100" s="371"/>
    </row>
    <row r="101" spans="2:17">
      <c r="B101" s="371">
        <v>46100</v>
      </c>
      <c r="C101">
        <v>15</v>
      </c>
      <c r="D101" t="s">
        <v>488</v>
      </c>
      <c r="E101" t="s">
        <v>250</v>
      </c>
      <c r="F101" t="s">
        <v>248</v>
      </c>
      <c r="M101" s="371">
        <v>46100</v>
      </c>
      <c r="N101">
        <v>15</v>
      </c>
      <c r="O101" t="s">
        <v>488</v>
      </c>
      <c r="P101" t="s">
        <v>250</v>
      </c>
      <c r="Q101" t="s">
        <v>248</v>
      </c>
    </row>
    <row r="102" spans="2:17">
      <c r="B102" s="371"/>
      <c r="C102">
        <v>9</v>
      </c>
      <c r="D102" t="s">
        <v>489</v>
      </c>
      <c r="E102" t="s">
        <v>249</v>
      </c>
      <c r="F102" t="s">
        <v>248</v>
      </c>
      <c r="M102" s="371"/>
      <c r="N102">
        <v>9</v>
      </c>
      <c r="O102" t="s">
        <v>489</v>
      </c>
      <c r="P102" t="s">
        <v>249</v>
      </c>
      <c r="Q102" t="s">
        <v>248</v>
      </c>
    </row>
    <row r="103" spans="2:17">
      <c r="B103" s="371"/>
      <c r="C103">
        <v>23</v>
      </c>
      <c r="D103" t="s">
        <v>587</v>
      </c>
      <c r="E103" t="s">
        <v>365</v>
      </c>
      <c r="F103" t="s">
        <v>248</v>
      </c>
      <c r="M103" s="371"/>
      <c r="N103">
        <v>23</v>
      </c>
      <c r="O103" t="s">
        <v>587</v>
      </c>
      <c r="P103" t="s">
        <v>365</v>
      </c>
      <c r="Q103" t="s">
        <v>248</v>
      </c>
    </row>
    <row r="104" spans="2:17">
      <c r="B104" s="371"/>
      <c r="C104">
        <v>0</v>
      </c>
      <c r="D104" t="s">
        <v>228</v>
      </c>
      <c r="E104" t="s">
        <v>14</v>
      </c>
      <c r="F104" t="s">
        <v>248</v>
      </c>
      <c r="M104" s="371"/>
      <c r="N104">
        <v>0</v>
      </c>
      <c r="O104" t="s">
        <v>228</v>
      </c>
      <c r="P104" t="s">
        <v>14</v>
      </c>
      <c r="Q104" t="s">
        <v>248</v>
      </c>
    </row>
    <row r="105" spans="2:17">
      <c r="B105" s="371"/>
      <c r="M105" s="371"/>
    </row>
    <row r="106" spans="2:17">
      <c r="B106" s="371">
        <v>46101</v>
      </c>
      <c r="C106">
        <v>5</v>
      </c>
      <c r="D106" t="s">
        <v>453</v>
      </c>
      <c r="E106" t="s">
        <v>250</v>
      </c>
      <c r="F106" t="s">
        <v>248</v>
      </c>
      <c r="M106" s="371">
        <v>46101</v>
      </c>
      <c r="N106">
        <v>5</v>
      </c>
      <c r="O106" t="s">
        <v>453</v>
      </c>
      <c r="P106" t="s">
        <v>250</v>
      </c>
      <c r="Q106" t="s">
        <v>248</v>
      </c>
    </row>
    <row r="107" spans="2:17">
      <c r="B107" s="371"/>
      <c r="C107">
        <v>22</v>
      </c>
      <c r="D107" t="s">
        <v>461</v>
      </c>
      <c r="E107" t="s">
        <v>249</v>
      </c>
      <c r="F107" t="s">
        <v>248</v>
      </c>
      <c r="M107" s="371"/>
      <c r="N107">
        <v>22</v>
      </c>
      <c r="O107" t="s">
        <v>461</v>
      </c>
      <c r="P107" t="s">
        <v>249</v>
      </c>
      <c r="Q107" t="s">
        <v>248</v>
      </c>
    </row>
    <row r="108" spans="2:17">
      <c r="B108" s="371"/>
      <c r="C108">
        <v>23</v>
      </c>
      <c r="D108" t="s">
        <v>475</v>
      </c>
      <c r="E108" t="s">
        <v>365</v>
      </c>
      <c r="F108" t="s">
        <v>248</v>
      </c>
      <c r="M108" s="371"/>
      <c r="N108">
        <v>23</v>
      </c>
      <c r="O108" t="s">
        <v>475</v>
      </c>
      <c r="P108" t="s">
        <v>365</v>
      </c>
      <c r="Q108" t="s">
        <v>248</v>
      </c>
    </row>
    <row r="109" spans="2:17">
      <c r="B109" s="371"/>
      <c r="C109">
        <v>15</v>
      </c>
      <c r="D109" t="s">
        <v>734</v>
      </c>
      <c r="E109" t="s">
        <v>733</v>
      </c>
      <c r="F109" t="s">
        <v>254</v>
      </c>
      <c r="M109" s="371"/>
      <c r="N109">
        <v>15</v>
      </c>
      <c r="O109" t="s">
        <v>660</v>
      </c>
      <c r="P109" t="s">
        <v>733</v>
      </c>
      <c r="Q109" t="s">
        <v>254</v>
      </c>
    </row>
    <row r="110" spans="2:17">
      <c r="B110" s="371"/>
      <c r="M110" s="371"/>
    </row>
    <row r="111" spans="2:17">
      <c r="B111" s="371">
        <v>46102</v>
      </c>
      <c r="C111">
        <v>0</v>
      </c>
      <c r="D111" t="s">
        <v>391</v>
      </c>
      <c r="E111" t="s">
        <v>250</v>
      </c>
      <c r="F111" t="s">
        <v>248</v>
      </c>
      <c r="M111" s="371">
        <v>46102</v>
      </c>
      <c r="N111">
        <v>0</v>
      </c>
      <c r="O111" t="s">
        <v>391</v>
      </c>
      <c r="P111" t="s">
        <v>250</v>
      </c>
      <c r="Q111" t="s">
        <v>248</v>
      </c>
    </row>
    <row r="112" spans="2:17">
      <c r="B112" s="371"/>
      <c r="C112">
        <v>15</v>
      </c>
      <c r="D112" t="s">
        <v>555</v>
      </c>
      <c r="E112" t="s">
        <v>249</v>
      </c>
      <c r="F112" t="s">
        <v>248</v>
      </c>
      <c r="M112" s="371"/>
      <c r="N112">
        <v>15</v>
      </c>
      <c r="O112" t="s">
        <v>555</v>
      </c>
      <c r="P112" t="s">
        <v>249</v>
      </c>
      <c r="Q112" t="s">
        <v>248</v>
      </c>
    </row>
    <row r="113" spans="2:17">
      <c r="B113" s="371"/>
      <c r="C113">
        <v>23</v>
      </c>
      <c r="D113" t="s">
        <v>475</v>
      </c>
      <c r="E113" t="s">
        <v>365</v>
      </c>
      <c r="F113" t="s">
        <v>248</v>
      </c>
      <c r="M113" s="371"/>
      <c r="N113">
        <v>23</v>
      </c>
      <c r="O113" t="s">
        <v>475</v>
      </c>
      <c r="P113" t="s">
        <v>365</v>
      </c>
      <c r="Q113" t="s">
        <v>248</v>
      </c>
    </row>
    <row r="114" spans="2:17">
      <c r="B114" s="371"/>
      <c r="C114">
        <v>13</v>
      </c>
      <c r="D114" t="s">
        <v>228</v>
      </c>
      <c r="E114" t="s">
        <v>14</v>
      </c>
      <c r="F114" t="s">
        <v>248</v>
      </c>
      <c r="M114" s="371"/>
      <c r="N114">
        <v>13</v>
      </c>
      <c r="O114" t="s">
        <v>228</v>
      </c>
      <c r="P114" t="s">
        <v>14</v>
      </c>
      <c r="Q114" t="s">
        <v>248</v>
      </c>
    </row>
    <row r="115" spans="2:17">
      <c r="B115" s="371"/>
      <c r="M115" s="371"/>
    </row>
    <row r="116" spans="2:17">
      <c r="B116" s="371">
        <v>46103</v>
      </c>
      <c r="C116">
        <v>9</v>
      </c>
      <c r="D116" t="s">
        <v>488</v>
      </c>
      <c r="E116" t="s">
        <v>250</v>
      </c>
      <c r="F116" t="s">
        <v>248</v>
      </c>
      <c r="M116" s="371">
        <v>46103</v>
      </c>
      <c r="N116">
        <v>9</v>
      </c>
      <c r="O116" t="s">
        <v>488</v>
      </c>
      <c r="P116" t="s">
        <v>250</v>
      </c>
      <c r="Q116" t="s">
        <v>248</v>
      </c>
    </row>
    <row r="117" spans="2:17">
      <c r="B117" s="371"/>
      <c r="C117">
        <v>10</v>
      </c>
      <c r="D117" t="s">
        <v>457</v>
      </c>
      <c r="E117" t="s">
        <v>249</v>
      </c>
      <c r="F117" t="s">
        <v>248</v>
      </c>
      <c r="M117" s="371"/>
      <c r="N117">
        <v>10</v>
      </c>
      <c r="O117" t="s">
        <v>457</v>
      </c>
      <c r="P117" t="s">
        <v>249</v>
      </c>
      <c r="Q117" t="s">
        <v>248</v>
      </c>
    </row>
    <row r="118" spans="2:17">
      <c r="B118" s="371"/>
      <c r="C118">
        <v>29</v>
      </c>
      <c r="D118" t="s">
        <v>592</v>
      </c>
      <c r="E118" t="s">
        <v>365</v>
      </c>
      <c r="F118" t="s">
        <v>248</v>
      </c>
      <c r="M118" s="371"/>
      <c r="N118">
        <v>29</v>
      </c>
      <c r="O118" t="s">
        <v>592</v>
      </c>
      <c r="P118" t="s">
        <v>365</v>
      </c>
      <c r="Q118" t="s">
        <v>248</v>
      </c>
    </row>
    <row r="119" spans="2:17">
      <c r="B119" s="371"/>
      <c r="C119">
        <v>5</v>
      </c>
      <c r="D119" t="s">
        <v>228</v>
      </c>
      <c r="E119" t="s">
        <v>14</v>
      </c>
      <c r="F119" t="s">
        <v>248</v>
      </c>
      <c r="M119" s="371"/>
      <c r="N119">
        <v>5</v>
      </c>
      <c r="O119" t="s">
        <v>228</v>
      </c>
      <c r="P119" t="s">
        <v>14</v>
      </c>
      <c r="Q119" t="s">
        <v>248</v>
      </c>
    </row>
    <row r="120" spans="2:17">
      <c r="B120" s="371"/>
      <c r="M120" s="371"/>
    </row>
    <row r="121" spans="2:17">
      <c r="B121" s="371">
        <v>46104</v>
      </c>
      <c r="C121">
        <v>6</v>
      </c>
      <c r="D121" t="s">
        <v>488</v>
      </c>
      <c r="E121" t="s">
        <v>250</v>
      </c>
      <c r="F121" t="s">
        <v>248</v>
      </c>
      <c r="M121" s="371">
        <v>46104</v>
      </c>
      <c r="N121">
        <v>6</v>
      </c>
      <c r="O121" t="s">
        <v>488</v>
      </c>
      <c r="P121" t="s">
        <v>250</v>
      </c>
      <c r="Q121" t="s">
        <v>248</v>
      </c>
    </row>
    <row r="122" spans="2:17">
      <c r="B122" s="371"/>
      <c r="C122">
        <v>10</v>
      </c>
      <c r="D122" t="s">
        <v>510</v>
      </c>
      <c r="E122" t="s">
        <v>249</v>
      </c>
      <c r="F122" t="s">
        <v>248</v>
      </c>
      <c r="M122" s="371"/>
      <c r="N122">
        <v>10</v>
      </c>
      <c r="O122" t="s">
        <v>510</v>
      </c>
      <c r="P122" t="s">
        <v>249</v>
      </c>
      <c r="Q122" t="s">
        <v>248</v>
      </c>
    </row>
    <row r="123" spans="2:17">
      <c r="B123" s="371"/>
      <c r="C123">
        <v>46</v>
      </c>
      <c r="D123" t="s">
        <v>634</v>
      </c>
      <c r="E123" t="s">
        <v>365</v>
      </c>
      <c r="F123" t="s">
        <v>248</v>
      </c>
      <c r="M123" s="371"/>
      <c r="N123">
        <v>46</v>
      </c>
      <c r="O123" t="s">
        <v>634</v>
      </c>
      <c r="P123" t="s">
        <v>365</v>
      </c>
      <c r="Q123" t="s">
        <v>248</v>
      </c>
    </row>
    <row r="124" spans="2:17">
      <c r="B124" s="371"/>
      <c r="C124">
        <v>8</v>
      </c>
      <c r="D124" t="s">
        <v>228</v>
      </c>
      <c r="E124" t="s">
        <v>14</v>
      </c>
      <c r="F124" t="s">
        <v>248</v>
      </c>
      <c r="M124" s="371"/>
      <c r="N124">
        <v>8</v>
      </c>
      <c r="O124" t="s">
        <v>228</v>
      </c>
      <c r="P124" t="s">
        <v>14</v>
      </c>
      <c r="Q124" t="s">
        <v>248</v>
      </c>
    </row>
    <row r="125" spans="2:17">
      <c r="B125" s="371"/>
      <c r="M125" s="371"/>
    </row>
    <row r="126" spans="2:17">
      <c r="B126" s="371">
        <v>46105</v>
      </c>
      <c r="C126">
        <v>0</v>
      </c>
      <c r="D126" t="s">
        <v>391</v>
      </c>
      <c r="E126" t="s">
        <v>250</v>
      </c>
      <c r="F126" t="s">
        <v>248</v>
      </c>
      <c r="M126" s="371">
        <v>46105</v>
      </c>
      <c r="N126">
        <v>0</v>
      </c>
      <c r="O126" t="s">
        <v>391</v>
      </c>
      <c r="P126" t="s">
        <v>250</v>
      </c>
      <c r="Q126" t="s">
        <v>248</v>
      </c>
    </row>
    <row r="127" spans="2:17">
      <c r="B127" s="371"/>
      <c r="C127">
        <v>21</v>
      </c>
      <c r="D127" t="s">
        <v>461</v>
      </c>
      <c r="E127" t="s">
        <v>249</v>
      </c>
      <c r="F127" t="s">
        <v>248</v>
      </c>
      <c r="M127" s="371"/>
      <c r="N127">
        <v>21</v>
      </c>
      <c r="O127" t="s">
        <v>461</v>
      </c>
      <c r="P127" t="s">
        <v>249</v>
      </c>
      <c r="Q127" t="s">
        <v>248</v>
      </c>
    </row>
    <row r="128" spans="2:17">
      <c r="B128" s="371"/>
      <c r="C128">
        <v>30</v>
      </c>
      <c r="D128" t="s">
        <v>587</v>
      </c>
      <c r="E128" t="s">
        <v>365</v>
      </c>
      <c r="F128" t="s">
        <v>248</v>
      </c>
      <c r="M128" s="371"/>
      <c r="N128">
        <v>30</v>
      </c>
      <c r="O128" t="s">
        <v>587</v>
      </c>
      <c r="P128" t="s">
        <v>365</v>
      </c>
      <c r="Q128" t="s">
        <v>248</v>
      </c>
    </row>
    <row r="129" spans="2:17">
      <c r="B129" s="371"/>
      <c r="C129">
        <v>8</v>
      </c>
      <c r="D129" t="s">
        <v>228</v>
      </c>
      <c r="E129" t="s">
        <v>14</v>
      </c>
      <c r="F129" t="s">
        <v>248</v>
      </c>
      <c r="M129" s="371"/>
      <c r="N129">
        <v>8</v>
      </c>
      <c r="O129" t="s">
        <v>228</v>
      </c>
      <c r="P129" t="s">
        <v>14</v>
      </c>
      <c r="Q129" t="s">
        <v>248</v>
      </c>
    </row>
    <row r="130" spans="2:17">
      <c r="B130" s="371"/>
      <c r="M130" s="371"/>
    </row>
    <row r="131" spans="2:17">
      <c r="B131" s="371">
        <v>46106</v>
      </c>
      <c r="C131">
        <v>0</v>
      </c>
      <c r="D131" t="s">
        <v>391</v>
      </c>
      <c r="E131" t="s">
        <v>250</v>
      </c>
      <c r="F131" t="s">
        <v>248</v>
      </c>
      <c r="M131" s="371">
        <v>46106</v>
      </c>
      <c r="N131">
        <v>0</v>
      </c>
      <c r="O131" t="s">
        <v>391</v>
      </c>
      <c r="P131" t="s">
        <v>250</v>
      </c>
      <c r="Q131" t="s">
        <v>248</v>
      </c>
    </row>
    <row r="132" spans="2:17">
      <c r="B132" s="371"/>
      <c r="C132">
        <v>23</v>
      </c>
      <c r="D132" t="s">
        <v>461</v>
      </c>
      <c r="E132" t="s">
        <v>249</v>
      </c>
      <c r="F132" t="s">
        <v>248</v>
      </c>
      <c r="M132" s="371"/>
      <c r="N132">
        <v>23</v>
      </c>
      <c r="O132" t="s">
        <v>461</v>
      </c>
      <c r="P132" t="s">
        <v>249</v>
      </c>
      <c r="Q132" t="s">
        <v>248</v>
      </c>
    </row>
    <row r="133" spans="2:17">
      <c r="B133" s="371"/>
      <c r="C133">
        <v>33</v>
      </c>
      <c r="D133" t="s">
        <v>592</v>
      </c>
      <c r="E133" t="s">
        <v>365</v>
      </c>
      <c r="F133" t="s">
        <v>248</v>
      </c>
      <c r="M133" s="371"/>
      <c r="N133">
        <v>33</v>
      </c>
      <c r="O133" t="s">
        <v>592</v>
      </c>
      <c r="P133" t="s">
        <v>365</v>
      </c>
      <c r="Q133" t="s">
        <v>248</v>
      </c>
    </row>
    <row r="134" spans="2:17">
      <c r="B134" s="371"/>
      <c r="C134">
        <v>0</v>
      </c>
      <c r="D134" t="s">
        <v>228</v>
      </c>
      <c r="E134" t="s">
        <v>14</v>
      </c>
      <c r="F134" t="s">
        <v>248</v>
      </c>
      <c r="M134" s="371"/>
      <c r="N134">
        <v>0</v>
      </c>
      <c r="O134" t="s">
        <v>228</v>
      </c>
      <c r="P134" t="s">
        <v>14</v>
      </c>
      <c r="Q134" t="s">
        <v>248</v>
      </c>
    </row>
    <row r="135" spans="2:17">
      <c r="B135" s="371"/>
      <c r="M135" s="371"/>
    </row>
    <row r="136" spans="2:17">
      <c r="B136" s="371">
        <v>46107</v>
      </c>
      <c r="C136">
        <v>0</v>
      </c>
      <c r="D136" t="s">
        <v>391</v>
      </c>
      <c r="E136" t="s">
        <v>250</v>
      </c>
      <c r="F136" t="s">
        <v>248</v>
      </c>
      <c r="M136" s="371">
        <v>46107</v>
      </c>
      <c r="N136">
        <v>0</v>
      </c>
      <c r="O136" t="s">
        <v>391</v>
      </c>
      <c r="P136" t="s">
        <v>250</v>
      </c>
      <c r="Q136" t="s">
        <v>248</v>
      </c>
    </row>
    <row r="137" spans="2:17">
      <c r="B137" s="371"/>
      <c r="C137">
        <v>19</v>
      </c>
      <c r="D137" t="s">
        <v>426</v>
      </c>
      <c r="E137" t="s">
        <v>249</v>
      </c>
      <c r="F137" t="s">
        <v>248</v>
      </c>
      <c r="M137" s="371"/>
      <c r="N137">
        <v>19</v>
      </c>
      <c r="O137" t="s">
        <v>426</v>
      </c>
      <c r="P137" t="s">
        <v>249</v>
      </c>
      <c r="Q137" t="s">
        <v>248</v>
      </c>
    </row>
    <row r="138" spans="2:17">
      <c r="B138" s="371"/>
      <c r="C138">
        <v>28</v>
      </c>
      <c r="D138" t="s">
        <v>587</v>
      </c>
      <c r="E138" t="s">
        <v>365</v>
      </c>
      <c r="F138" t="s">
        <v>248</v>
      </c>
      <c r="M138" s="371"/>
      <c r="N138">
        <v>28</v>
      </c>
      <c r="O138" t="s">
        <v>587</v>
      </c>
      <c r="P138" t="s">
        <v>365</v>
      </c>
      <c r="Q138" t="s">
        <v>248</v>
      </c>
    </row>
    <row r="139" spans="2:17">
      <c r="B139" s="371"/>
      <c r="C139">
        <v>10</v>
      </c>
      <c r="D139" t="s">
        <v>228</v>
      </c>
      <c r="E139" t="s">
        <v>14</v>
      </c>
      <c r="F139" t="s">
        <v>248</v>
      </c>
      <c r="M139" s="371"/>
      <c r="N139">
        <v>10</v>
      </c>
      <c r="O139" t="s">
        <v>228</v>
      </c>
      <c r="P139" t="s">
        <v>14</v>
      </c>
      <c r="Q139" t="s">
        <v>248</v>
      </c>
    </row>
    <row r="140" spans="2:17">
      <c r="B140" s="371"/>
      <c r="M140" s="371"/>
    </row>
    <row r="141" spans="2:17">
      <c r="B141" s="371">
        <v>46108</v>
      </c>
      <c r="C141">
        <v>0</v>
      </c>
      <c r="D141" t="s">
        <v>391</v>
      </c>
      <c r="E141" t="s">
        <v>250</v>
      </c>
      <c r="F141" t="s">
        <v>248</v>
      </c>
      <c r="M141" s="371">
        <v>46108</v>
      </c>
      <c r="N141">
        <v>0</v>
      </c>
      <c r="O141" t="s">
        <v>391</v>
      </c>
      <c r="P141" t="s">
        <v>250</v>
      </c>
      <c r="Q141" t="s">
        <v>248</v>
      </c>
    </row>
    <row r="142" spans="2:17">
      <c r="B142" s="371"/>
      <c r="C142">
        <v>17</v>
      </c>
      <c r="D142" t="s">
        <v>721</v>
      </c>
      <c r="E142" t="s">
        <v>249</v>
      </c>
      <c r="F142" t="s">
        <v>248</v>
      </c>
      <c r="M142" s="371"/>
      <c r="N142">
        <v>17</v>
      </c>
      <c r="O142" t="s">
        <v>721</v>
      </c>
      <c r="P142" t="s">
        <v>249</v>
      </c>
      <c r="Q142" t="s">
        <v>248</v>
      </c>
    </row>
    <row r="143" spans="2:17">
      <c r="B143" s="371"/>
      <c r="C143">
        <v>26</v>
      </c>
      <c r="D143" t="s">
        <v>618</v>
      </c>
      <c r="E143" t="s">
        <v>365</v>
      </c>
      <c r="F143" t="s">
        <v>248</v>
      </c>
      <c r="M143" s="371"/>
      <c r="N143">
        <v>26</v>
      </c>
      <c r="O143" t="s">
        <v>618</v>
      </c>
      <c r="P143" t="s">
        <v>365</v>
      </c>
      <c r="Q143" t="s">
        <v>248</v>
      </c>
    </row>
    <row r="144" spans="2:17">
      <c r="B144" s="371"/>
      <c r="C144">
        <v>18</v>
      </c>
      <c r="D144" t="s">
        <v>228</v>
      </c>
      <c r="E144" t="s">
        <v>14</v>
      </c>
      <c r="F144" t="s">
        <v>248</v>
      </c>
      <c r="M144" s="371"/>
      <c r="N144">
        <v>18</v>
      </c>
      <c r="O144" t="s">
        <v>228</v>
      </c>
      <c r="P144" t="s">
        <v>14</v>
      </c>
      <c r="Q144" t="s">
        <v>248</v>
      </c>
    </row>
    <row r="145" spans="2:17">
      <c r="B145" s="371"/>
      <c r="M145" s="371"/>
    </row>
    <row r="146" spans="2:17">
      <c r="B146" s="371">
        <v>46109</v>
      </c>
      <c r="C146">
        <v>0</v>
      </c>
      <c r="D146" t="s">
        <v>391</v>
      </c>
      <c r="E146" t="s">
        <v>250</v>
      </c>
      <c r="F146" t="s">
        <v>248</v>
      </c>
      <c r="M146" s="371">
        <v>46109</v>
      </c>
      <c r="N146">
        <v>0</v>
      </c>
      <c r="O146" t="s">
        <v>391</v>
      </c>
      <c r="P146" t="s">
        <v>250</v>
      </c>
      <c r="Q146" t="s">
        <v>248</v>
      </c>
    </row>
    <row r="147" spans="2:17">
      <c r="B147" s="371"/>
      <c r="C147">
        <v>19</v>
      </c>
      <c r="D147" t="s">
        <v>461</v>
      </c>
      <c r="E147" t="s">
        <v>249</v>
      </c>
      <c r="F147" t="s">
        <v>248</v>
      </c>
      <c r="M147" s="371"/>
      <c r="N147">
        <v>19</v>
      </c>
      <c r="O147" t="s">
        <v>461</v>
      </c>
      <c r="P147" t="s">
        <v>249</v>
      </c>
      <c r="Q147" t="s">
        <v>248</v>
      </c>
    </row>
    <row r="148" spans="2:17">
      <c r="B148" s="371"/>
      <c r="C148">
        <v>24</v>
      </c>
      <c r="D148" t="s">
        <v>490</v>
      </c>
      <c r="E148" t="s">
        <v>365</v>
      </c>
      <c r="F148" t="s">
        <v>248</v>
      </c>
      <c r="M148" s="371"/>
      <c r="N148">
        <v>24</v>
      </c>
      <c r="O148" t="s">
        <v>490</v>
      </c>
      <c r="P148" t="s">
        <v>365</v>
      </c>
      <c r="Q148" t="s">
        <v>248</v>
      </c>
    </row>
    <row r="149" spans="2:17">
      <c r="B149" s="371"/>
      <c r="C149">
        <v>18</v>
      </c>
      <c r="D149" t="s">
        <v>228</v>
      </c>
      <c r="E149" t="s">
        <v>14</v>
      </c>
      <c r="F149" t="s">
        <v>248</v>
      </c>
      <c r="M149" s="371"/>
      <c r="N149">
        <v>18</v>
      </c>
      <c r="O149" t="s">
        <v>228</v>
      </c>
      <c r="P149" t="s">
        <v>14</v>
      </c>
      <c r="Q149" t="s">
        <v>248</v>
      </c>
    </row>
    <row r="150" spans="2:17">
      <c r="B150" s="371"/>
      <c r="M150" s="371"/>
    </row>
    <row r="151" spans="2:17">
      <c r="B151" s="371">
        <v>46110</v>
      </c>
      <c r="C151">
        <v>0</v>
      </c>
      <c r="D151" t="s">
        <v>391</v>
      </c>
      <c r="E151" t="s">
        <v>250</v>
      </c>
      <c r="F151" t="s">
        <v>248</v>
      </c>
      <c r="M151" s="371">
        <v>46110</v>
      </c>
      <c r="N151">
        <v>0</v>
      </c>
      <c r="O151" t="s">
        <v>391</v>
      </c>
      <c r="P151" t="s">
        <v>250</v>
      </c>
      <c r="Q151" t="s">
        <v>248</v>
      </c>
    </row>
    <row r="152" spans="2:17">
      <c r="B152" s="371"/>
      <c r="C152">
        <v>19</v>
      </c>
      <c r="D152" t="s">
        <v>461</v>
      </c>
      <c r="E152" t="s">
        <v>249</v>
      </c>
      <c r="F152" t="s">
        <v>248</v>
      </c>
      <c r="M152" s="371"/>
      <c r="N152">
        <v>19</v>
      </c>
      <c r="O152" t="s">
        <v>461</v>
      </c>
      <c r="P152" t="s">
        <v>249</v>
      </c>
      <c r="Q152" t="s">
        <v>248</v>
      </c>
    </row>
    <row r="153" spans="2:17">
      <c r="B153" s="371"/>
      <c r="C153">
        <v>28</v>
      </c>
      <c r="D153" t="s">
        <v>587</v>
      </c>
      <c r="E153" t="s">
        <v>365</v>
      </c>
      <c r="F153" t="s">
        <v>248</v>
      </c>
      <c r="M153" s="371"/>
      <c r="N153">
        <v>28</v>
      </c>
      <c r="O153" t="s">
        <v>587</v>
      </c>
      <c r="P153" t="s">
        <v>365</v>
      </c>
      <c r="Q153" t="s">
        <v>248</v>
      </c>
    </row>
    <row r="154" spans="2:17">
      <c r="B154" s="371"/>
      <c r="C154">
        <v>18</v>
      </c>
      <c r="D154" t="s">
        <v>228</v>
      </c>
      <c r="E154" t="s">
        <v>14</v>
      </c>
      <c r="F154" t="s">
        <v>248</v>
      </c>
      <c r="M154" s="371"/>
      <c r="N154">
        <v>18</v>
      </c>
      <c r="O154" t="s">
        <v>228</v>
      </c>
      <c r="P154" t="s">
        <v>14</v>
      </c>
      <c r="Q154" t="s">
        <v>248</v>
      </c>
    </row>
    <row r="155" spans="2:17">
      <c r="B155" s="371"/>
      <c r="M155" s="371"/>
    </row>
    <row r="156" spans="2:17">
      <c r="B156" s="371">
        <v>46111</v>
      </c>
      <c r="C156">
        <v>0</v>
      </c>
      <c r="D156" t="s">
        <v>391</v>
      </c>
      <c r="E156" t="s">
        <v>250</v>
      </c>
      <c r="F156" t="s">
        <v>248</v>
      </c>
      <c r="M156" s="371">
        <v>46111</v>
      </c>
      <c r="N156">
        <v>0</v>
      </c>
      <c r="O156" t="s">
        <v>391</v>
      </c>
      <c r="P156" t="s">
        <v>250</v>
      </c>
      <c r="Q156" t="s">
        <v>248</v>
      </c>
    </row>
    <row r="157" spans="2:17">
      <c r="B157" s="371"/>
      <c r="C157">
        <v>23</v>
      </c>
      <c r="D157" t="s">
        <v>760</v>
      </c>
      <c r="E157" t="s">
        <v>249</v>
      </c>
      <c r="F157" t="s">
        <v>248</v>
      </c>
      <c r="M157" s="371"/>
      <c r="N157">
        <v>23</v>
      </c>
      <c r="O157" t="s">
        <v>760</v>
      </c>
      <c r="P157" t="s">
        <v>249</v>
      </c>
      <c r="Q157" t="s">
        <v>248</v>
      </c>
    </row>
    <row r="158" spans="2:17">
      <c r="B158" s="371"/>
      <c r="C158">
        <v>33</v>
      </c>
      <c r="D158" t="s">
        <v>761</v>
      </c>
      <c r="E158" t="s">
        <v>365</v>
      </c>
      <c r="F158" t="s">
        <v>248</v>
      </c>
      <c r="M158" s="371"/>
      <c r="N158">
        <v>33</v>
      </c>
      <c r="O158" t="s">
        <v>761</v>
      </c>
      <c r="P158" t="s">
        <v>365</v>
      </c>
      <c r="Q158" t="s">
        <v>248</v>
      </c>
    </row>
    <row r="159" spans="2:17">
      <c r="B159" s="371"/>
      <c r="C159">
        <v>18</v>
      </c>
      <c r="D159" t="s">
        <v>228</v>
      </c>
      <c r="E159" t="s">
        <v>14</v>
      </c>
      <c r="F159" t="s">
        <v>248</v>
      </c>
      <c r="M159" s="371"/>
      <c r="N159">
        <v>18</v>
      </c>
      <c r="O159" t="s">
        <v>228</v>
      </c>
      <c r="P159" t="s">
        <v>14</v>
      </c>
      <c r="Q159" t="s">
        <v>248</v>
      </c>
    </row>
    <row r="160" spans="2:17">
      <c r="B160" s="371"/>
      <c r="C160">
        <v>47</v>
      </c>
      <c r="D160" t="s">
        <v>759</v>
      </c>
      <c r="E160" t="s">
        <v>786</v>
      </c>
      <c r="F160" t="s">
        <v>254</v>
      </c>
      <c r="M160" s="371"/>
      <c r="N160">
        <v>47</v>
      </c>
      <c r="O160" t="s">
        <v>759</v>
      </c>
      <c r="P160" t="s">
        <v>786</v>
      </c>
      <c r="Q160" t="s">
        <v>254</v>
      </c>
    </row>
    <row r="161" spans="2:17">
      <c r="B161" s="371"/>
      <c r="M161" s="371"/>
    </row>
    <row r="162" spans="2:17">
      <c r="B162" s="371">
        <v>46112</v>
      </c>
      <c r="C162">
        <v>0</v>
      </c>
      <c r="D162" t="s">
        <v>391</v>
      </c>
      <c r="E162" t="s">
        <v>250</v>
      </c>
      <c r="F162" t="s">
        <v>248</v>
      </c>
      <c r="M162" s="371">
        <v>46112</v>
      </c>
      <c r="N162">
        <v>0</v>
      </c>
      <c r="O162" t="s">
        <v>391</v>
      </c>
      <c r="P162" t="s">
        <v>250</v>
      </c>
      <c r="Q162" t="s">
        <v>248</v>
      </c>
    </row>
    <row r="163" spans="2:17">
      <c r="B163" s="371"/>
      <c r="C163">
        <v>17</v>
      </c>
      <c r="D163" t="s">
        <v>510</v>
      </c>
      <c r="E163" t="s">
        <v>249</v>
      </c>
      <c r="F163" t="s">
        <v>248</v>
      </c>
      <c r="M163" s="371"/>
      <c r="N163">
        <v>17</v>
      </c>
      <c r="O163" t="s">
        <v>510</v>
      </c>
      <c r="P163" t="s">
        <v>249</v>
      </c>
      <c r="Q163" t="s">
        <v>248</v>
      </c>
    </row>
    <row r="164" spans="2:17">
      <c r="B164" s="371"/>
      <c r="C164">
        <v>26</v>
      </c>
      <c r="D164" t="s">
        <v>774</v>
      </c>
      <c r="E164" t="s">
        <v>365</v>
      </c>
      <c r="F164" t="s">
        <v>248</v>
      </c>
      <c r="M164" s="371"/>
      <c r="N164">
        <v>26</v>
      </c>
      <c r="O164" t="s">
        <v>774</v>
      </c>
      <c r="P164" t="s">
        <v>365</v>
      </c>
      <c r="Q164" t="s">
        <v>248</v>
      </c>
    </row>
    <row r="165" spans="2:17">
      <c r="B165" s="371"/>
      <c r="C165">
        <v>8</v>
      </c>
      <c r="D165" t="s">
        <v>228</v>
      </c>
      <c r="E165" t="s">
        <v>14</v>
      </c>
      <c r="F165" t="s">
        <v>248</v>
      </c>
      <c r="M165" s="371"/>
      <c r="N165">
        <v>8</v>
      </c>
      <c r="O165" t="s">
        <v>228</v>
      </c>
      <c r="P165" t="s">
        <v>14</v>
      </c>
      <c r="Q165" t="s">
        <v>248</v>
      </c>
    </row>
    <row r="166" spans="2:17">
      <c r="B166" s="371"/>
      <c r="C166">
        <v>107</v>
      </c>
      <c r="D166" t="s">
        <v>785</v>
      </c>
      <c r="E166" t="s">
        <v>786</v>
      </c>
      <c r="F166" t="s">
        <v>254</v>
      </c>
      <c r="M166" s="371"/>
      <c r="N166">
        <v>107</v>
      </c>
      <c r="O166" t="s">
        <v>785</v>
      </c>
      <c r="P166" t="s">
        <v>786</v>
      </c>
      <c r="Q166" t="s">
        <v>254</v>
      </c>
    </row>
    <row r="167" spans="2:17">
      <c r="B167" s="371"/>
      <c r="C167">
        <v>336</v>
      </c>
      <c r="D167" t="s">
        <v>775</v>
      </c>
      <c r="E167" t="s">
        <v>787</v>
      </c>
      <c r="F167" t="s">
        <v>252</v>
      </c>
      <c r="M167" s="371"/>
      <c r="N167">
        <v>336</v>
      </c>
      <c r="O167" t="s">
        <v>775</v>
      </c>
      <c r="P167" t="s">
        <v>787</v>
      </c>
      <c r="Q167" t="s">
        <v>252</v>
      </c>
    </row>
    <row r="168" spans="2:17">
      <c r="B168" s="371"/>
      <c r="M168" s="371"/>
    </row>
    <row r="169" spans="2:17">
      <c r="B169" s="371"/>
      <c r="M169" s="371"/>
    </row>
    <row r="170" spans="2:17">
      <c r="B170" s="371"/>
      <c r="M170" s="371"/>
    </row>
    <row r="171" spans="2:17">
      <c r="B171" s="371"/>
      <c r="M171" s="371"/>
    </row>
    <row r="172" spans="2:17">
      <c r="B172" s="371"/>
      <c r="M172" s="371"/>
    </row>
    <row r="173" spans="2:17">
      <c r="B173" s="371"/>
      <c r="M173" s="371"/>
    </row>
    <row r="174" spans="2:17">
      <c r="B174" s="371"/>
      <c r="M174" s="371"/>
    </row>
    <row r="175" spans="2:17">
      <c r="B175" s="371"/>
      <c r="M175" s="371"/>
    </row>
    <row r="176" spans="2:17">
      <c r="B176" s="371"/>
      <c r="M176" s="371"/>
    </row>
    <row r="177" spans="2:13">
      <c r="B177" s="371"/>
      <c r="M177" s="371"/>
    </row>
    <row r="178" spans="2:13">
      <c r="B178" s="371"/>
      <c r="M178" s="371"/>
    </row>
    <row r="179" spans="2:13">
      <c r="B179" s="371"/>
      <c r="M179" s="371"/>
    </row>
    <row r="180" spans="2:13">
      <c r="B180" s="371"/>
      <c r="M180" s="371"/>
    </row>
    <row r="181" spans="2:13">
      <c r="B181" s="371"/>
      <c r="M181" s="371"/>
    </row>
    <row r="182" spans="2:13">
      <c r="B182" s="371"/>
      <c r="M182" s="371"/>
    </row>
    <row r="183" spans="2:13">
      <c r="B183" s="371"/>
      <c r="M183" s="371"/>
    </row>
    <row r="184" spans="2:13">
      <c r="B184" s="371"/>
      <c r="M184" s="371"/>
    </row>
    <row r="185" spans="2:13">
      <c r="B185" s="371"/>
    </row>
    <row r="186" spans="2:13">
      <c r="B186" s="371"/>
    </row>
    <row r="187" spans="2:13">
      <c r="B187" s="371"/>
    </row>
    <row r="188" spans="2:13">
      <c r="B188" s="371"/>
    </row>
    <row r="189" spans="2:13">
      <c r="B189" s="371"/>
    </row>
    <row r="190" spans="2:13">
      <c r="B190" s="371"/>
    </row>
    <row r="191" spans="2:13">
      <c r="B191" s="371"/>
    </row>
    <row r="192" spans="2:13">
      <c r="B192" s="371"/>
    </row>
    <row r="193" spans="2:2">
      <c r="B193" s="371"/>
    </row>
    <row r="194" spans="2:2">
      <c r="B194" s="371"/>
    </row>
    <row r="195" spans="2:2">
      <c r="B195" s="371"/>
    </row>
    <row r="196" spans="2:2">
      <c r="B196" s="371"/>
    </row>
    <row r="197" spans="2:2">
      <c r="B197" s="371"/>
    </row>
    <row r="198" spans="2:2">
      <c r="B198" s="371"/>
    </row>
    <row r="199" spans="2:2">
      <c r="B199" s="371"/>
    </row>
    <row r="200" spans="2:2">
      <c r="B200" s="371"/>
    </row>
    <row r="201" spans="2:2">
      <c r="B201" s="371"/>
    </row>
    <row r="202" spans="2:2">
      <c r="B202" s="371"/>
    </row>
    <row r="203" spans="2:2">
      <c r="B203" s="371"/>
    </row>
    <row r="204" spans="2:2">
      <c r="B204" s="371"/>
    </row>
    <row r="205" spans="2:2">
      <c r="B205" s="371"/>
    </row>
    <row r="206" spans="2:2">
      <c r="B206" s="371"/>
    </row>
    <row r="207" spans="2:2">
      <c r="B207" s="371"/>
    </row>
    <row r="208" spans="2:2">
      <c r="B208" s="371"/>
    </row>
    <row r="209" spans="2:2">
      <c r="B209" s="371"/>
    </row>
    <row r="210" spans="2:2">
      <c r="B210" s="371"/>
    </row>
    <row r="211" spans="2:2">
      <c r="B211" s="371"/>
    </row>
    <row r="212" spans="2:2">
      <c r="B212" s="371"/>
    </row>
    <row r="213" spans="2:2">
      <c r="B213" s="371"/>
    </row>
    <row r="214" spans="2:2">
      <c r="B214" s="371"/>
    </row>
    <row r="215" spans="2:2">
      <c r="B215" s="371"/>
    </row>
    <row r="216" spans="2:2">
      <c r="B216" s="371"/>
    </row>
    <row r="217" spans="2:2">
      <c r="B217" s="371"/>
    </row>
    <row r="218" spans="2:2">
      <c r="B218" s="371"/>
    </row>
    <row r="219" spans="2:2">
      <c r="B219" s="371"/>
    </row>
    <row r="220" spans="2:2">
      <c r="B220" s="371"/>
    </row>
    <row r="221" spans="2:2">
      <c r="B221" s="371"/>
    </row>
    <row r="222" spans="2:2">
      <c r="B222" s="371"/>
    </row>
    <row r="223" spans="2:2">
      <c r="B223" s="371"/>
    </row>
    <row r="224" spans="2:2">
      <c r="B224" s="371"/>
    </row>
    <row r="225" spans="2:2">
      <c r="B225" s="371"/>
    </row>
    <row r="226" spans="2:2">
      <c r="B226" s="371"/>
    </row>
    <row r="227" spans="2:2">
      <c r="B227" s="371"/>
    </row>
    <row r="228" spans="2:2">
      <c r="B228" s="371"/>
    </row>
    <row r="229" spans="2:2">
      <c r="B229" s="371"/>
    </row>
    <row r="230" spans="2:2">
      <c r="B230" s="371"/>
    </row>
    <row r="231" spans="2:2">
      <c r="B231" s="371"/>
    </row>
    <row r="232" spans="2:2">
      <c r="B232" s="371"/>
    </row>
    <row r="233" spans="2:2">
      <c r="B233" s="371"/>
    </row>
    <row r="234" spans="2:2">
      <c r="B234" s="371"/>
    </row>
    <row r="235" spans="2:2">
      <c r="B235" s="371"/>
    </row>
    <row r="236" spans="2:2">
      <c r="B236" s="371"/>
    </row>
    <row r="237" spans="2:2">
      <c r="B237" s="371"/>
    </row>
    <row r="238" spans="2:2">
      <c r="B238" s="371"/>
    </row>
    <row r="239" spans="2:2">
      <c r="B239" s="371"/>
    </row>
    <row r="240" spans="2:2">
      <c r="B240" s="371"/>
    </row>
    <row r="241" spans="2:2">
      <c r="B241" s="371"/>
    </row>
    <row r="242" spans="2:2">
      <c r="B242" s="371"/>
    </row>
    <row r="243" spans="2:2">
      <c r="B243" s="371"/>
    </row>
    <row r="244" spans="2:2">
      <c r="B244" s="371"/>
    </row>
    <row r="245" spans="2:2">
      <c r="B245" s="371"/>
    </row>
    <row r="246" spans="2:2">
      <c r="B246" s="371"/>
    </row>
    <row r="247" spans="2:2">
      <c r="B247" s="371"/>
    </row>
    <row r="248" spans="2:2">
      <c r="B248" s="371"/>
    </row>
    <row r="249" spans="2:2">
      <c r="B249" s="371"/>
    </row>
    <row r="250" spans="2:2">
      <c r="B250" s="371"/>
    </row>
    <row r="251" spans="2:2">
      <c r="B251" s="371"/>
    </row>
    <row r="252" spans="2:2">
      <c r="B252" s="371"/>
    </row>
    <row r="253" spans="2:2">
      <c r="B253" s="371"/>
    </row>
    <row r="254" spans="2:2">
      <c r="B254" s="371"/>
    </row>
    <row r="255" spans="2:2">
      <c r="B255" s="371"/>
    </row>
    <row r="256" spans="2:2">
      <c r="B256" s="371"/>
    </row>
    <row r="257" spans="2:2">
      <c r="B257" s="371"/>
    </row>
    <row r="258" spans="2:2">
      <c r="B258" s="371"/>
    </row>
    <row r="259" spans="2:2">
      <c r="B259" s="371"/>
    </row>
    <row r="260" spans="2:2">
      <c r="B260" s="371"/>
    </row>
  </sheetData>
  <autoFilter ref="B1:F106"/>
  <conditionalFormatting sqref="G2:G14">
    <cfRule type="cellIs" dxfId="7" priority="2" operator="greaterThan">
      <formula>0</formula>
    </cfRule>
  </conditionalFormatting>
  <conditionalFormatting sqref="R2:R14">
    <cfRule type="cellIs" dxfId="6" priority="1" operator="greater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4"/>
  <sheetViews>
    <sheetView topLeftCell="I4" workbookViewId="0">
      <selection activeCell="N33" sqref="N33"/>
    </sheetView>
  </sheetViews>
  <sheetFormatPr defaultRowHeight="12.75"/>
  <cols>
    <col min="1" max="1" width="15.28515625" bestFit="1" customWidth="1"/>
    <col min="2" max="2" width="23.28515625" bestFit="1" customWidth="1"/>
    <col min="3" max="3" width="34.28515625" style="576" customWidth="1"/>
    <col min="4" max="8" width="13.5703125" customWidth="1"/>
    <col min="10" max="10" width="15.28515625" bestFit="1" customWidth="1"/>
    <col min="11" max="11" width="23.28515625" bestFit="1" customWidth="1"/>
    <col min="12" max="12" width="34.28515625" style="576" customWidth="1"/>
    <col min="13" max="17" width="13.5703125" customWidth="1"/>
  </cols>
  <sheetData>
    <row r="1" spans="1:17" ht="15">
      <c r="A1" s="461" t="s">
        <v>389</v>
      </c>
      <c r="E1" s="463"/>
      <c r="F1" s="1"/>
      <c r="J1" s="461" t="s">
        <v>390</v>
      </c>
      <c r="N1" s="463"/>
      <c r="O1" s="1"/>
    </row>
    <row r="2" spans="1:17" ht="30">
      <c r="A2" s="779" t="s">
        <v>232</v>
      </c>
      <c r="B2" s="779" t="s">
        <v>233</v>
      </c>
      <c r="C2" s="780" t="s">
        <v>234</v>
      </c>
      <c r="D2" s="464" t="s">
        <v>235</v>
      </c>
      <c r="E2" s="573" t="s">
        <v>236</v>
      </c>
      <c r="F2" s="466" t="s">
        <v>237</v>
      </c>
      <c r="G2" s="573" t="s">
        <v>238</v>
      </c>
      <c r="H2" s="573" t="s">
        <v>239</v>
      </c>
      <c r="J2" s="779" t="s">
        <v>232</v>
      </c>
      <c r="K2" s="779" t="s">
        <v>233</v>
      </c>
      <c r="L2" s="778" t="s">
        <v>234</v>
      </c>
      <c r="M2" s="464" t="s">
        <v>235</v>
      </c>
      <c r="N2" s="573" t="s">
        <v>236</v>
      </c>
      <c r="O2" s="466" t="s">
        <v>237</v>
      </c>
      <c r="P2" s="573" t="s">
        <v>238</v>
      </c>
      <c r="Q2" s="573" t="s">
        <v>239</v>
      </c>
    </row>
    <row r="3" spans="1:17" ht="15">
      <c r="A3" s="779"/>
      <c r="B3" s="779"/>
      <c r="C3" s="781"/>
      <c r="D3" s="464" t="s">
        <v>788</v>
      </c>
      <c r="E3" s="464" t="str">
        <f>+D3</f>
        <v>MARET</v>
      </c>
      <c r="F3" s="464" t="str">
        <f>+E3</f>
        <v>MARET</v>
      </c>
      <c r="G3" s="464" t="str">
        <f>+F3</f>
        <v>MARET</v>
      </c>
      <c r="H3" s="464" t="str">
        <f>+G3</f>
        <v>MARET</v>
      </c>
      <c r="J3" s="779"/>
      <c r="K3" s="779"/>
      <c r="L3" s="778"/>
      <c r="M3" s="464" t="str">
        <f>+H3</f>
        <v>MARET</v>
      </c>
      <c r="N3" s="464" t="str">
        <f>+M3</f>
        <v>MARET</v>
      </c>
      <c r="O3" s="464" t="str">
        <f>+N3</f>
        <v>MARET</v>
      </c>
      <c r="P3" s="464" t="str">
        <f>+O3</f>
        <v>MARET</v>
      </c>
      <c r="Q3" s="464" t="str">
        <f>+P3</f>
        <v>MARET</v>
      </c>
    </row>
    <row r="4" spans="1:17" ht="15">
      <c r="A4" s="763" t="s">
        <v>240</v>
      </c>
      <c r="B4" s="575" t="s">
        <v>298</v>
      </c>
      <c r="C4" s="577"/>
      <c r="D4" s="7">
        <f>SUMIFS(Sheet1!$C$2:$C$180,Sheet1!$F$2:$F$180,B4,Sheet1!$E$2:$E$180,C4)</f>
        <v>0</v>
      </c>
      <c r="E4" s="7">
        <f>D4/Sheet1!$I$9*Sheet1!$I$10</f>
        <v>0</v>
      </c>
      <c r="F4" s="477">
        <f>D4/Sheet1!$I$9*Sheet1!$I$11</f>
        <v>0</v>
      </c>
      <c r="G4" s="574">
        <f>F4</f>
        <v>0</v>
      </c>
      <c r="H4" s="777">
        <f>SUM(G4:G11)</f>
        <v>2.0935744998307089E-2</v>
      </c>
      <c r="J4" s="763" t="s">
        <v>240</v>
      </c>
      <c r="K4" s="601" t="s">
        <v>298</v>
      </c>
      <c r="L4" s="577"/>
      <c r="M4" s="7">
        <f>SUMIFS(Sheet1!$N$2:$N$180,Sheet1!$Q$2:$Q$180,K4,Sheet1!$P$2:$P$180,L4)</f>
        <v>0</v>
      </c>
      <c r="N4" s="7">
        <f>M4/Sheet1!$T$9*Sheet1!$T$10</f>
        <v>0</v>
      </c>
      <c r="O4" s="477">
        <f>M4/Sheet1!$T$9*Sheet1!$T$11</f>
        <v>0</v>
      </c>
      <c r="P4" s="574">
        <f>O4</f>
        <v>0</v>
      </c>
      <c r="Q4" s="777">
        <f>SUM(P4:P11)</f>
        <v>5.1077236992654474E-3</v>
      </c>
    </row>
    <row r="5" spans="1:17" ht="15">
      <c r="A5" s="763"/>
      <c r="B5" s="575" t="s">
        <v>241</v>
      </c>
      <c r="C5" s="577"/>
      <c r="D5" s="7">
        <f>SUMIFS(Sheet1!$C$2:$C$180,Sheet1!$F$2:$F$180,B5,Sheet1!$E$2:$E$180,C5)</f>
        <v>0</v>
      </c>
      <c r="E5" s="7">
        <f>D5/Sheet1!$I$9*Sheet1!$I$10</f>
        <v>0</v>
      </c>
      <c r="F5" s="477">
        <f>D5/Sheet1!$I$9*Sheet1!$I$11</f>
        <v>0</v>
      </c>
      <c r="G5" s="578">
        <f t="shared" ref="G5:G14" si="0">F5</f>
        <v>0</v>
      </c>
      <c r="H5" s="763"/>
      <c r="J5" s="763"/>
      <c r="K5" s="601" t="s">
        <v>241</v>
      </c>
      <c r="L5" s="577"/>
      <c r="M5" s="7">
        <f>SUMIFS(Sheet1!$N$2:$N$180,Sheet1!$Q$2:$Q$180,K5,Sheet1!$P$2:$P$180,L5)</f>
        <v>0</v>
      </c>
      <c r="N5" s="7">
        <f>M5/Sheet1!$T$9*Sheet1!$T$10</f>
        <v>0</v>
      </c>
      <c r="O5" s="477">
        <f>M5/Sheet1!$T$9*Sheet1!$T$11</f>
        <v>0</v>
      </c>
      <c r="P5" s="578">
        <f t="shared" ref="P5:P14" si="1">O5</f>
        <v>0</v>
      </c>
      <c r="Q5" s="763"/>
    </row>
    <row r="6" spans="1:17" ht="15">
      <c r="A6" s="763"/>
      <c r="B6" s="766" t="s">
        <v>302</v>
      </c>
      <c r="C6" s="577"/>
      <c r="D6" s="7">
        <f>SUMIFS(Sheet1!$C$2:$C$180,Sheet1!$F$2:$F$180,B6,Sheet1!$E$2:$E$180,C6)</f>
        <v>0</v>
      </c>
      <c r="E6" s="7">
        <f>D6/Sheet1!$I$9*Sheet1!$I$10</f>
        <v>0</v>
      </c>
      <c r="F6" s="477">
        <f>D6/Sheet1!$I$9*Sheet1!$I$11</f>
        <v>0</v>
      </c>
      <c r="G6" s="578">
        <f t="shared" si="0"/>
        <v>0</v>
      </c>
      <c r="H6" s="763"/>
      <c r="J6" s="763"/>
      <c r="K6" s="766" t="s">
        <v>302</v>
      </c>
      <c r="L6" s="577"/>
      <c r="M6" s="7">
        <f>SUMIFS(Sheet1!$N$2:$N$180,Sheet1!$Q$2:$Q$180,K6,Sheet1!$P$2:$P$180,L6)</f>
        <v>0</v>
      </c>
      <c r="N6" s="7">
        <f>M6/Sheet1!$T$9*Sheet1!$T$10</f>
        <v>0</v>
      </c>
      <c r="O6" s="477">
        <f>M6/Sheet1!$T$9*Sheet1!$T$11</f>
        <v>0</v>
      </c>
      <c r="P6" s="578">
        <f t="shared" si="1"/>
        <v>0</v>
      </c>
      <c r="Q6" s="763"/>
    </row>
    <row r="7" spans="1:17" ht="15">
      <c r="A7" s="763"/>
      <c r="B7" s="767"/>
      <c r="C7" s="577"/>
      <c r="D7" s="7">
        <f>SUMIFS(Sheet1!$C$2:$C$180,Sheet1!$F$2:$F$180,B6,Sheet1!$E$2:$E$180,C7)</f>
        <v>0</v>
      </c>
      <c r="E7" s="7">
        <f>D7/Sheet1!$I$9*Sheet1!$I$10</f>
        <v>0</v>
      </c>
      <c r="F7" s="477">
        <f>D7/Sheet1!$I$9*Sheet1!$I$11</f>
        <v>0</v>
      </c>
      <c r="G7" s="578">
        <f t="shared" si="0"/>
        <v>0</v>
      </c>
      <c r="H7" s="763"/>
      <c r="J7" s="763"/>
      <c r="K7" s="767"/>
      <c r="L7" s="577"/>
      <c r="M7" s="7">
        <f>SUMIFS(Sheet1!$N$2:$N$180,Sheet1!$Q$2:$Q$180,K6,Sheet1!$P$2:$P$180,L7)</f>
        <v>0</v>
      </c>
      <c r="N7" s="7">
        <f>M7/Sheet1!$T$9*Sheet1!$T$10</f>
        <v>0</v>
      </c>
      <c r="O7" s="477">
        <f>M7/Sheet1!$T$9*Sheet1!$T$11</f>
        <v>0</v>
      </c>
      <c r="P7" s="578">
        <f t="shared" si="1"/>
        <v>0</v>
      </c>
      <c r="Q7" s="763"/>
    </row>
    <row r="8" spans="1:17" ht="12.75" customHeight="1">
      <c r="A8" s="763"/>
      <c r="B8" s="766" t="s">
        <v>301</v>
      </c>
      <c r="C8" s="577" t="s">
        <v>732</v>
      </c>
      <c r="D8" s="7">
        <f>SUMIFS(Sheet1!$C$2:$C$180,Sheet1!$F$2:$F$180,B8,Sheet1!$E$2:$E$180,C8)</f>
        <v>924</v>
      </c>
      <c r="E8" s="7">
        <f>D8/Sheet1!$I$9*Sheet1!$I$10</f>
        <v>34.195949102905445</v>
      </c>
      <c r="F8" s="477">
        <f>D8/Sheet1!$I$9*Sheet1!$I$11</f>
        <v>2.0935744998307089E-2</v>
      </c>
      <c r="G8" s="579">
        <f t="shared" si="0"/>
        <v>2.0935744998307089E-2</v>
      </c>
      <c r="H8" s="763"/>
      <c r="J8" s="763"/>
      <c r="K8" s="766" t="s">
        <v>301</v>
      </c>
      <c r="L8" s="577" t="s">
        <v>732</v>
      </c>
      <c r="M8" s="7">
        <f>SUMIFS(Sheet1!$N$2:$N$180,Sheet1!$Q$2:$Q$180,K8,Sheet1!$P$2:$P$180,L8)</f>
        <v>223</v>
      </c>
      <c r="N8" s="7">
        <f>M8/Sheet1!$T$9*Sheet1!$T$10</f>
        <v>8.2070422342162352</v>
      </c>
      <c r="O8" s="477">
        <f>M8/Sheet1!$T$9*Sheet1!$T$11</f>
        <v>5.1077236992654474E-3</v>
      </c>
      <c r="P8" s="579">
        <f t="shared" si="1"/>
        <v>5.1077236992654474E-3</v>
      </c>
      <c r="Q8" s="763"/>
    </row>
    <row r="9" spans="1:17" ht="12.75" customHeight="1">
      <c r="A9" s="763"/>
      <c r="B9" s="767"/>
      <c r="C9" s="577"/>
      <c r="D9" s="7">
        <f>SUMIFS(Sheet1!$C$2:$C$180,Sheet1!$F$2:$F$180,B8,Sheet1!$E$2:$E$180,C9)</f>
        <v>0</v>
      </c>
      <c r="E9" s="7">
        <f>D9/Sheet1!$I$9*Sheet1!$I$10</f>
        <v>0</v>
      </c>
      <c r="F9" s="477">
        <f>D9/Sheet1!$I$9*Sheet1!$I$11</f>
        <v>0</v>
      </c>
      <c r="G9" s="579">
        <f t="shared" si="0"/>
        <v>0</v>
      </c>
      <c r="H9" s="763"/>
      <c r="J9" s="763"/>
      <c r="K9" s="767"/>
      <c r="L9" s="577"/>
      <c r="M9" s="7">
        <f>SUMIFS(Sheet1!$N$2:$N$180,Sheet1!$Q$2:$Q$180,K8,Sheet1!$P$2:$P$180,L9)</f>
        <v>0</v>
      </c>
      <c r="N9" s="7">
        <f>M9/Sheet1!$T$9*Sheet1!$T$10</f>
        <v>0</v>
      </c>
      <c r="O9" s="477">
        <f>M9/Sheet1!$T$9*Sheet1!$T$11</f>
        <v>0</v>
      </c>
      <c r="P9" s="579">
        <f t="shared" si="1"/>
        <v>0</v>
      </c>
      <c r="Q9" s="763"/>
    </row>
    <row r="10" spans="1:17" ht="15" customHeight="1">
      <c r="A10" s="763"/>
      <c r="B10" s="766" t="s">
        <v>364</v>
      </c>
      <c r="C10" s="577"/>
      <c r="D10" s="7">
        <f>SUMIFS(Sheet1!$C$2:$C$180,Sheet1!$F$2:$F$180,B10,Sheet1!$E$2:$E$180,C10)</f>
        <v>0</v>
      </c>
      <c r="E10" s="7">
        <f>D10/Sheet1!$I$9*Sheet1!$I$10</f>
        <v>0</v>
      </c>
      <c r="F10" s="477">
        <f>D10/Sheet1!$I$9*Sheet1!$I$11</f>
        <v>0</v>
      </c>
      <c r="G10" s="579">
        <f t="shared" si="0"/>
        <v>0</v>
      </c>
      <c r="H10" s="763"/>
      <c r="J10" s="763"/>
      <c r="K10" s="766" t="s">
        <v>364</v>
      </c>
      <c r="L10" s="577"/>
      <c r="M10" s="7">
        <f>SUMIFS(Sheet1!$N$2:$N$180,Sheet1!$Q$2:$Q$180,K10,Sheet1!$P$2:$P$180,L10)</f>
        <v>0</v>
      </c>
      <c r="N10" s="7">
        <f>M10/Sheet1!$T$9*Sheet1!$T$10</f>
        <v>0</v>
      </c>
      <c r="O10" s="477">
        <f>M10/Sheet1!$T$9*Sheet1!$T$11</f>
        <v>0</v>
      </c>
      <c r="P10" s="579">
        <f t="shared" si="1"/>
        <v>0</v>
      </c>
      <c r="Q10" s="763"/>
    </row>
    <row r="11" spans="1:17" ht="15" customHeight="1">
      <c r="A11" s="763"/>
      <c r="B11" s="767"/>
      <c r="C11" s="577"/>
      <c r="D11" s="7">
        <f>SUMIFS(Sheet1!$C$2:$C$180,Sheet1!$F$2:$F$180,B10,Sheet1!$E$2:$E$180,C11)</f>
        <v>0</v>
      </c>
      <c r="E11" s="7">
        <f>D11/Sheet1!$I$9*Sheet1!$I$10</f>
        <v>0</v>
      </c>
      <c r="F11" s="477">
        <f>D11/Sheet1!$I$9*Sheet1!$I$11</f>
        <v>0</v>
      </c>
      <c r="G11" s="579">
        <f t="shared" si="0"/>
        <v>0</v>
      </c>
      <c r="H11" s="763"/>
      <c r="J11" s="763"/>
      <c r="K11" s="767"/>
      <c r="L11" s="577"/>
      <c r="M11" s="7">
        <f>SUMIFS(Sheet1!$N$2:$N$180,Sheet1!$Q$2:$Q$180,K10,Sheet1!$P$2:$P$180,L11)</f>
        <v>0</v>
      </c>
      <c r="N11" s="7">
        <f>M11/Sheet1!$T$9*Sheet1!$T$10</f>
        <v>0</v>
      </c>
      <c r="O11" s="477">
        <f>M11/Sheet1!$T$9*Sheet1!$T$11</f>
        <v>0</v>
      </c>
      <c r="P11" s="579">
        <f t="shared" si="1"/>
        <v>0</v>
      </c>
      <c r="Q11" s="763"/>
    </row>
    <row r="12" spans="1:17" ht="15">
      <c r="A12" s="763" t="s">
        <v>11</v>
      </c>
      <c r="B12" s="575" t="s">
        <v>160</v>
      </c>
      <c r="C12" s="577" t="s">
        <v>160</v>
      </c>
      <c r="D12" s="7"/>
      <c r="E12" s="7">
        <f>+Sheet1!I2</f>
        <v>2.8839999999999995</v>
      </c>
      <c r="F12" s="477">
        <f>E12/Sheet1!$I$8</f>
        <v>1.7656678688291645E-3</v>
      </c>
      <c r="G12" s="578">
        <f t="shared" si="0"/>
        <v>1.7656678688291645E-3</v>
      </c>
      <c r="H12" s="773">
        <f>SUM(G12:G13)</f>
        <v>8.470286612932065E-4</v>
      </c>
      <c r="J12" s="763" t="s">
        <v>11</v>
      </c>
      <c r="K12" s="601" t="s">
        <v>160</v>
      </c>
      <c r="L12" s="577" t="s">
        <v>160</v>
      </c>
      <c r="M12" s="7"/>
      <c r="N12" s="7">
        <f>+Sheet1!T2</f>
        <v>2.8839999999999995</v>
      </c>
      <c r="O12" s="477">
        <f>+Sheet1!U2</f>
        <v>1.7948823374232719E-3</v>
      </c>
      <c r="P12" s="578">
        <f t="shared" si="1"/>
        <v>1.7948823374232719E-3</v>
      </c>
      <c r="Q12" s="773">
        <f>SUM(P12:P13)</f>
        <v>8.6104346705623378E-4</v>
      </c>
    </row>
    <row r="13" spans="1:17" ht="15">
      <c r="A13" s="763"/>
      <c r="B13" s="575" t="s">
        <v>242</v>
      </c>
      <c r="C13" s="577" t="s">
        <v>243</v>
      </c>
      <c r="D13" s="7"/>
      <c r="E13" s="7">
        <f>+Sheet1!I3</f>
        <v>-1.5004834835050387</v>
      </c>
      <c r="F13" s="477">
        <f>E13/Sheet1!$I$8</f>
        <v>-9.1863920753595799E-4</v>
      </c>
      <c r="G13" s="578">
        <f t="shared" si="0"/>
        <v>-9.1863920753595799E-4</v>
      </c>
      <c r="H13" s="774"/>
      <c r="J13" s="763"/>
      <c r="K13" s="601" t="s">
        <v>242</v>
      </c>
      <c r="L13" s="577" t="s">
        <v>243</v>
      </c>
      <c r="M13" s="7"/>
      <c r="N13" s="7">
        <f>+Sheet1!T3</f>
        <v>-1.5004834835050387</v>
      </c>
      <c r="O13" s="477">
        <f>+Sheet1!U3</f>
        <v>-9.3383887036703808E-4</v>
      </c>
      <c r="P13" s="578">
        <f t="shared" si="1"/>
        <v>-9.3383887036703808E-4</v>
      </c>
      <c r="Q13" s="774"/>
    </row>
    <row r="14" spans="1:17" ht="15">
      <c r="A14" s="775" t="s">
        <v>13</v>
      </c>
      <c r="B14" s="575" t="s">
        <v>244</v>
      </c>
      <c r="C14" s="577" t="s">
        <v>244</v>
      </c>
      <c r="D14" s="7"/>
      <c r="E14" s="7">
        <f>+Sheet1!I4</f>
        <v>-10.622525298994788</v>
      </c>
      <c r="F14" s="477">
        <f>E14/Sheet1!$I$8</f>
        <v>-6.5034159522399486E-3</v>
      </c>
      <c r="G14" s="578">
        <f t="shared" si="0"/>
        <v>-6.5034159522399486E-3</v>
      </c>
      <c r="H14" s="771">
        <f>SUM(G14:G23)</f>
        <v>9.2430551578690498E-2</v>
      </c>
      <c r="J14" s="775" t="s">
        <v>13</v>
      </c>
      <c r="K14" s="601" t="s">
        <v>244</v>
      </c>
      <c r="L14" s="577" t="s">
        <v>244</v>
      </c>
      <c r="M14" s="7"/>
      <c r="N14" s="7">
        <f>+Sheet1!T4</f>
        <v>-7.2845406489947839</v>
      </c>
      <c r="O14" s="477">
        <f>+Sheet1!U4</f>
        <v>-4.5335968609995139E-3</v>
      </c>
      <c r="P14" s="578">
        <f t="shared" si="1"/>
        <v>-4.5335968609995139E-3</v>
      </c>
      <c r="Q14" s="771">
        <f>SUM(P14:P23)</f>
        <v>9.367681127361524E-2</v>
      </c>
    </row>
    <row r="15" spans="1:17" ht="15">
      <c r="A15" s="776"/>
      <c r="B15" s="575" t="s">
        <v>245</v>
      </c>
      <c r="C15" s="577" t="s">
        <v>245</v>
      </c>
      <c r="D15" s="7"/>
      <c r="E15" s="7">
        <f>+Sheet1!I5</f>
        <v>79.770373926147357</v>
      </c>
      <c r="F15" s="477">
        <f>E15/Sheet1!$I$8</f>
        <v>4.8837720570695624E-2</v>
      </c>
      <c r="G15" s="578">
        <f>F15</f>
        <v>4.8837720570695624E-2</v>
      </c>
      <c r="H15" s="771"/>
      <c r="J15" s="776"/>
      <c r="K15" s="601" t="s">
        <v>245</v>
      </c>
      <c r="L15" s="577" t="s">
        <v>245</v>
      </c>
      <c r="M15" s="7"/>
      <c r="N15" s="7">
        <f>+Sheet1!T5</f>
        <v>76.432389276147347</v>
      </c>
      <c r="O15" s="477">
        <f>+Sheet1!U5</f>
        <v>4.756835836297392E-2</v>
      </c>
      <c r="P15" s="578">
        <f>O15</f>
        <v>4.756835836297392E-2</v>
      </c>
      <c r="Q15" s="771"/>
    </row>
    <row r="16" spans="1:17" ht="12.75" customHeight="1">
      <c r="A16" s="776"/>
      <c r="B16" s="772" t="s">
        <v>246</v>
      </c>
      <c r="C16" t="s">
        <v>727</v>
      </c>
      <c r="D16" s="7">
        <f>SUMIFS(Sheet1!$C$2:$C$180,Sheet1!$F$2:$F$180,B16,Sheet1!$E$2:$E$180,C16)</f>
        <v>659</v>
      </c>
      <c r="E16" s="7">
        <f>D16/Sheet1!$I$9*Sheet1!$I$10</f>
        <v>24.388669327721527</v>
      </c>
      <c r="F16" s="477">
        <f>D16/Sheet1!$I$9*Sheet1!$I$11</f>
        <v>1.4931445837537199E-2</v>
      </c>
      <c r="G16" s="768">
        <f>SUM(F16:F17)</f>
        <v>1.4931445837537199E-2</v>
      </c>
      <c r="H16" s="771"/>
      <c r="J16" s="776"/>
      <c r="K16" s="772" t="s">
        <v>246</v>
      </c>
      <c r="L16" t="s">
        <v>727</v>
      </c>
      <c r="M16" s="7">
        <f>SUMIFS(Sheet1!$N$2:$N$180,Sheet1!$Q$2:$Q$180,K16,Sheet1!$P$2:$P$180,L16)</f>
        <v>659</v>
      </c>
      <c r="N16" s="7">
        <f>M16/Sheet1!$T$9*Sheet1!$T$10</f>
        <v>24.253097902908067</v>
      </c>
      <c r="O16" s="477">
        <f>M16/Sheet1!$T$9*Sheet1!$T$11</f>
        <v>1.5094125191999685E-2</v>
      </c>
      <c r="P16" s="768">
        <f>SUM(O16:O17)</f>
        <v>1.5094125191999685E-2</v>
      </c>
      <c r="Q16" s="771"/>
    </row>
    <row r="17" spans="1:19" ht="12.75" customHeight="1">
      <c r="A17" s="776"/>
      <c r="B17" s="772"/>
      <c r="C17" s="577"/>
      <c r="D17" s="7">
        <f>SUMIFS(Sheet1!$C$2:$C$180,Sheet1!$F$2:$F$180,B16,Sheet1!$E$2:$E$180,C17)</f>
        <v>0</v>
      </c>
      <c r="E17" s="7">
        <f>D17/Sheet1!$I$9*Sheet1!$I$10</f>
        <v>0</v>
      </c>
      <c r="F17" s="477">
        <f>D17/Sheet1!$I$9*Sheet1!$I$11</f>
        <v>0</v>
      </c>
      <c r="G17" s="768"/>
      <c r="H17" s="771"/>
      <c r="J17" s="776"/>
      <c r="K17" s="772"/>
      <c r="L17" s="577"/>
      <c r="M17" s="7">
        <f>SUMIFS(Sheet1!$N$2:$N$180,Sheet1!$Q$2:$Q$180,K16,Sheet1!$P$2:$P$180,L17)</f>
        <v>0</v>
      </c>
      <c r="N17" s="7">
        <f>M17/Sheet1!$T$9*Sheet1!$T$10</f>
        <v>0</v>
      </c>
      <c r="O17" s="477">
        <f>M17/Sheet1!$T$9*Sheet1!$T$11</f>
        <v>0</v>
      </c>
      <c r="P17" s="768"/>
      <c r="Q17" s="771"/>
      <c r="R17" s="514"/>
    </row>
    <row r="18" spans="1:19" ht="15">
      <c r="A18" s="776"/>
      <c r="B18" s="575" t="s">
        <v>247</v>
      </c>
      <c r="C18" s="577" t="s">
        <v>202</v>
      </c>
      <c r="D18" s="7">
        <f>SUMIFS(Sheet1!$C$2:$C$180,Sheet1!$F$2:$F$180,B18,Sheet1!$E$2:$E$180,C18)</f>
        <v>0</v>
      </c>
      <c r="E18" s="7">
        <f>D18/Sheet1!$I$9*Sheet1!$I$10</f>
        <v>0</v>
      </c>
      <c r="F18" s="477">
        <f>D18/Sheet1!$I$9*Sheet1!$I$11</f>
        <v>0</v>
      </c>
      <c r="G18" s="578">
        <f>F18</f>
        <v>0</v>
      </c>
      <c r="H18" s="771"/>
      <c r="J18" s="776"/>
      <c r="K18" s="601" t="s">
        <v>247</v>
      </c>
      <c r="L18" s="577" t="s">
        <v>202</v>
      </c>
      <c r="M18" s="7">
        <f>SUMIFS(Sheet1!$N$2:$N$180,Sheet1!$Q$2:$Q$180,K18,Sheet1!$P$2:$P$180,L18)</f>
        <v>0</v>
      </c>
      <c r="N18" s="7">
        <f>M18/Sheet1!$T$9*Sheet1!$T$10</f>
        <v>0</v>
      </c>
      <c r="O18" s="477">
        <f>M18/Sheet1!$T$9*Sheet1!$T$11</f>
        <v>0</v>
      </c>
      <c r="P18" s="578">
        <f>O18</f>
        <v>0</v>
      </c>
      <c r="Q18" s="771"/>
    </row>
    <row r="19" spans="1:19" ht="12.75" customHeight="1">
      <c r="A19" s="776"/>
      <c r="B19" s="766" t="s">
        <v>248</v>
      </c>
      <c r="C19" s="577" t="s">
        <v>249</v>
      </c>
      <c r="D19" s="7">
        <f>SUMIFS(Sheet1!$C$2:$C$180,Sheet1!$F$2:$F$180,B19,Sheet1!$E$2:$E$180,C19)</f>
        <v>431</v>
      </c>
      <c r="E19" s="7">
        <f>D19/Sheet1!$I$9*Sheet1!$I$10</f>
        <v>15.95070786077083</v>
      </c>
      <c r="F19" s="477">
        <f>D19/Sheet1!$I$9*Sheet1!$I$11</f>
        <v>9.7654827860068783E-3</v>
      </c>
      <c r="G19" s="764">
        <f>SUM(F19:F23)</f>
        <v>3.5164801122697618E-2</v>
      </c>
      <c r="H19" s="771"/>
      <c r="J19" s="776"/>
      <c r="K19" s="766" t="s">
        <v>248</v>
      </c>
      <c r="L19" s="577" t="s">
        <v>249</v>
      </c>
      <c r="M19" s="7">
        <f>SUMIFS(Sheet1!$N$2:$N$180,Sheet1!$Q$2:$Q$180,$K$19,Sheet1!$P$2:$P$180,L19)</f>
        <v>431</v>
      </c>
      <c r="N19" s="7">
        <f>M19/Sheet1!$T$9*Sheet1!$T$10</f>
        <v>15.862041268821512</v>
      </c>
      <c r="O19" s="477">
        <f>M19/Sheet1!$T$9*Sheet1!$T$11</f>
        <v>9.8718785398359092E-3</v>
      </c>
      <c r="P19" s="764">
        <f>SUM(O19:O23)</f>
        <v>3.5547924579641142E-2</v>
      </c>
      <c r="Q19" s="771"/>
    </row>
    <row r="20" spans="1:19" ht="12.75" customHeight="1">
      <c r="A20" s="776"/>
      <c r="B20" s="769"/>
      <c r="C20" s="577" t="s">
        <v>365</v>
      </c>
      <c r="D20" s="7">
        <f>SUMIFS(Sheet1!$C$2:$C$180,Sheet1!$F$2:$F$180,B19,Sheet1!$E$2:$E$180,C20)</f>
        <v>743</v>
      </c>
      <c r="E20" s="7">
        <f>D20/Sheet1!$I$9*Sheet1!$I$10</f>
        <v>27.497391973440198</v>
      </c>
      <c r="F20" s="477">
        <f>D20/Sheet1!$I$9*Sheet1!$I$11</f>
        <v>1.6834695382837842E-2</v>
      </c>
      <c r="G20" s="770"/>
      <c r="H20" s="771"/>
      <c r="J20" s="776"/>
      <c r="K20" s="769"/>
      <c r="L20" s="577" t="s">
        <v>365</v>
      </c>
      <c r="M20" s="7">
        <f>SUMIFS(Sheet1!$N$2:$N$180,Sheet1!$Q$2:$Q$180,$K$19,Sheet1!$P$2:$P$180,L20)</f>
        <v>743</v>
      </c>
      <c r="N20" s="7">
        <f>M20/Sheet1!$T$9*Sheet1!$T$10</f>
        <v>27.34453982072943</v>
      </c>
      <c r="O20" s="477">
        <f>M20/Sheet1!$T$9*Sheet1!$T$11</f>
        <v>1.7018110800691603E-2</v>
      </c>
      <c r="P20" s="770"/>
      <c r="Q20" s="771"/>
    </row>
    <row r="21" spans="1:19" ht="12.75" customHeight="1">
      <c r="A21" s="776"/>
      <c r="B21" s="769"/>
      <c r="C21" s="577" t="s">
        <v>250</v>
      </c>
      <c r="D21" s="7">
        <f>SUMIFS(Sheet1!$C$2:$C$180,Sheet1!$F$2:$F$180,B19,Sheet1!$E$2:$E$180,C21)</f>
        <v>67</v>
      </c>
      <c r="E21" s="7">
        <f>D21/Sheet1!$I$9*Sheet1!$I$10</f>
        <v>2.4795763959898971</v>
      </c>
      <c r="F21" s="477">
        <f>D21/Sheet1!$I$9*Sheet1!$I$11</f>
        <v>1.5180680897040853E-3</v>
      </c>
      <c r="G21" s="770"/>
      <c r="H21" s="771"/>
      <c r="J21" s="776"/>
      <c r="K21" s="769"/>
      <c r="L21" s="577" t="s">
        <v>250</v>
      </c>
      <c r="M21" s="7">
        <f>SUMIFS(Sheet1!$N$2:$N$180,Sheet1!$Q$2:$Q$180,$K$19,Sheet1!$P$2:$P$180,L21)</f>
        <v>67</v>
      </c>
      <c r="N21" s="7">
        <f>M21/Sheet1!$T$9*Sheet1!$T$10</f>
        <v>2.4657929582622771</v>
      </c>
      <c r="O21" s="477">
        <f>M21/Sheet1!$T$9*Sheet1!$T$11</f>
        <v>1.5346075688376008E-3</v>
      </c>
      <c r="P21" s="770"/>
      <c r="Q21" s="771"/>
      <c r="R21" s="514"/>
    </row>
    <row r="22" spans="1:19" ht="12.75" customHeight="1">
      <c r="A22" s="776"/>
      <c r="B22" s="769"/>
      <c r="C22" s="577" t="s">
        <v>14</v>
      </c>
      <c r="D22" s="7">
        <f>SUMIFS(Sheet1!$C$2:$C$180,Sheet1!$F$2:$F$180,B19,Sheet1!$E$2:$E$180,C22)</f>
        <v>311</v>
      </c>
      <c r="E22" s="7">
        <f>D22/Sheet1!$I$9*Sheet1!$I$10</f>
        <v>11.509675509744149</v>
      </c>
      <c r="F22" s="477">
        <f>D22/Sheet1!$I$9*Sheet1!$I$11</f>
        <v>7.0465548641488141E-3</v>
      </c>
      <c r="G22" s="770"/>
      <c r="H22" s="771"/>
      <c r="J22" s="776"/>
      <c r="K22" s="769"/>
      <c r="L22" s="577" t="s">
        <v>14</v>
      </c>
      <c r="M22" s="7">
        <f>SUMIFS(Sheet1!$N$2:$N$180,Sheet1!$Q$2:$Q$180,$K$19,Sheet1!$P$2:$P$180,L22)</f>
        <v>311</v>
      </c>
      <c r="N22" s="7">
        <f>M22/Sheet1!$T$9*Sheet1!$T$10</f>
        <v>11.445695671933853</v>
      </c>
      <c r="O22" s="477">
        <f>M22/Sheet1!$T$9*Sheet1!$T$11</f>
        <v>7.1233276702760279E-3</v>
      </c>
      <c r="P22" s="770"/>
      <c r="Q22" s="771"/>
    </row>
    <row r="23" spans="1:19" ht="12.75" customHeight="1">
      <c r="A23" s="776"/>
      <c r="B23" s="767"/>
      <c r="C23" s="577"/>
      <c r="D23" s="7">
        <f>SUMIFS(Sheet1!$C$2:$C$180,Sheet1!$F$2:$F$180,B19,Sheet1!$E$2:$E$180,C23)</f>
        <v>0</v>
      </c>
      <c r="E23" s="7">
        <f>D23/Sheet1!$I$9*Sheet1!$I$10</f>
        <v>0</v>
      </c>
      <c r="F23" s="477">
        <f>D23/Sheet1!$I$9*Sheet1!$I$11</f>
        <v>0</v>
      </c>
      <c r="G23" s="765"/>
      <c r="H23" s="771"/>
      <c r="J23" s="776"/>
      <c r="K23" s="767"/>
      <c r="L23" s="577"/>
      <c r="M23" s="7">
        <f>SUMIFS(Sheet1!$N$2:$N$180,Sheet1!$Q$2:$Q$180,$K$19,Sheet1!$P$2:$P$180,L23)</f>
        <v>0</v>
      </c>
      <c r="N23" s="7">
        <f>M23/Sheet1!$T$9*Sheet1!$T$10</f>
        <v>0</v>
      </c>
      <c r="O23" s="477">
        <f>M23/Sheet1!$T$9*Sheet1!$T$11</f>
        <v>0</v>
      </c>
      <c r="P23" s="765"/>
      <c r="Q23" s="771"/>
    </row>
    <row r="24" spans="1:19" ht="12.75" customHeight="1">
      <c r="A24" s="763" t="s">
        <v>251</v>
      </c>
      <c r="B24" s="772" t="s">
        <v>252</v>
      </c>
      <c r="C24" t="s">
        <v>787</v>
      </c>
      <c r="D24" s="7">
        <f>SUMIFS(Sheet1!$C$2:$C$180,Sheet1!$F$2:$F$180,B24,Sheet1!$E$2:$E$180,C24)</f>
        <v>336</v>
      </c>
      <c r="E24" s="7">
        <f>D24/Sheet1!$I$9*Sheet1!$I$10</f>
        <v>12.434890582874708</v>
      </c>
      <c r="F24" s="477">
        <f>D24/Sheet1!$I$9*Sheet1!$I$11</f>
        <v>7.6129981812025783E-3</v>
      </c>
      <c r="G24" s="768">
        <f>SUM(F24:F30)</f>
        <v>7.6129981812025783E-3</v>
      </c>
      <c r="H24" s="771">
        <f>SUM(G24:G39)</f>
        <v>1.5633835550683865E-2</v>
      </c>
      <c r="J24" s="763" t="s">
        <v>251</v>
      </c>
      <c r="K24" s="772" t="s">
        <v>252</v>
      </c>
      <c r="L24" t="s">
        <v>787</v>
      </c>
      <c r="M24" s="7">
        <f>SUMIFS(Sheet1!$N$2:$N$180,Sheet1!$Q$2:$Q$180,$K$24,Sheet1!$P$2:$P$180,L24)</f>
        <v>336</v>
      </c>
      <c r="N24" s="7">
        <f>M24/Sheet1!$T$9*Sheet1!$T$10</f>
        <v>12.365767671285449</v>
      </c>
      <c r="O24" s="477">
        <f>M24/Sheet1!$T$9*Sheet1!$T$11</f>
        <v>7.6959424347676697E-3</v>
      </c>
      <c r="P24" s="768">
        <f>SUM(O24:O30)</f>
        <v>7.6959424347676697E-3</v>
      </c>
      <c r="Q24" s="771">
        <f>SUM(P24:P39)</f>
        <v>1.5804167499969324E-2</v>
      </c>
    </row>
    <row r="25" spans="1:19" ht="12.75" customHeight="1">
      <c r="A25" s="763"/>
      <c r="B25" s="772"/>
      <c r="C25" s="580"/>
      <c r="D25" s="7">
        <f>SUMIFS(Sheet1!$C$2:$C$180,Sheet1!$F$2:$F$180,B24,Sheet1!$E$2:$E$180,C25)</f>
        <v>0</v>
      </c>
      <c r="E25" s="7">
        <f>D25/Sheet1!$I$9*Sheet1!$I$10</f>
        <v>0</v>
      </c>
      <c r="F25" s="477">
        <f>D25/Sheet1!$I$9*Sheet1!$I$11</f>
        <v>0</v>
      </c>
      <c r="G25" s="768"/>
      <c r="H25" s="771"/>
      <c r="J25" s="763"/>
      <c r="K25" s="772"/>
      <c r="L25" s="580"/>
      <c r="M25" s="7">
        <f>SUMIFS(Sheet1!$N$2:$N$180,Sheet1!$Q$2:$Q$180,$K$24,Sheet1!$P$2:$P$180,L25)</f>
        <v>0</v>
      </c>
      <c r="N25" s="7">
        <f>M25/Sheet1!$T$9*Sheet1!$T$10</f>
        <v>0</v>
      </c>
      <c r="O25" s="477">
        <f>M25/Sheet1!$T$9*Sheet1!$T$11</f>
        <v>0</v>
      </c>
      <c r="P25" s="768"/>
      <c r="Q25" s="771"/>
    </row>
    <row r="26" spans="1:19" ht="12.75" customHeight="1">
      <c r="A26" s="763"/>
      <c r="B26" s="772"/>
      <c r="C26" s="538"/>
      <c r="D26" s="7">
        <f>SUMIFS(Sheet1!$C$2:$C$180,Sheet1!$F$2:$F$180,B24,Sheet1!$E$2:$E$180,C26)</f>
        <v>0</v>
      </c>
      <c r="E26" s="7">
        <f>D26/Sheet1!$I$9*Sheet1!$I$10</f>
        <v>0</v>
      </c>
      <c r="F26" s="477">
        <f>D26/Sheet1!$I$9*Sheet1!$I$11</f>
        <v>0</v>
      </c>
      <c r="G26" s="768"/>
      <c r="H26" s="771"/>
      <c r="J26" s="763"/>
      <c r="K26" s="772"/>
      <c r="L26" s="538"/>
      <c r="M26" s="7">
        <f>SUMIFS(Sheet1!$N$2:$N$180,Sheet1!$Q$2:$Q$180,$K$24,Sheet1!$P$2:$P$180,L26)</f>
        <v>0</v>
      </c>
      <c r="N26" s="7">
        <f>M26/Sheet1!$T$9*Sheet1!$T$10</f>
        <v>0</v>
      </c>
      <c r="O26" s="477">
        <f>M26/Sheet1!$T$9*Sheet1!$T$11</f>
        <v>0</v>
      </c>
      <c r="P26" s="768"/>
      <c r="Q26" s="771"/>
    </row>
    <row r="27" spans="1:19" ht="12.75" customHeight="1">
      <c r="A27" s="763"/>
      <c r="B27" s="772"/>
      <c r="D27" s="7">
        <f>SUMIFS(Sheet1!$C$2:$C$180,Sheet1!$F$2:$F$180,B24,Sheet1!$E$2:$E$180,C27)</f>
        <v>0</v>
      </c>
      <c r="E27" s="7">
        <f>D27/Sheet1!$I$9*Sheet1!$I$10</f>
        <v>0</v>
      </c>
      <c r="F27" s="477">
        <f>D27/Sheet1!$I$9*Sheet1!$I$11</f>
        <v>0</v>
      </c>
      <c r="G27" s="768"/>
      <c r="H27" s="771"/>
      <c r="J27" s="763"/>
      <c r="K27" s="772"/>
      <c r="M27" s="7">
        <f>SUMIFS(Sheet1!$N$2:$N$180,Sheet1!$Q$2:$Q$180,$K$24,Sheet1!$P$2:$P$180,L27)</f>
        <v>0</v>
      </c>
      <c r="N27" s="7">
        <f>M27/Sheet1!$T$9*Sheet1!$T$10</f>
        <v>0</v>
      </c>
      <c r="O27" s="477">
        <f>M27/Sheet1!$T$9*Sheet1!$T$11</f>
        <v>0</v>
      </c>
      <c r="P27" s="768"/>
      <c r="Q27" s="771"/>
    </row>
    <row r="28" spans="1:19" ht="12.75" customHeight="1">
      <c r="A28" s="763"/>
      <c r="B28" s="772"/>
      <c r="C28" s="577"/>
      <c r="D28" s="7">
        <f>SUMIFS(Sheet1!$C$2:$C$180,Sheet1!$F$2:$F$180,B24,Sheet1!$E$2:$E$180,C28)</f>
        <v>0</v>
      </c>
      <c r="E28" s="7">
        <f>D28/Sheet1!$I$9*Sheet1!$I$10</f>
        <v>0</v>
      </c>
      <c r="F28" s="477">
        <f>D28/Sheet1!$I$9*Sheet1!$I$11</f>
        <v>0</v>
      </c>
      <c r="G28" s="768"/>
      <c r="H28" s="771"/>
      <c r="J28" s="763"/>
      <c r="K28" s="772"/>
      <c r="L28" s="577"/>
      <c r="M28" s="7">
        <f>SUMIFS(Sheet1!$N$2:$N$180,Sheet1!$Q$2:$Q$180,$K$24,Sheet1!$P$2:$P$180,L28)</f>
        <v>0</v>
      </c>
      <c r="N28" s="7">
        <f>M28/Sheet1!$T$9*Sheet1!$T$10</f>
        <v>0</v>
      </c>
      <c r="O28" s="477">
        <f>M28/Sheet1!$T$9*Sheet1!$T$11</f>
        <v>0</v>
      </c>
      <c r="P28" s="768"/>
      <c r="Q28" s="771"/>
    </row>
    <row r="29" spans="1:19" ht="12.75" customHeight="1">
      <c r="A29" s="763"/>
      <c r="B29" s="772"/>
      <c r="C29" s="577"/>
      <c r="D29" s="7">
        <f>SUMIFS(Sheet1!$C$2:$C$180,Sheet1!$F$2:$F$180,B24,Sheet1!$E$2:$E$180,C29)</f>
        <v>0</v>
      </c>
      <c r="E29" s="7">
        <f>D29/Sheet1!$I$9*Sheet1!$I$10</f>
        <v>0</v>
      </c>
      <c r="F29" s="477">
        <f>D29/Sheet1!$I$9*Sheet1!$I$11</f>
        <v>0</v>
      </c>
      <c r="G29" s="768"/>
      <c r="H29" s="771"/>
      <c r="J29" s="763"/>
      <c r="K29" s="772"/>
      <c r="L29" s="577"/>
      <c r="M29" s="7">
        <f>SUMIFS(Sheet1!$N$2:$N$180,Sheet1!$Q$2:$Q$180,$K$24,Sheet1!$P$2:$P$180,L29)</f>
        <v>0</v>
      </c>
      <c r="N29" s="7">
        <f>M29/Sheet1!$T$9*Sheet1!$T$10</f>
        <v>0</v>
      </c>
      <c r="O29" s="477">
        <f>M29/Sheet1!$T$9*Sheet1!$T$11</f>
        <v>0</v>
      </c>
      <c r="P29" s="768"/>
      <c r="Q29" s="771"/>
      <c r="S29" s="514"/>
    </row>
    <row r="30" spans="1:19" ht="12.75" customHeight="1">
      <c r="A30" s="763"/>
      <c r="B30" s="772"/>
      <c r="C30" s="577"/>
      <c r="D30" s="7">
        <f>SUMIFS(Sheet1!$C$2:$C$180,Sheet1!$F$2:$F$180,B24,Sheet1!$E$2:$E$180,C30)</f>
        <v>0</v>
      </c>
      <c r="E30" s="7">
        <f>D30/Sheet1!$I$9*Sheet1!$I$10</f>
        <v>0</v>
      </c>
      <c r="F30" s="477">
        <f>D30/Sheet1!$I$9*Sheet1!$I$11</f>
        <v>0</v>
      </c>
      <c r="G30" s="768"/>
      <c r="H30" s="771"/>
      <c r="J30" s="763"/>
      <c r="K30" s="772"/>
      <c r="L30" s="577"/>
      <c r="M30" s="7">
        <f>SUMIFS(Sheet1!$N$2:$N$180,Sheet1!$Q$2:$Q$180,$K$24,Sheet1!$P$2:$P$180,L30)</f>
        <v>0</v>
      </c>
      <c r="N30" s="7">
        <f>M30/Sheet1!$T$9*Sheet1!$T$10</f>
        <v>0</v>
      </c>
      <c r="O30" s="477">
        <f>M30/Sheet1!$T$9*Sheet1!$T$11</f>
        <v>0</v>
      </c>
      <c r="P30" s="768"/>
      <c r="Q30" s="771"/>
    </row>
    <row r="31" spans="1:19" ht="12.75" customHeight="1">
      <c r="A31" s="763"/>
      <c r="B31" s="766" t="s">
        <v>253</v>
      </c>
      <c r="C31" s="576" t="s">
        <v>728</v>
      </c>
      <c r="D31" s="7">
        <f>SUMIFS(Sheet1!$C$2:$C$180,Sheet1!$F$2:$F$180,B31,Sheet1!$E$2:$E$180,C31)</f>
        <v>120</v>
      </c>
      <c r="E31" s="7">
        <f>D31/Sheet1!$I$9*Sheet1!$I$10</f>
        <v>4.4410323510266814</v>
      </c>
      <c r="F31" s="477">
        <f>D31/Sheet1!$I$9*Sheet1!$I$11</f>
        <v>2.7189279218580633E-3</v>
      </c>
      <c r="G31" s="764">
        <f>SUM(F31:F32)</f>
        <v>2.7189279218580633E-3</v>
      </c>
      <c r="H31" s="771"/>
      <c r="J31" s="763"/>
      <c r="K31" s="766" t="s">
        <v>253</v>
      </c>
      <c r="L31" s="576" t="s">
        <v>728</v>
      </c>
      <c r="M31" s="7">
        <f>SUMIFS(Sheet1!$N$2:$N$180,Sheet1!$Q$2:$Q$180,$K$31,Sheet1!$P$2:$P$180,L31)</f>
        <v>120</v>
      </c>
      <c r="N31" s="7">
        <f>M31/Sheet1!$T$9*Sheet1!$T$10</f>
        <v>4.4163455968876599</v>
      </c>
      <c r="O31" s="477">
        <f>M31/Sheet1!$T$9*Sheet1!$T$11</f>
        <v>2.7485508695598818E-3</v>
      </c>
      <c r="P31" s="764">
        <f>SUM(O31:O32)</f>
        <v>2.7485508695598818E-3</v>
      </c>
      <c r="Q31" s="771"/>
    </row>
    <row r="32" spans="1:19" ht="12.75" customHeight="1">
      <c r="A32" s="763"/>
      <c r="B32" s="767"/>
      <c r="C32" s="577"/>
      <c r="D32" s="7">
        <f>SUMIFS(Sheet1!$C$2:$C$180,Sheet1!$F$2:$F$180,B31,Sheet1!$E$2:$E$180,C32)</f>
        <v>0</v>
      </c>
      <c r="E32" s="7">
        <f>D32/Sheet1!$I$9*Sheet1!$I$10</f>
        <v>0</v>
      </c>
      <c r="F32" s="477">
        <f>D32/Sheet1!$I$9*Sheet1!$I$11</f>
        <v>0</v>
      </c>
      <c r="G32" s="765"/>
      <c r="H32" s="771"/>
      <c r="J32" s="763"/>
      <c r="K32" s="767"/>
      <c r="L32" s="577"/>
      <c r="M32" s="7">
        <f>SUMIFS(Sheet1!$N$2:$N$180,Sheet1!$Q$2:$Q$180,$K$31,Sheet1!$P$2:$P$180,L32)</f>
        <v>0</v>
      </c>
      <c r="N32" s="7">
        <f>M32/Sheet1!$T$9*Sheet1!$T$10</f>
        <v>0</v>
      </c>
      <c r="O32" s="477">
        <f>M32/Sheet1!$T$9*Sheet1!$T$11</f>
        <v>0</v>
      </c>
      <c r="P32" s="765"/>
      <c r="Q32" s="771"/>
    </row>
    <row r="33" spans="1:17" ht="12.75" customHeight="1">
      <c r="A33" s="763"/>
      <c r="B33" s="766" t="s">
        <v>254</v>
      </c>
      <c r="C33" s="577" t="s">
        <v>729</v>
      </c>
      <c r="D33" s="7">
        <f>SUMIFS(Sheet1!$C$2:$C$180,Sheet1!$F$2:$F$180,B33,Sheet1!$E$2:$E$180,C33)</f>
        <v>30</v>
      </c>
      <c r="E33" s="7">
        <f>D33/Sheet1!$I$9*Sheet1!$I$10</f>
        <v>1.1102580877566703</v>
      </c>
      <c r="F33" s="477">
        <f>D33/Sheet1!$I$9*Sheet1!$I$11</f>
        <v>6.7973198046451582E-4</v>
      </c>
      <c r="G33" s="764">
        <f>SUM(F33:F37)</f>
        <v>5.3019094476232237E-3</v>
      </c>
      <c r="H33" s="771"/>
      <c r="J33" s="763"/>
      <c r="K33" s="766" t="s">
        <v>254</v>
      </c>
      <c r="L33" s="577" t="s">
        <v>729</v>
      </c>
      <c r="M33" s="7">
        <f>SUMIFS(Sheet1!$N$2:$N$180,Sheet1!$Q$2:$Q$180,$K$33,Sheet1!$P$2:$P$180,L33)</f>
        <v>30</v>
      </c>
      <c r="N33" s="7">
        <f>M33/Sheet1!$T$9*Sheet1!$T$10</f>
        <v>1.104086399221915</v>
      </c>
      <c r="O33" s="477">
        <f>M33/Sheet1!$T$9*Sheet1!$T$11</f>
        <v>6.8713771738997044E-4</v>
      </c>
      <c r="P33" s="764">
        <f>SUM(O33:O37)</f>
        <v>5.3596741956417702E-3</v>
      </c>
      <c r="Q33" s="771"/>
    </row>
    <row r="34" spans="1:17" ht="12.75" customHeight="1">
      <c r="A34" s="763"/>
      <c r="B34" s="769"/>
      <c r="C34" s="577" t="s">
        <v>730</v>
      </c>
      <c r="D34" s="7">
        <f>SUMIFS(Sheet1!$C$2:$C$180,Sheet1!$F$2:$F$180,B33,Sheet1!$E$2:$E$180,C34)</f>
        <v>20</v>
      </c>
      <c r="E34" s="7">
        <f>D34/Sheet1!$I$9*Sheet1!$I$10</f>
        <v>0.74017205850444678</v>
      </c>
      <c r="F34" s="477">
        <f>D34/Sheet1!$I$9*Sheet1!$I$11</f>
        <v>4.5315465364301053E-4</v>
      </c>
      <c r="G34" s="770"/>
      <c r="H34" s="771"/>
      <c r="J34" s="763"/>
      <c r="K34" s="769"/>
      <c r="L34" s="577" t="s">
        <v>730</v>
      </c>
      <c r="M34" s="7">
        <f>SUMIFS(Sheet1!$N$2:$N$180,Sheet1!$Q$2:$Q$180,$K$33,Sheet1!$P$2:$P$180,L34)</f>
        <v>20</v>
      </c>
      <c r="N34" s="7">
        <f>M34/Sheet1!$T$9*Sheet1!$T$10</f>
        <v>0.73605759948127669</v>
      </c>
      <c r="O34" s="477">
        <f>M34/Sheet1!$T$9*Sheet1!$T$11</f>
        <v>4.5809181159331365E-4</v>
      </c>
      <c r="P34" s="770"/>
      <c r="Q34" s="771"/>
    </row>
    <row r="35" spans="1:17" ht="12.75" customHeight="1">
      <c r="A35" s="763"/>
      <c r="B35" s="769"/>
      <c r="C35" s="577" t="s">
        <v>731</v>
      </c>
      <c r="D35" s="7">
        <f>SUMIFS(Sheet1!$C$2:$C$180,Sheet1!$F$2:$F$180,B33,Sheet1!$E$2:$E$180,C35)</f>
        <v>15</v>
      </c>
      <c r="E35" s="7">
        <f>D35/Sheet1!$I$9*Sheet1!$I$10</f>
        <v>0.55512904387833517</v>
      </c>
      <c r="F35" s="477">
        <f>D35/Sheet1!$I$9*Sheet1!$I$11</f>
        <v>3.3986599023225791E-4</v>
      </c>
      <c r="G35" s="770"/>
      <c r="H35" s="771"/>
      <c r="J35" s="763"/>
      <c r="K35" s="769"/>
      <c r="L35" s="577" t="s">
        <v>731</v>
      </c>
      <c r="M35" s="7">
        <f>SUMIFS(Sheet1!$N$2:$N$180,Sheet1!$Q$2:$Q$180,$K$33,Sheet1!$P$2:$P$180,L35)</f>
        <v>15</v>
      </c>
      <c r="N35" s="7">
        <f>M35/Sheet1!$T$9*Sheet1!$T$10</f>
        <v>0.55204319961095749</v>
      </c>
      <c r="O35" s="477">
        <f>M35/Sheet1!$T$9*Sheet1!$T$11</f>
        <v>3.4356885869498522E-4</v>
      </c>
      <c r="P35" s="770"/>
      <c r="Q35" s="771"/>
    </row>
    <row r="36" spans="1:17" ht="12.75" customHeight="1">
      <c r="A36" s="763"/>
      <c r="B36" s="769"/>
      <c r="C36" s="577" t="s">
        <v>733</v>
      </c>
      <c r="D36" s="7">
        <f>SUMIFS(Sheet1!$C$2:$C$180,Sheet1!$F$2:$F$180,B33,Sheet1!$E$2:$E$180,C36)</f>
        <v>15</v>
      </c>
      <c r="E36" s="7">
        <f>D36/Sheet1!$I$9*Sheet1!$I$10</f>
        <v>0.55512904387833517</v>
      </c>
      <c r="F36" s="477">
        <f>D36/Sheet1!$I$9*Sheet1!$I$11</f>
        <v>3.3986599023225791E-4</v>
      </c>
      <c r="G36" s="770"/>
      <c r="H36" s="771"/>
      <c r="J36" s="763"/>
      <c r="K36" s="769"/>
      <c r="L36" s="577" t="s">
        <v>733</v>
      </c>
      <c r="M36" s="7">
        <f>SUMIFS(Sheet1!$N$2:$N$180,Sheet1!$Q$2:$Q$180,$K$33,Sheet1!$P$2:$P$180,L36)</f>
        <v>15</v>
      </c>
      <c r="N36" s="7">
        <f>M36/Sheet1!$T$9*Sheet1!$T$10</f>
        <v>0.55204319961095749</v>
      </c>
      <c r="O36" s="477">
        <f>M36/Sheet1!$T$9*Sheet1!$T$11</f>
        <v>3.4356885869498522E-4</v>
      </c>
      <c r="P36" s="770"/>
      <c r="Q36" s="771"/>
    </row>
    <row r="37" spans="1:17" ht="12.75" customHeight="1">
      <c r="A37" s="763"/>
      <c r="B37" s="767"/>
      <c r="C37" s="577" t="s">
        <v>786</v>
      </c>
      <c r="D37" s="7">
        <f>SUMIFS(Sheet1!$C$2:$C$180,Sheet1!$F$2:$F$180,B33,Sheet1!$E$2:$E$180,C37)</f>
        <v>154</v>
      </c>
      <c r="E37" s="7">
        <f>D37/Sheet1!$I$9*Sheet1!$I$10</f>
        <v>5.6993248504842411</v>
      </c>
      <c r="F37" s="477">
        <f>D37/Sheet1!$I$9*Sheet1!$I$11</f>
        <v>3.4892908330511818E-3</v>
      </c>
      <c r="G37" s="765"/>
      <c r="H37" s="771"/>
      <c r="J37" s="763"/>
      <c r="K37" s="767"/>
      <c r="L37" s="577" t="s">
        <v>786</v>
      </c>
      <c r="M37" s="7">
        <f>SUMIFS(Sheet1!$N$2:$N$180,Sheet1!$Q$2:$Q$180,$K$33,Sheet1!$P$2:$P$180,L37)</f>
        <v>154</v>
      </c>
      <c r="N37" s="7">
        <f>M37/Sheet1!$T$9*Sheet1!$T$10</f>
        <v>5.6676435160058301</v>
      </c>
      <c r="O37" s="477">
        <f>M37/Sheet1!$T$9*Sheet1!$T$11</f>
        <v>3.5273069492685154E-3</v>
      </c>
      <c r="P37" s="765"/>
      <c r="Q37" s="771"/>
    </row>
    <row r="38" spans="1:17" ht="12.75" customHeight="1">
      <c r="A38" s="763"/>
      <c r="B38" s="766" t="s">
        <v>255</v>
      </c>
      <c r="C38" s="577"/>
      <c r="D38" s="7">
        <f>SUMIFS(Sheet1!$C$2:$C$180,Sheet1!$F$2:$F$180,B38,Sheet1!$E$2:$E$180,C38)</f>
        <v>0</v>
      </c>
      <c r="E38" s="7">
        <f>D38/Sheet1!$I$9*Sheet1!$I$10</f>
        <v>0</v>
      </c>
      <c r="F38" s="477">
        <f>D38/Sheet1!$I$9*Sheet1!$I$11</f>
        <v>0</v>
      </c>
      <c r="G38" s="764">
        <f>SUM(F38:F39)</f>
        <v>0</v>
      </c>
      <c r="H38" s="771"/>
      <c r="J38" s="763"/>
      <c r="K38" s="766" t="s">
        <v>255</v>
      </c>
      <c r="L38" s="577"/>
      <c r="M38" s="7">
        <f>SUMIFS(Sheet1!$N$2:$N$180,Sheet1!$Q$2:$Q$180,$K$38,Sheet1!$P$2:$P$180,L38)</f>
        <v>0</v>
      </c>
      <c r="N38" s="7">
        <f>M38/Sheet1!$T$9*Sheet1!$T$10</f>
        <v>0</v>
      </c>
      <c r="O38" s="477">
        <f>M38/Sheet1!$T$9*Sheet1!$T$11</f>
        <v>0</v>
      </c>
      <c r="P38" s="764">
        <f>SUM(O38:O39)</f>
        <v>0</v>
      </c>
      <c r="Q38" s="771"/>
    </row>
    <row r="39" spans="1:17" ht="12.75" customHeight="1">
      <c r="A39" s="763"/>
      <c r="B39" s="767"/>
      <c r="C39" s="577"/>
      <c r="D39" s="7">
        <f>SUMIFS(Sheet1!$C$2:$C$180,Sheet1!$F$2:$F$180,B38,Sheet1!$E$2:$E$180,C39)</f>
        <v>0</v>
      </c>
      <c r="E39" s="7">
        <f>D39/Sheet1!$I$9*Sheet1!$I$10</f>
        <v>0</v>
      </c>
      <c r="F39" s="477">
        <f>D39/Sheet1!$I$9*Sheet1!$I$11</f>
        <v>0</v>
      </c>
      <c r="G39" s="765"/>
      <c r="H39" s="771"/>
      <c r="J39" s="763"/>
      <c r="K39" s="767"/>
      <c r="L39" s="577"/>
      <c r="M39" s="7">
        <f>SUMIFS(Sheet1!$N$2:$N$180,Sheet1!$Q$2:$Q$180,$K$38,Sheet1!$P$2:$P$180,L39)</f>
        <v>0</v>
      </c>
      <c r="N39" s="7">
        <f>M39/Sheet1!$T$9*Sheet1!$T$10</f>
        <v>0</v>
      </c>
      <c r="O39" s="477">
        <f>M39/Sheet1!$T$9*Sheet1!$T$11</f>
        <v>0</v>
      </c>
      <c r="P39" s="765"/>
      <c r="Q39" s="771"/>
    </row>
    <row r="40" spans="1:17" ht="12.75" customHeight="1">
      <c r="A40" s="763" t="s">
        <v>403</v>
      </c>
      <c r="B40" s="766" t="s">
        <v>256</v>
      </c>
      <c r="C40" s="577"/>
      <c r="D40" s="7">
        <f>SUMIFS(Sheet1!$C$2:$C$180,Sheet1!$F$2:$F$180,B40,Sheet1!$E$2:$E$180,C40)</f>
        <v>0</v>
      </c>
      <c r="E40" s="7">
        <f>D40/Sheet1!$I$9*Sheet1!$I$10</f>
        <v>0</v>
      </c>
      <c r="F40" s="477">
        <f>D40/Sheet1!$I$9*Sheet1!$I$11</f>
        <v>0</v>
      </c>
      <c r="G40" s="764">
        <f>SUM(F40:F41)</f>
        <v>0</v>
      </c>
      <c r="H40" s="760">
        <f>SUM(G40:G41)</f>
        <v>0</v>
      </c>
      <c r="J40" s="763" t="s">
        <v>403</v>
      </c>
      <c r="K40" s="766" t="s">
        <v>256</v>
      </c>
      <c r="L40" s="577"/>
      <c r="M40" s="7">
        <f>SUMIFS(Sheet1!$N$2:$N$180,Sheet1!$Q$2:$Q$180,K40,Sheet1!$P$2:$P$180,L40)</f>
        <v>0</v>
      </c>
      <c r="N40" s="7">
        <f>M40/Sheet1!$T$9*Sheet1!$T$10</f>
        <v>0</v>
      </c>
      <c r="O40" s="477">
        <f>M40/Sheet1!$T$9*Sheet1!$T$11</f>
        <v>0</v>
      </c>
      <c r="P40" s="764">
        <f>SUM(O40:O41)</f>
        <v>0</v>
      </c>
      <c r="Q40" s="760">
        <f>SUM(P40:P41)</f>
        <v>0</v>
      </c>
    </row>
    <row r="41" spans="1:17" ht="12.75" customHeight="1">
      <c r="A41" s="763"/>
      <c r="B41" s="767"/>
      <c r="C41" s="580"/>
      <c r="D41" s="7">
        <f>SUMIFS(Sheet1!$C$2:$C$180,Sheet1!$F$2:$F$180,B40,Sheet1!$E$2:$E$180,C41)</f>
        <v>0</v>
      </c>
      <c r="E41" s="7">
        <f>D41/Sheet1!$I$9*Sheet1!$I$10</f>
        <v>0</v>
      </c>
      <c r="F41" s="477">
        <f>D41/Sheet1!$I$9*Sheet1!$I$11</f>
        <v>0</v>
      </c>
      <c r="G41" s="765"/>
      <c r="H41" s="761"/>
      <c r="J41" s="763"/>
      <c r="K41" s="767"/>
      <c r="L41" s="580"/>
      <c r="M41" s="7">
        <f>SUMIFS(Sheet1!$N$2:$N$180,Sheet1!$Q$2:$Q$180,K40,Sheet1!$P$2:$P$180,L41)</f>
        <v>0</v>
      </c>
      <c r="N41" s="7">
        <f>M41/Sheet1!$T$9*Sheet1!$T$10</f>
        <v>0</v>
      </c>
      <c r="O41" s="477">
        <f>M41/Sheet1!$T$9*Sheet1!$T$11</f>
        <v>0</v>
      </c>
      <c r="P41" s="765"/>
      <c r="Q41" s="761"/>
    </row>
    <row r="42" spans="1:17" ht="15">
      <c r="A42" s="581"/>
      <c r="B42" s="762" t="s">
        <v>3</v>
      </c>
      <c r="C42" s="762"/>
      <c r="D42" s="351">
        <f>SUM(D4:D41)</f>
        <v>3825</v>
      </c>
      <c r="E42" s="351">
        <f>SUM(E4:E41)</f>
        <v>212.08927133262299</v>
      </c>
      <c r="F42" s="475">
        <f>SUM(F4:F41)</f>
        <v>0.12984716078897462</v>
      </c>
      <c r="G42" s="475">
        <f>SUM(G4:G41)</f>
        <v>0.12984716078897462</v>
      </c>
      <c r="H42" s="475">
        <f>SUM(H4:H41)</f>
        <v>0.12984716078897465</v>
      </c>
      <c r="J42" s="581"/>
      <c r="K42" s="762" t="s">
        <v>3</v>
      </c>
      <c r="L42" s="762"/>
      <c r="M42" s="351">
        <f>SUM(M4:M41)</f>
        <v>3124</v>
      </c>
      <c r="N42" s="351">
        <f>SUM(N4:N41)</f>
        <v>185.50356218262297</v>
      </c>
      <c r="O42" s="475">
        <f>SUM(O4:O41)</f>
        <v>0.11544974593990621</v>
      </c>
      <c r="P42" s="475">
        <f>SUM(P4:P41)</f>
        <v>0.11544974593990623</v>
      </c>
      <c r="Q42" s="475">
        <f>SUM(Q4:Q41)</f>
        <v>0.11544974593990624</v>
      </c>
    </row>
    <row r="43" spans="1:17" ht="15">
      <c r="A43" s="581"/>
      <c r="B43" s="762" t="s">
        <v>2</v>
      </c>
      <c r="C43" s="762"/>
      <c r="D43" s="762"/>
      <c r="E43" s="762"/>
      <c r="F43" s="582">
        <f>+Efficiency1!X173</f>
        <v>0.87015283921102549</v>
      </c>
      <c r="G43" s="582">
        <f>+F43</f>
        <v>0.87015283921102549</v>
      </c>
      <c r="H43" s="582">
        <f>+G43</f>
        <v>0.87015283921102549</v>
      </c>
      <c r="J43" s="581"/>
      <c r="K43" s="762" t="s">
        <v>2</v>
      </c>
      <c r="L43" s="762"/>
      <c r="M43" s="762"/>
      <c r="N43" s="762"/>
      <c r="O43" s="582">
        <f>+Efficiency2!X173</f>
        <v>0.88455025406009391</v>
      </c>
      <c r="P43" s="582">
        <f>+O43</f>
        <v>0.88455025406009391</v>
      </c>
      <c r="Q43" s="582">
        <f>+P43</f>
        <v>0.88455025406009391</v>
      </c>
    </row>
    <row r="44" spans="1:17" ht="15">
      <c r="A44" s="581"/>
      <c r="B44" s="762" t="s">
        <v>70</v>
      </c>
      <c r="C44" s="762"/>
      <c r="D44" s="762"/>
      <c r="E44" s="762"/>
      <c r="F44" s="478">
        <f>SUM(F42:F43)</f>
        <v>1</v>
      </c>
      <c r="G44" s="478">
        <f>SUM(G42:G43)</f>
        <v>1</v>
      </c>
      <c r="H44" s="574">
        <f>SUM(H42:H43)</f>
        <v>1.0000000000000002</v>
      </c>
      <c r="J44" s="581"/>
      <c r="K44" s="762" t="s">
        <v>70</v>
      </c>
      <c r="L44" s="762"/>
      <c r="M44" s="762"/>
      <c r="N44" s="762"/>
      <c r="O44" s="478">
        <f>SUM(O42:O43)</f>
        <v>1.0000000000000002</v>
      </c>
      <c r="P44" s="478">
        <f>SUM(P42:P43)</f>
        <v>1.0000000000000002</v>
      </c>
      <c r="Q44" s="574">
        <f>SUM(Q42:Q43)</f>
        <v>1.0000000000000002</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Q12:Q13"/>
    <mergeCell ref="A14:A23"/>
    <mergeCell ref="H14:H23"/>
    <mergeCell ref="J14:J23"/>
    <mergeCell ref="Q14:Q23"/>
    <mergeCell ref="B16:B17"/>
    <mergeCell ref="G16:G17"/>
    <mergeCell ref="K16:K17"/>
    <mergeCell ref="P16:P17"/>
    <mergeCell ref="B19:B23"/>
    <mergeCell ref="G19:G23"/>
    <mergeCell ref="K19:K23"/>
    <mergeCell ref="P19:P23"/>
    <mergeCell ref="A24:A39"/>
    <mergeCell ref="A40:A41"/>
    <mergeCell ref="A12:A13"/>
    <mergeCell ref="H12:H13"/>
    <mergeCell ref="J12:J13"/>
    <mergeCell ref="B33:B37"/>
    <mergeCell ref="G33:G37"/>
    <mergeCell ref="Q24:Q39"/>
    <mergeCell ref="B31:B32"/>
    <mergeCell ref="G31:G32"/>
    <mergeCell ref="K31:K32"/>
    <mergeCell ref="P31:P32"/>
    <mergeCell ref="K24:K30"/>
    <mergeCell ref="K38:K39"/>
    <mergeCell ref="B24:B30"/>
    <mergeCell ref="G24:G30"/>
    <mergeCell ref="H24:H39"/>
    <mergeCell ref="B38:B39"/>
    <mergeCell ref="G38:G39"/>
    <mergeCell ref="B44:E44"/>
    <mergeCell ref="K44:N44"/>
    <mergeCell ref="P38:P39"/>
    <mergeCell ref="B40:B41"/>
    <mergeCell ref="G40:G41"/>
    <mergeCell ref="H40:H41"/>
    <mergeCell ref="K40:K41"/>
    <mergeCell ref="P40:P41"/>
    <mergeCell ref="J24:J39"/>
    <mergeCell ref="P24:P30"/>
    <mergeCell ref="K33:K37"/>
    <mergeCell ref="P33:P37"/>
    <mergeCell ref="Q40:Q41"/>
    <mergeCell ref="B42:C42"/>
    <mergeCell ref="K42:L42"/>
    <mergeCell ref="B43:E43"/>
    <mergeCell ref="K43:N43"/>
    <mergeCell ref="J40:J41"/>
  </mergeCells>
  <conditionalFormatting sqref="D4:D41">
    <cfRule type="cellIs" dxfId="5" priority="5" operator="between">
      <formula>180</formula>
      <formula>360</formula>
    </cfRule>
    <cfRule type="cellIs" dxfId="4" priority="6" operator="greaterThan">
      <formula>360</formula>
    </cfRule>
  </conditionalFormatting>
  <conditionalFormatting sqref="M5:M41">
    <cfRule type="cellIs" dxfId="3" priority="3" operator="between">
      <formula>180</formula>
      <formula>360</formula>
    </cfRule>
    <cfRule type="cellIs" dxfId="2" priority="4" operator="greaterThan">
      <formula>360</formula>
    </cfRule>
  </conditionalFormatting>
  <conditionalFormatting sqref="M4:M41">
    <cfRule type="cellIs" dxfId="1" priority="1" operator="between">
      <formula>180</formula>
      <formula>360</formula>
    </cfRule>
    <cfRule type="cellIs" dxfId="0" priority="2" operator="greaterThan">
      <formula>360</formula>
    </cfRule>
  </conditionalFormatting>
  <pageMargins left="0.19685039370078741" right="0.19685039370078741" top="0.19685039370078741" bottom="0.19685039370078741" header="0.31496062992125984" footer="0.31496062992125984"/>
  <pageSetup paperSize="9" scale="34" fitToHeight="0"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Z61"/>
  <sheetViews>
    <sheetView topLeftCell="D10" zoomScale="80" zoomScaleNormal="80" workbookViewId="0">
      <selection activeCell="F26" activeCellId="5" sqref="F8 F9 F16 F17 F25 F26"/>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8.28515625" style="152" customWidth="1"/>
    <col min="11" max="11" width="12.5703125" style="152" bestFit="1" customWidth="1"/>
    <col min="12" max="12" width="8.28515625" style="152" customWidth="1"/>
    <col min="13" max="13" width="15.140625" style="152"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31</v>
      </c>
      <c r="H4" s="157" t="str">
        <f>+'1'!H4</f>
        <v>.03.26</v>
      </c>
      <c r="J4" s="152">
        <f>559.5+631+461.8</f>
        <v>1652.3</v>
      </c>
    </row>
    <row r="5" spans="1:26" ht="13.5" thickBot="1">
      <c r="C5" s="158"/>
      <c r="D5" s="158"/>
    </row>
    <row r="6" spans="1:26" ht="26.25" thickBot="1">
      <c r="A6" s="159" t="s">
        <v>60</v>
      </c>
      <c r="B6" s="160" t="s">
        <v>10</v>
      </c>
      <c r="C6" s="160" t="s">
        <v>61</v>
      </c>
      <c r="D6" s="160" t="s">
        <v>62</v>
      </c>
      <c r="E6" s="161" t="s">
        <v>63</v>
      </c>
      <c r="F6" s="105"/>
      <c r="G6" s="160"/>
      <c r="H6" s="162"/>
      <c r="I6" s="163" t="s">
        <v>67</v>
      </c>
      <c r="J6" s="164" t="s">
        <v>10</v>
      </c>
      <c r="K6" s="165" t="s">
        <v>68</v>
      </c>
      <c r="L6" s="213" t="s">
        <v>155</v>
      </c>
      <c r="M6" s="166" t="s">
        <v>69</v>
      </c>
      <c r="N6" s="152" t="s">
        <v>414</v>
      </c>
      <c r="O6" s="152">
        <v>1100</v>
      </c>
      <c r="P6" s="152">
        <f>+O6-(O6*0.22)</f>
        <v>858</v>
      </c>
      <c r="Q6" s="152">
        <v>25</v>
      </c>
      <c r="R6" s="152">
        <f t="shared" ref="R6:R9" si="0">+O6*Q6</f>
        <v>27500</v>
      </c>
      <c r="S6" s="152">
        <f t="shared" ref="S6:S9" si="1">+P6*Q6</f>
        <v>21450</v>
      </c>
      <c r="U6" s="152" t="s">
        <v>414</v>
      </c>
      <c r="V6" s="152">
        <v>1100</v>
      </c>
      <c r="W6" s="152">
        <v>858</v>
      </c>
      <c r="X6" s="152">
        <v>25</v>
      </c>
      <c r="Y6" s="152">
        <f t="shared" ref="Y6:Y9" si="2">+V6*X6</f>
        <v>27500</v>
      </c>
      <c r="Z6" s="152">
        <f t="shared" ref="Z6:Z9" si="3">+W6*X6</f>
        <v>21450</v>
      </c>
    </row>
    <row r="7" spans="1:26" ht="13.5" customHeight="1" thickBot="1">
      <c r="A7" s="793" t="s">
        <v>431</v>
      </c>
      <c r="B7" s="218" t="s">
        <v>434</v>
      </c>
      <c r="C7" s="219">
        <v>16555</v>
      </c>
      <c r="D7" s="220"/>
      <c r="E7" s="221"/>
      <c r="F7" s="231"/>
      <c r="G7" s="232" t="s">
        <v>13</v>
      </c>
      <c r="H7" s="233" t="s">
        <v>391</v>
      </c>
      <c r="I7" s="796" t="s">
        <v>772</v>
      </c>
      <c r="J7" s="217" t="str">
        <f>+'30'!J7</f>
        <v>T 14 RC HW</v>
      </c>
      <c r="K7" s="241"/>
      <c r="L7" s="245"/>
      <c r="M7" s="120">
        <f>+L7+'30'!M7+K7</f>
        <v>240535</v>
      </c>
      <c r="O7" s="152">
        <v>1000</v>
      </c>
      <c r="P7" s="152">
        <f t="shared" ref="P7:P9" si="4">+O7-(O7*0.22)</f>
        <v>780</v>
      </c>
      <c r="Q7" s="152">
        <v>228</v>
      </c>
      <c r="R7" s="152">
        <f t="shared" si="0"/>
        <v>228000</v>
      </c>
      <c r="S7" s="152">
        <f t="shared" si="1"/>
        <v>177840</v>
      </c>
      <c r="V7" s="152">
        <v>1000</v>
      </c>
      <c r="W7" s="152">
        <v>780</v>
      </c>
      <c r="X7" s="152">
        <v>228</v>
      </c>
      <c r="Y7" s="152">
        <f t="shared" si="2"/>
        <v>228000</v>
      </c>
      <c r="Z7" s="152">
        <f t="shared" si="3"/>
        <v>177840</v>
      </c>
    </row>
    <row r="8" spans="1:26" ht="13.5" thickBot="1">
      <c r="A8" s="794"/>
      <c r="B8" s="218"/>
      <c r="C8" s="219"/>
      <c r="D8" s="220"/>
      <c r="E8" s="222"/>
      <c r="F8" s="234">
        <v>6</v>
      </c>
      <c r="G8" s="583" t="s">
        <v>13</v>
      </c>
      <c r="H8" s="233" t="s">
        <v>474</v>
      </c>
      <c r="I8" s="797"/>
      <c r="J8" s="217" t="str">
        <f>+'30'!J8</f>
        <v>T 15,5 RC HW</v>
      </c>
      <c r="K8" s="242">
        <f>+C7+C16</f>
        <v>24526</v>
      </c>
      <c r="L8" s="242"/>
      <c r="M8" s="120">
        <f>+L8+'30'!M8+K8</f>
        <v>279327</v>
      </c>
      <c r="O8" s="152">
        <v>1180</v>
      </c>
      <c r="P8" s="152">
        <f t="shared" si="4"/>
        <v>920.4</v>
      </c>
      <c r="Q8" s="152">
        <v>227</v>
      </c>
      <c r="R8" s="152">
        <f t="shared" si="0"/>
        <v>267860</v>
      </c>
      <c r="S8" s="152">
        <f t="shared" si="1"/>
        <v>208930.8</v>
      </c>
      <c r="V8" s="152">
        <v>1180</v>
      </c>
      <c r="W8" s="152">
        <v>920.4</v>
      </c>
      <c r="X8" s="152">
        <v>227</v>
      </c>
      <c r="Y8" s="152">
        <f t="shared" si="2"/>
        <v>267860</v>
      </c>
      <c r="Z8" s="152">
        <f t="shared" si="3"/>
        <v>208930.8</v>
      </c>
    </row>
    <row r="9" spans="1:26" ht="13.5" thickBot="1">
      <c r="A9" s="794"/>
      <c r="B9" s="218"/>
      <c r="C9" s="219"/>
      <c r="D9" s="220"/>
      <c r="E9" s="223"/>
      <c r="F9" s="231">
        <v>10</v>
      </c>
      <c r="G9" s="583" t="s">
        <v>13</v>
      </c>
      <c r="H9" s="236" t="s">
        <v>617</v>
      </c>
      <c r="I9" s="797"/>
      <c r="J9" s="217" t="str">
        <f>+'30'!J9</f>
        <v>T 13,5 RC HW</v>
      </c>
      <c r="K9" s="242"/>
      <c r="L9" s="242"/>
      <c r="M9" s="120">
        <f>+L9+'30'!M9+K9</f>
        <v>108697</v>
      </c>
      <c r="P9" s="152">
        <f t="shared" si="4"/>
        <v>0</v>
      </c>
      <c r="R9" s="152">
        <f t="shared" si="0"/>
        <v>0</v>
      </c>
      <c r="S9" s="152">
        <f t="shared" si="1"/>
        <v>0</v>
      </c>
      <c r="U9" s="152" t="s">
        <v>414</v>
      </c>
      <c r="V9" s="152">
        <v>1180</v>
      </c>
      <c r="W9" s="152">
        <v>920.4</v>
      </c>
      <c r="X9" s="152">
        <v>135</v>
      </c>
      <c r="Y9" s="152">
        <f t="shared" si="2"/>
        <v>159300</v>
      </c>
      <c r="Z9" s="152">
        <f t="shared" si="3"/>
        <v>124254</v>
      </c>
    </row>
    <row r="10" spans="1:26" ht="26.25" thickBot="1">
      <c r="A10" s="794"/>
      <c r="B10" s="218"/>
      <c r="C10" s="219"/>
      <c r="D10" s="220"/>
      <c r="E10" s="222"/>
      <c r="F10" s="231"/>
      <c r="G10" s="240" t="s">
        <v>14</v>
      </c>
      <c r="H10" s="236" t="s">
        <v>762</v>
      </c>
      <c r="I10" s="797"/>
      <c r="J10" s="217" t="str">
        <f>+'30'!J10</f>
        <v>T 20 RC HW</v>
      </c>
      <c r="K10" s="242"/>
      <c r="L10" s="242"/>
      <c r="M10" s="120">
        <f>+L10+'30'!M10+K10</f>
        <v>35769</v>
      </c>
    </row>
    <row r="11" spans="1:26" ht="56.25" customHeight="1" thickBot="1">
      <c r="A11" s="794"/>
      <c r="B11" s="218"/>
      <c r="C11" s="219"/>
      <c r="D11" s="220"/>
      <c r="E11" s="222"/>
      <c r="F11" s="231"/>
      <c r="G11" s="235"/>
      <c r="H11" s="236" t="s">
        <v>763</v>
      </c>
      <c r="I11" s="797"/>
      <c r="J11" s="217" t="str">
        <f>+'30'!J11</f>
        <v>T 17 RC HW</v>
      </c>
      <c r="K11" s="242"/>
      <c r="L11" s="242"/>
      <c r="M11" s="120">
        <f>+L11+'30'!M11+K11</f>
        <v>18517</v>
      </c>
    </row>
    <row r="12" spans="1:26" ht="13.5" thickBot="1">
      <c r="A12" s="794"/>
      <c r="B12" s="218"/>
      <c r="C12" s="219"/>
      <c r="D12" s="220"/>
      <c r="E12" s="222"/>
      <c r="F12" s="231"/>
      <c r="G12" s="235"/>
      <c r="H12" s="236"/>
      <c r="I12" s="797"/>
      <c r="J12" s="217" t="str">
        <f>+'30'!J12</f>
        <v>T 16 RC HW</v>
      </c>
      <c r="K12" s="242">
        <f>+C17+C25</f>
        <v>9148</v>
      </c>
      <c r="L12" s="242"/>
      <c r="M12" s="120">
        <f>+L12+'30'!M12+K12</f>
        <v>47565</v>
      </c>
    </row>
    <row r="13" spans="1:26" ht="13.5" thickBot="1">
      <c r="A13" s="794"/>
      <c r="B13" s="218"/>
      <c r="C13" s="219"/>
      <c r="D13" s="219"/>
      <c r="E13" s="222"/>
      <c r="F13" s="231"/>
      <c r="G13" s="235"/>
      <c r="H13" s="236"/>
      <c r="I13" s="798"/>
      <c r="J13" s="217" t="str">
        <f>+'30'!J13</f>
        <v>N 15,5 RC HW</v>
      </c>
      <c r="K13" s="242"/>
      <c r="L13" s="242"/>
      <c r="M13" s="120">
        <f>+L13+'30'!M13+K13</f>
        <v>72746</v>
      </c>
      <c r="Q13" s="179">
        <f>SUM(Q6:Q12)</f>
        <v>480</v>
      </c>
      <c r="R13" s="179">
        <f>SUM(R6:R12)</f>
        <v>523360</v>
      </c>
      <c r="S13" s="179">
        <f>SUM(S6:S12)</f>
        <v>408220.8</v>
      </c>
      <c r="X13" s="179">
        <f>SUM(X6:X12)</f>
        <v>615</v>
      </c>
      <c r="Y13" s="179">
        <f>SUM(Y6:Y12)</f>
        <v>682660</v>
      </c>
      <c r="Z13" s="179">
        <f>SUM(Z6:Z12)</f>
        <v>532474.80000000005</v>
      </c>
    </row>
    <row r="14" spans="1:26" ht="13.5" thickBot="1">
      <c r="A14" s="795"/>
      <c r="B14" s="168" t="s">
        <v>3</v>
      </c>
      <c r="C14" s="102">
        <f>SUM(C7:C13)</f>
        <v>16555</v>
      </c>
      <c r="D14" s="114">
        <f>SUM(D7:D13)</f>
        <v>0</v>
      </c>
      <c r="E14" s="115">
        <f>SUM(E5:E13)</f>
        <v>0</v>
      </c>
      <c r="F14" s="119">
        <f>SUM(F7:F13)</f>
        <v>16</v>
      </c>
      <c r="G14" s="162"/>
      <c r="H14" s="169"/>
      <c r="I14" s="170"/>
      <c r="J14" s="217" t="str">
        <f>+'30'!J14</f>
        <v>TW 22 RC HW</v>
      </c>
      <c r="K14" s="242"/>
      <c r="L14" s="242"/>
      <c r="M14" s="120">
        <f>+L14+'30'!M14+K14</f>
        <v>387590</v>
      </c>
      <c r="Q14" s="152">
        <f>480-Q13</f>
        <v>0</v>
      </c>
      <c r="R14" s="179">
        <f>+R13/Q13</f>
        <v>1090.3333333333333</v>
      </c>
      <c r="S14" s="179">
        <f>+S13/Q13</f>
        <v>850.45999999999992</v>
      </c>
      <c r="X14" s="152">
        <f>480-X13</f>
        <v>-135</v>
      </c>
      <c r="Y14" s="179">
        <f>+Y13/X13</f>
        <v>1110.0162601626016</v>
      </c>
      <c r="Z14" s="179">
        <f>+Z13/X13</f>
        <v>865.81268292682932</v>
      </c>
    </row>
    <row r="15" spans="1:26" ht="13.5" customHeight="1" thickBot="1">
      <c r="A15" s="793" t="s">
        <v>432</v>
      </c>
      <c r="B15" s="168"/>
      <c r="C15" s="116">
        <f>C14/($C$23+$D$23+$E$23)</f>
        <v>1.1495729463231721</v>
      </c>
      <c r="D15" s="117">
        <f>D14/($C$23+$D$23+$E$23)</f>
        <v>0</v>
      </c>
      <c r="E15" s="118">
        <f>E14/($C$23+$D$23+$E$23)</f>
        <v>0</v>
      </c>
      <c r="F15" s="231"/>
      <c r="G15" s="232" t="s">
        <v>13</v>
      </c>
      <c r="H15" s="233" t="s">
        <v>391</v>
      </c>
      <c r="I15" s="796" t="s">
        <v>771</v>
      </c>
      <c r="J15" s="217" t="str">
        <f>+'30'!J15</f>
        <v>T 14,5 RC HW</v>
      </c>
      <c r="K15" s="242"/>
      <c r="L15" s="242"/>
      <c r="M15" s="120">
        <f>+L15+'30'!M15+K15</f>
        <v>27261</v>
      </c>
    </row>
    <row r="16" spans="1:26" ht="13.5" thickBot="1">
      <c r="A16" s="799"/>
      <c r="B16" s="224" t="s">
        <v>434</v>
      </c>
      <c r="C16" s="225">
        <v>7971</v>
      </c>
      <c r="D16" s="226"/>
      <c r="E16" s="227"/>
      <c r="F16" s="231">
        <v>8</v>
      </c>
      <c r="G16" s="583" t="s">
        <v>13</v>
      </c>
      <c r="H16" s="233" t="s">
        <v>474</v>
      </c>
      <c r="I16" s="797"/>
      <c r="J16" s="217" t="str">
        <f>+'30'!J16</f>
        <v>T 13 RC HW</v>
      </c>
      <c r="K16" s="232"/>
      <c r="L16" s="232"/>
      <c r="M16" s="120">
        <f>+L16+'30'!M16+K16</f>
        <v>54395</v>
      </c>
      <c r="N16" s="152" t="s">
        <v>414</v>
      </c>
      <c r="O16" s="152">
        <v>1180</v>
      </c>
      <c r="P16" s="152">
        <f t="shared" ref="P16" si="5">+O16-(O16*0.22)</f>
        <v>920.4</v>
      </c>
      <c r="Q16" s="152">
        <f>60*2+15</f>
        <v>135</v>
      </c>
      <c r="R16" s="152">
        <f t="shared" ref="R16:R19" si="6">+O16*Q16</f>
        <v>159300</v>
      </c>
      <c r="S16" s="152">
        <f t="shared" ref="S16:S19" si="7">+P16*Q16</f>
        <v>124254</v>
      </c>
    </row>
    <row r="17" spans="1:26" ht="13.5" thickBot="1">
      <c r="A17" s="799"/>
      <c r="B17" s="218" t="s">
        <v>562</v>
      </c>
      <c r="C17" s="219">
        <v>6430</v>
      </c>
      <c r="D17" s="220"/>
      <c r="E17" s="228"/>
      <c r="F17" s="231">
        <v>10</v>
      </c>
      <c r="G17" s="583" t="s">
        <v>13</v>
      </c>
      <c r="H17" s="236" t="s">
        <v>456</v>
      </c>
      <c r="I17" s="797"/>
      <c r="J17" s="217" t="str">
        <f>+'30'!J17</f>
        <v>T 15 RC HW</v>
      </c>
      <c r="K17" s="232"/>
      <c r="L17" s="232"/>
      <c r="M17" s="120">
        <f>+L17+'30'!M17+K17</f>
        <v>148885</v>
      </c>
      <c r="N17" s="152" t="s">
        <v>545</v>
      </c>
      <c r="O17" s="152">
        <v>1100</v>
      </c>
      <c r="P17" s="152">
        <f>+O17-(O17*0.14)</f>
        <v>946</v>
      </c>
      <c r="Q17" s="152">
        <f>480-Q16</f>
        <v>345</v>
      </c>
      <c r="R17" s="152">
        <f t="shared" si="6"/>
        <v>379500</v>
      </c>
      <c r="S17" s="152">
        <f t="shared" si="7"/>
        <v>326370</v>
      </c>
      <c r="U17" s="152" t="s">
        <v>545</v>
      </c>
      <c r="V17" s="152">
        <v>1100</v>
      </c>
      <c r="W17" s="152">
        <v>946</v>
      </c>
      <c r="X17" s="152">
        <v>345</v>
      </c>
      <c r="Y17" s="152">
        <f t="shared" ref="Y17:Y20" si="8">+V17*X17</f>
        <v>379500</v>
      </c>
      <c r="Z17" s="152">
        <f t="shared" ref="Z17:Z20" si="9">+W17*X17</f>
        <v>326370</v>
      </c>
    </row>
    <row r="18" spans="1:26" ht="26.25" thickBot="1">
      <c r="A18" s="799"/>
      <c r="B18" s="218"/>
      <c r="C18" s="219"/>
      <c r="D18" s="220"/>
      <c r="E18" s="228"/>
      <c r="F18" s="231"/>
      <c r="G18" s="240" t="s">
        <v>14</v>
      </c>
      <c r="H18" s="236" t="s">
        <v>764</v>
      </c>
      <c r="I18" s="797"/>
      <c r="J18" s="217">
        <f>+'30'!J18</f>
        <v>0</v>
      </c>
      <c r="K18" s="242"/>
      <c r="L18" s="242"/>
      <c r="M18" s="120">
        <f>+L18+'30'!M18+K18</f>
        <v>0</v>
      </c>
      <c r="U18" s="152" t="s">
        <v>545</v>
      </c>
      <c r="V18" s="152">
        <v>900</v>
      </c>
      <c r="W18" s="152">
        <v>738</v>
      </c>
      <c r="X18" s="152">
        <v>34</v>
      </c>
      <c r="Y18" s="152">
        <f t="shared" si="8"/>
        <v>30600</v>
      </c>
      <c r="Z18" s="152">
        <f t="shared" si="9"/>
        <v>25092</v>
      </c>
    </row>
    <row r="19" spans="1:26" ht="198.75" customHeight="1" thickBot="1">
      <c r="A19" s="799"/>
      <c r="B19" s="218"/>
      <c r="C19" s="219"/>
      <c r="D19" s="220"/>
      <c r="E19" s="228"/>
      <c r="F19" s="238">
        <v>51</v>
      </c>
      <c r="G19" s="235" t="s">
        <v>81</v>
      </c>
      <c r="H19" s="236" t="s">
        <v>765</v>
      </c>
      <c r="I19" s="797"/>
      <c r="J19" s="217">
        <f>+'30'!J19</f>
        <v>0</v>
      </c>
      <c r="K19" s="242"/>
      <c r="L19" s="242"/>
      <c r="M19" s="120">
        <f>+L19+'30'!M19+K19</f>
        <v>0</v>
      </c>
      <c r="P19" s="152">
        <f t="shared" ref="P19" si="10">+O19-(O19*0.22)</f>
        <v>0</v>
      </c>
      <c r="R19" s="152">
        <f t="shared" si="6"/>
        <v>0</v>
      </c>
      <c r="S19" s="152">
        <f t="shared" si="7"/>
        <v>0</v>
      </c>
      <c r="V19" s="152">
        <v>1100</v>
      </c>
      <c r="W19" s="152">
        <v>902</v>
      </c>
      <c r="X19" s="152">
        <v>67</v>
      </c>
      <c r="Y19" s="152">
        <f t="shared" si="8"/>
        <v>73700</v>
      </c>
      <c r="Z19" s="152">
        <f t="shared" si="9"/>
        <v>60434</v>
      </c>
    </row>
    <row r="20" spans="1:26" ht="13.5" thickBot="1">
      <c r="A20" s="799"/>
      <c r="B20" s="218"/>
      <c r="C20" s="219"/>
      <c r="D20" s="220"/>
      <c r="E20" s="228"/>
      <c r="F20" s="231"/>
      <c r="G20" s="235"/>
      <c r="H20" s="236"/>
      <c r="I20" s="797"/>
      <c r="J20" s="217">
        <f>+'30'!J20</f>
        <v>0</v>
      </c>
      <c r="K20" s="243"/>
      <c r="L20" s="243"/>
      <c r="M20" s="120">
        <f>+L20+'30'!M20+K20</f>
        <v>0</v>
      </c>
      <c r="V20" s="152">
        <v>1100</v>
      </c>
      <c r="W20" s="152">
        <v>902</v>
      </c>
      <c r="X20" s="152">
        <v>43</v>
      </c>
      <c r="Y20" s="152">
        <f t="shared" si="8"/>
        <v>47300</v>
      </c>
      <c r="Z20" s="152">
        <f t="shared" si="9"/>
        <v>38786</v>
      </c>
    </row>
    <row r="21" spans="1:26" ht="13.5" thickBot="1">
      <c r="A21" s="799"/>
      <c r="B21" s="218"/>
      <c r="C21" s="219"/>
      <c r="D21" s="220"/>
      <c r="E21" s="228"/>
      <c r="F21" s="234"/>
      <c r="G21" s="235"/>
      <c r="H21" s="236"/>
      <c r="I21" s="797"/>
      <c r="J21" s="217">
        <f>+'30'!J21</f>
        <v>0</v>
      </c>
      <c r="K21" s="242"/>
      <c r="L21" s="242"/>
      <c r="M21" s="120">
        <f>+L21+'30'!M21+K21</f>
        <v>0</v>
      </c>
    </row>
    <row r="22" spans="1:26" ht="13.5" thickBot="1">
      <c r="A22" s="799"/>
      <c r="B22" s="218"/>
      <c r="C22" s="219"/>
      <c r="D22" s="220"/>
      <c r="E22" s="228"/>
      <c r="F22" s="239"/>
      <c r="G22" s="235"/>
      <c r="H22" s="236"/>
      <c r="I22" s="798"/>
      <c r="J22" s="217">
        <f>+'30'!J22</f>
        <v>0</v>
      </c>
      <c r="K22" s="242"/>
      <c r="L22" s="242"/>
      <c r="M22" s="120">
        <f>+L22+'30'!M22+K22</f>
        <v>0</v>
      </c>
    </row>
    <row r="23" spans="1:26" ht="13.5" thickBot="1">
      <c r="A23" s="800"/>
      <c r="B23" s="171" t="s">
        <v>3</v>
      </c>
      <c r="C23" s="103">
        <f>SUM(C16:C22)</f>
        <v>14401</v>
      </c>
      <c r="D23" s="114">
        <f>SUM(D16:D22)</f>
        <v>0</v>
      </c>
      <c r="E23" s="115">
        <f>SUM(E18:E22)</f>
        <v>0</v>
      </c>
      <c r="F23" s="119">
        <f>SUM(F15:F22)</f>
        <v>69</v>
      </c>
      <c r="G23" s="162"/>
      <c r="H23" s="169"/>
      <c r="I23" s="172"/>
      <c r="J23" s="217">
        <f>+'30'!J23</f>
        <v>0</v>
      </c>
      <c r="K23" s="242"/>
      <c r="L23" s="242"/>
      <c r="M23" s="120">
        <f>+L23+'30'!M23+K23</f>
        <v>0</v>
      </c>
      <c r="Q23" s="179">
        <f>SUM(Q16:Q22)</f>
        <v>480</v>
      </c>
      <c r="R23" s="179">
        <f>SUM(R16:R22)</f>
        <v>538800</v>
      </c>
      <c r="S23" s="179">
        <f>SUM(S16:S22)</f>
        <v>450624</v>
      </c>
    </row>
    <row r="24" spans="1:26" ht="13.5" customHeight="1" thickBot="1">
      <c r="A24" s="793" t="s">
        <v>477</v>
      </c>
      <c r="B24" s="173"/>
      <c r="C24" s="116">
        <f>C23/($C$23+$D$23+$E$23)</f>
        <v>1</v>
      </c>
      <c r="D24" s="117">
        <f>D23/($C$23+$D$23+$E$23)</f>
        <v>0</v>
      </c>
      <c r="E24" s="118">
        <f>E23/($C$23+$D$23+$E$23)</f>
        <v>0</v>
      </c>
      <c r="F24" s="239"/>
      <c r="G24" s="232" t="s">
        <v>13</v>
      </c>
      <c r="H24" s="233" t="s">
        <v>391</v>
      </c>
      <c r="I24" s="796" t="s">
        <v>770</v>
      </c>
      <c r="J24" s="217">
        <f>+'30'!J24</f>
        <v>0</v>
      </c>
      <c r="K24" s="242"/>
      <c r="L24" s="242"/>
      <c r="M24" s="120">
        <f>+L24+'30'!M24+K24</f>
        <v>0</v>
      </c>
      <c r="Q24" s="152">
        <f>480-Q23</f>
        <v>0</v>
      </c>
      <c r="R24" s="179">
        <f>+R23/Q23</f>
        <v>1122.5</v>
      </c>
      <c r="S24" s="179">
        <f>+S23/Q23</f>
        <v>938.8</v>
      </c>
      <c r="X24" s="179">
        <f>SUM(X17:X23)</f>
        <v>489</v>
      </c>
      <c r="Y24" s="179">
        <f>SUM(Y17:Y23)</f>
        <v>531100</v>
      </c>
      <c r="Z24" s="179">
        <f>SUM(Z17:Z23)</f>
        <v>450682</v>
      </c>
    </row>
    <row r="25" spans="1:26" ht="13.5" thickBot="1">
      <c r="A25" s="799"/>
      <c r="B25" s="224" t="s">
        <v>562</v>
      </c>
      <c r="C25" s="229">
        <v>2718</v>
      </c>
      <c r="D25" s="220"/>
      <c r="E25" s="228"/>
      <c r="F25" s="234">
        <v>3</v>
      </c>
      <c r="G25" s="583" t="s">
        <v>13</v>
      </c>
      <c r="H25" s="233" t="s">
        <v>455</v>
      </c>
      <c r="I25" s="797"/>
      <c r="J25" s="217">
        <f>+'30'!J25</f>
        <v>0</v>
      </c>
      <c r="K25" s="242"/>
      <c r="L25" s="242"/>
      <c r="M25" s="120">
        <f>+L25+'30'!M25+K25</f>
        <v>0</v>
      </c>
      <c r="X25" s="152">
        <f>480-X24</f>
        <v>-9</v>
      </c>
      <c r="Y25" s="179">
        <f>+Y24/X24</f>
        <v>1086.0940695296524</v>
      </c>
      <c r="Z25" s="179">
        <f>+Z24/X24</f>
        <v>921.64008179959103</v>
      </c>
    </row>
    <row r="26" spans="1:26" ht="13.5" thickBot="1">
      <c r="A26" s="799"/>
      <c r="B26" s="218"/>
      <c r="C26" s="229"/>
      <c r="D26" s="220"/>
      <c r="E26" s="230"/>
      <c r="F26" s="234">
        <v>6</v>
      </c>
      <c r="G26" s="583" t="s">
        <v>13</v>
      </c>
      <c r="H26" s="236" t="s">
        <v>724</v>
      </c>
      <c r="I26" s="797"/>
      <c r="J26" s="217">
        <f>+'30'!J26</f>
        <v>0</v>
      </c>
      <c r="K26" s="242"/>
      <c r="L26" s="242"/>
      <c r="M26" s="120">
        <f>+L26+'30'!M26+K26</f>
        <v>0</v>
      </c>
      <c r="N26" s="152" t="s">
        <v>545</v>
      </c>
      <c r="O26" s="152">
        <v>900</v>
      </c>
      <c r="P26" s="152">
        <f>+O26-(O26*0.18)</f>
        <v>738</v>
      </c>
      <c r="Q26" s="152">
        <v>34</v>
      </c>
      <c r="R26" s="152">
        <f t="shared" ref="R26:R28" si="11">+O26*Q26</f>
        <v>30600</v>
      </c>
      <c r="S26" s="152">
        <f t="shared" ref="S26:S28" si="12">+P26*Q26</f>
        <v>25092</v>
      </c>
    </row>
    <row r="27" spans="1:26" ht="26.25" thickBot="1">
      <c r="A27" s="799"/>
      <c r="B27" s="218"/>
      <c r="C27" s="219"/>
      <c r="D27" s="220"/>
      <c r="E27" s="228"/>
      <c r="F27" s="234">
        <v>8</v>
      </c>
      <c r="G27" s="240" t="s">
        <v>14</v>
      </c>
      <c r="H27" s="236" t="s">
        <v>766</v>
      </c>
      <c r="I27" s="797"/>
      <c r="J27" s="217">
        <f>+'30'!J27</f>
        <v>0</v>
      </c>
      <c r="K27" s="242"/>
      <c r="L27" s="242"/>
      <c r="M27" s="120">
        <f>+L27+'30'!M27+K27</f>
        <v>0</v>
      </c>
      <c r="O27" s="152">
        <v>1100</v>
      </c>
      <c r="P27" s="152">
        <f>+O27-(O27*0.18)</f>
        <v>902</v>
      </c>
      <c r="Q27" s="152">
        <f>60-39+46</f>
        <v>67</v>
      </c>
      <c r="R27" s="152">
        <f t="shared" si="11"/>
        <v>73700</v>
      </c>
      <c r="S27" s="152">
        <f t="shared" si="12"/>
        <v>60434</v>
      </c>
    </row>
    <row r="28" spans="1:26" ht="231" customHeight="1" thickBot="1">
      <c r="A28" s="799"/>
      <c r="B28" s="218"/>
      <c r="C28" s="219"/>
      <c r="D28" s="220"/>
      <c r="E28" s="228"/>
      <c r="F28" s="234"/>
      <c r="G28" s="583"/>
      <c r="H28" s="236" t="s">
        <v>767</v>
      </c>
      <c r="I28" s="797"/>
      <c r="J28" s="217">
        <f>+'30'!J28</f>
        <v>0</v>
      </c>
      <c r="K28" s="242"/>
      <c r="L28" s="242"/>
      <c r="M28" s="120">
        <f>+L28+'30'!M28+K28</f>
        <v>0</v>
      </c>
      <c r="O28" s="152">
        <v>1100</v>
      </c>
      <c r="P28" s="152">
        <f>+O28-(O28*0.18)</f>
        <v>902</v>
      </c>
      <c r="Q28" s="152">
        <f>60-17</f>
        <v>43</v>
      </c>
      <c r="R28" s="152">
        <f t="shared" si="11"/>
        <v>47300</v>
      </c>
      <c r="S28" s="152">
        <f t="shared" si="12"/>
        <v>38786</v>
      </c>
    </row>
    <row r="29" spans="1:26" ht="13.5" thickBot="1">
      <c r="A29" s="799"/>
      <c r="B29" s="218"/>
      <c r="C29" s="219"/>
      <c r="D29" s="220"/>
      <c r="E29" s="228"/>
      <c r="F29" s="239">
        <v>336</v>
      </c>
      <c r="G29" s="235" t="s">
        <v>81</v>
      </c>
      <c r="H29" s="236" t="s">
        <v>769</v>
      </c>
      <c r="I29" s="797"/>
      <c r="J29" s="217">
        <f>+'30'!J29</f>
        <v>0</v>
      </c>
      <c r="K29" s="242"/>
      <c r="L29" s="242"/>
      <c r="M29" s="120">
        <f>+L29+'30'!M29+K29</f>
        <v>0</v>
      </c>
      <c r="P29" s="152">
        <f t="shared" ref="P29" si="13">+O29-(O29*0.22)</f>
        <v>0</v>
      </c>
      <c r="R29" s="152">
        <f t="shared" ref="R29" si="14">+O29*Q29</f>
        <v>0</v>
      </c>
      <c r="S29" s="152">
        <f t="shared" ref="S29" si="15">+P29*Q29</f>
        <v>0</v>
      </c>
    </row>
    <row r="30" spans="1:26" ht="13.5" thickBot="1">
      <c r="A30" s="799"/>
      <c r="B30" s="218"/>
      <c r="C30" s="229"/>
      <c r="D30" s="220"/>
      <c r="E30" s="228"/>
      <c r="F30" s="239">
        <v>56</v>
      </c>
      <c r="G30" s="235" t="s">
        <v>81</v>
      </c>
      <c r="H30" s="236"/>
      <c r="I30" s="797"/>
      <c r="J30" s="217">
        <f>+'30'!J30</f>
        <v>0</v>
      </c>
      <c r="K30" s="242"/>
      <c r="L30" s="242"/>
      <c r="M30" s="120">
        <f>+L30+'30'!M30+K30</f>
        <v>0</v>
      </c>
    </row>
    <row r="31" spans="1:26" ht="13.5" thickBot="1">
      <c r="A31" s="799"/>
      <c r="B31" s="218"/>
      <c r="C31" s="229"/>
      <c r="D31" s="220"/>
      <c r="E31" s="228"/>
      <c r="F31" s="239"/>
      <c r="G31" s="240"/>
      <c r="H31" s="237"/>
      <c r="I31" s="798"/>
      <c r="J31" s="217">
        <f>+'30'!J31</f>
        <v>0</v>
      </c>
      <c r="K31" s="242"/>
      <c r="L31" s="242"/>
      <c r="M31" s="120">
        <f>+L31+'30'!M31+K31</f>
        <v>0</v>
      </c>
    </row>
    <row r="32" spans="1:26" ht="13.5" thickBot="1">
      <c r="A32" s="800"/>
      <c r="B32" s="168" t="s">
        <v>3</v>
      </c>
      <c r="C32" s="102">
        <f>SUM(C25:C31)</f>
        <v>2718</v>
      </c>
      <c r="D32" s="103">
        <f>SUM(D25:D31)</f>
        <v>0</v>
      </c>
      <c r="E32" s="104">
        <f>SUM(E25:E31)</f>
        <v>0</v>
      </c>
      <c r="F32" s="105">
        <f>SUM(F24:F31)</f>
        <v>409</v>
      </c>
      <c r="G32" s="174"/>
      <c r="H32" s="175"/>
      <c r="I32" s="172"/>
      <c r="J32" s="217">
        <f>+'30'!J32</f>
        <v>0</v>
      </c>
      <c r="K32" s="242"/>
      <c r="L32" s="246"/>
      <c r="M32" s="120">
        <f>+L32+'30'!M32+K32</f>
        <v>0</v>
      </c>
    </row>
    <row r="33" spans="1:24" ht="13.5" thickBot="1">
      <c r="A33" s="176"/>
      <c r="B33" s="177"/>
      <c r="C33" s="106">
        <f>C32/($C$32+$D$32+$E$32)</f>
        <v>1</v>
      </c>
      <c r="D33" s="107">
        <f>D32/($C$32+$D$32+$E$32)</f>
        <v>0</v>
      </c>
      <c r="E33" s="108">
        <f>E32/($C$32+$D$32+$E$32)</f>
        <v>0</v>
      </c>
      <c r="F33" s="109"/>
      <c r="G33" s="178"/>
      <c r="H33" s="179"/>
      <c r="I33" s="180"/>
      <c r="J33" s="124"/>
      <c r="K33" s="451"/>
      <c r="L33" s="216"/>
      <c r="M33" s="122"/>
      <c r="Q33" s="179">
        <f>SUM(Q26:Q32)</f>
        <v>144</v>
      </c>
      <c r="R33" s="179">
        <f>SUM(R26:R32)</f>
        <v>151600</v>
      </c>
      <c r="S33" s="179">
        <f>SUM(S26:S32)</f>
        <v>124312</v>
      </c>
    </row>
    <row r="34" spans="1:24" ht="13.5" thickBot="1">
      <c r="A34" s="801" t="s">
        <v>70</v>
      </c>
      <c r="B34" s="802"/>
      <c r="C34" s="110">
        <f>C14+C23+C32</f>
        <v>33674</v>
      </c>
      <c r="D34" s="110">
        <f>D14+D23+D32</f>
        <v>0</v>
      </c>
      <c r="E34" s="110">
        <f>E14+E23+E32</f>
        <v>0</v>
      </c>
      <c r="F34" s="111">
        <f>F14+F23+F32</f>
        <v>494</v>
      </c>
      <c r="H34" s="181"/>
      <c r="I34" s="181"/>
      <c r="J34" s="126" t="s">
        <v>29</v>
      </c>
      <c r="K34" s="127">
        <f>SUM(K7:K33)</f>
        <v>33674</v>
      </c>
      <c r="L34" s="215">
        <f>SUM(L7:L32)</f>
        <v>0</v>
      </c>
      <c r="M34" s="127">
        <f>SUM(M7:M33)</f>
        <v>1421287</v>
      </c>
      <c r="P34" s="152" t="s">
        <v>508</v>
      </c>
      <c r="Q34" s="152">
        <f>480-Q33</f>
        <v>336</v>
      </c>
      <c r="R34" s="179">
        <f>+R33/Q33</f>
        <v>1052.7777777777778</v>
      </c>
      <c r="S34" s="179">
        <f>+S33/Q33</f>
        <v>863.27777777777783</v>
      </c>
    </row>
    <row r="35" spans="1:24" ht="13.5" thickBot="1">
      <c r="A35" s="182"/>
      <c r="B35" s="183"/>
      <c r="C35" s="107">
        <f>C34/($C$34+$D$34+$E$34)</f>
        <v>1</v>
      </c>
      <c r="D35" s="107">
        <f>D34/($C$34+$D$34+$E$34)</f>
        <v>0</v>
      </c>
      <c r="E35" s="112">
        <f>E34/($C$34+$D$34+$E$34)</f>
        <v>0</v>
      </c>
      <c r="K35" s="158"/>
      <c r="L35" s="792" t="s">
        <v>187</v>
      </c>
      <c r="M35" s="792"/>
    </row>
    <row r="36" spans="1:24" ht="13.5" thickBot="1">
      <c r="A36" s="181"/>
      <c r="B36" s="181"/>
      <c r="C36" s="158"/>
      <c r="D36" s="158"/>
      <c r="E36" s="158"/>
      <c r="G36" s="158"/>
      <c r="H36" s="184"/>
      <c r="I36" s="165" t="s">
        <v>41</v>
      </c>
      <c r="J36" s="165" t="s">
        <v>42</v>
      </c>
      <c r="K36" s="185"/>
      <c r="L36" s="165" t="s">
        <v>41</v>
      </c>
      <c r="M36" s="165" t="s">
        <v>42</v>
      </c>
    </row>
    <row r="37" spans="1:24" ht="17.45" customHeight="1" thickBot="1">
      <c r="A37" s="790" t="s">
        <v>71</v>
      </c>
      <c r="B37" s="791"/>
      <c r="C37" s="165" t="s">
        <v>72</v>
      </c>
      <c r="D37" s="186" t="s">
        <v>73</v>
      </c>
      <c r="E37" s="187" t="s">
        <v>74</v>
      </c>
      <c r="F37" s="365"/>
      <c r="G37" s="367"/>
      <c r="H37" s="189" t="s">
        <v>75</v>
      </c>
      <c r="I37" s="247">
        <f>(15.5*615+16*489)/1104*G42*2.75*1104/1000000</f>
        <v>42.505835822282613</v>
      </c>
      <c r="J37" s="128">
        <f>+I37+'30'!J37</f>
        <v>1544.2013732254627</v>
      </c>
      <c r="K37" s="129" t="s">
        <v>76</v>
      </c>
      <c r="L37" s="426"/>
      <c r="M37" s="427"/>
      <c r="O37" s="152">
        <v>480</v>
      </c>
    </row>
    <row r="38" spans="1:24" ht="17.45" customHeight="1">
      <c r="A38" s="786" t="s">
        <v>13</v>
      </c>
      <c r="B38" s="787"/>
      <c r="C38" s="167">
        <f>SUMIF($G$7:$G$31,"Process",$F$7:$F$31)</f>
        <v>43</v>
      </c>
      <c r="D38" s="121">
        <f>+C38+'30'!D38</f>
        <v>1900</v>
      </c>
      <c r="E38" s="146">
        <f t="shared" ref="E38:E51" si="16">D38/60</f>
        <v>31.666666666666668</v>
      </c>
      <c r="F38" s="365">
        <v>1090.3333333333333</v>
      </c>
      <c r="G38" s="365">
        <v>850.45999999999992</v>
      </c>
      <c r="H38" s="190" t="s">
        <v>77</v>
      </c>
      <c r="I38" s="248">
        <f>16.108+14.738+2.562</f>
        <v>33.408000000000001</v>
      </c>
      <c r="J38" s="130">
        <f>+I38+'30'!J38</f>
        <v>1452.9290999999996</v>
      </c>
      <c r="K38" s="131" t="s">
        <v>76</v>
      </c>
      <c r="L38" s="428"/>
      <c r="M38" s="429"/>
      <c r="O38" s="152">
        <v>480</v>
      </c>
      <c r="Q38" s="152" t="s">
        <v>414</v>
      </c>
      <c r="R38" s="152">
        <v>1110.0162601626016</v>
      </c>
      <c r="S38" s="152">
        <v>865.81268292682932</v>
      </c>
      <c r="T38" s="152">
        <v>615</v>
      </c>
    </row>
    <row r="39" spans="1:24" ht="17.45" customHeight="1">
      <c r="A39" s="782" t="s">
        <v>14</v>
      </c>
      <c r="B39" s="783"/>
      <c r="C39" s="167">
        <f>SUMIF($G$7:$G$31,"Cleaning",$F$7:$F$31)</f>
        <v>8</v>
      </c>
      <c r="D39" s="121">
        <f>+C39+'30'!D39</f>
        <v>305</v>
      </c>
      <c r="E39" s="146">
        <f t="shared" si="16"/>
        <v>5.083333333333333</v>
      </c>
      <c r="F39" s="365">
        <v>1122.5</v>
      </c>
      <c r="G39" s="365">
        <v>938.8</v>
      </c>
      <c r="H39" s="190" t="s">
        <v>78</v>
      </c>
      <c r="I39" s="145"/>
      <c r="J39" s="132">
        <f>J37/G4</f>
        <v>49.812947523402023</v>
      </c>
      <c r="K39" s="133" t="s">
        <v>76</v>
      </c>
      <c r="L39" s="428"/>
      <c r="M39" s="429"/>
      <c r="O39" s="152">
        <v>144</v>
      </c>
      <c r="Q39" s="152" t="s">
        <v>545</v>
      </c>
      <c r="R39" s="152">
        <v>1086.0940695296524</v>
      </c>
      <c r="S39" s="152">
        <v>921.64008179959103</v>
      </c>
      <c r="T39" s="152">
        <v>489</v>
      </c>
    </row>
    <row r="40" spans="1:24" ht="17.45" customHeight="1">
      <c r="A40" s="782" t="s">
        <v>79</v>
      </c>
      <c r="B40" s="783"/>
      <c r="C40" s="167">
        <f>SUMIF($G$7:$G$31,"Mechanical",$F$7:$F$31)</f>
        <v>0</v>
      </c>
      <c r="D40" s="121">
        <f>+C40+'30'!D40</f>
        <v>120</v>
      </c>
      <c r="E40" s="146">
        <f t="shared" si="16"/>
        <v>2</v>
      </c>
      <c r="F40" s="365">
        <v>1052.7777777777778</v>
      </c>
      <c r="G40" s="365">
        <v>863.27777777777783</v>
      </c>
      <c r="H40" s="190" t="s">
        <v>80</v>
      </c>
      <c r="I40" s="121">
        <f>(K34+L34)/1000</f>
        <v>33.673999999999999</v>
      </c>
      <c r="J40" s="134">
        <f>+I40+'30'!J40</f>
        <v>1421.287</v>
      </c>
      <c r="K40" s="133" t="s">
        <v>76</v>
      </c>
      <c r="L40" s="428"/>
      <c r="M40" s="429"/>
      <c r="O40" s="152">
        <f>SUM(O37:O39)</f>
        <v>1104</v>
      </c>
      <c r="T40" s="152">
        <f>+T38+T39</f>
        <v>1104</v>
      </c>
    </row>
    <row r="41" spans="1:24" ht="17.45" customHeight="1" thickBot="1">
      <c r="A41" s="782" t="s">
        <v>81</v>
      </c>
      <c r="B41" s="783"/>
      <c r="C41" s="167">
        <f>SUMIF($G$7:$G$31,"Electrical",$F$7:$F$31)</f>
        <v>443</v>
      </c>
      <c r="D41" s="121">
        <f>+C41+'30'!D41</f>
        <v>570</v>
      </c>
      <c r="E41" s="146">
        <f t="shared" si="16"/>
        <v>9.5</v>
      </c>
      <c r="F41" s="365"/>
      <c r="G41" s="365"/>
      <c r="H41" s="190" t="s">
        <v>82</v>
      </c>
      <c r="I41" s="145"/>
      <c r="J41" s="132">
        <f>J40/G4</f>
        <v>45.847967741935484</v>
      </c>
      <c r="K41" s="133" t="s">
        <v>76</v>
      </c>
      <c r="L41" s="428"/>
      <c r="M41" s="429"/>
    </row>
    <row r="42" spans="1:24" ht="17.45" customHeight="1" thickBot="1">
      <c r="A42" s="782" t="s">
        <v>17</v>
      </c>
      <c r="B42" s="783"/>
      <c r="C42" s="167">
        <f>SUMIF($G$7:$G$31,"Instrument",$F$7:$F$31)</f>
        <v>0</v>
      </c>
      <c r="D42" s="121">
        <f>+C42+'30'!D42</f>
        <v>0</v>
      </c>
      <c r="E42" s="146">
        <f t="shared" si="16"/>
        <v>0</v>
      </c>
      <c r="F42" s="365">
        <f>+(480*F38+480*F39+144*F40)/1104</f>
        <v>1099.4202898550725</v>
      </c>
      <c r="G42" s="365">
        <f>+(480*G38+480*G39+144*G40)/1104</f>
        <v>890.54057971014493</v>
      </c>
      <c r="H42" s="190" t="s">
        <v>83</v>
      </c>
      <c r="I42" s="249" t="s">
        <v>773</v>
      </c>
      <c r="J42" s="135"/>
      <c r="K42" s="133" t="s">
        <v>84</v>
      </c>
      <c r="L42" s="428"/>
      <c r="M42" s="429"/>
      <c r="O42" s="184" t="s">
        <v>106</v>
      </c>
      <c r="P42" s="607" t="s">
        <v>776</v>
      </c>
      <c r="Q42" s="607" t="s">
        <v>777</v>
      </c>
      <c r="R42" s="607" t="s">
        <v>778</v>
      </c>
      <c r="S42" s="607" t="s">
        <v>779</v>
      </c>
      <c r="T42" s="608" t="s">
        <v>780</v>
      </c>
      <c r="U42" s="607" t="s">
        <v>781</v>
      </c>
      <c r="V42" s="609" t="s">
        <v>782</v>
      </c>
      <c r="W42" s="607" t="s">
        <v>783</v>
      </c>
      <c r="X42" s="607" t="s">
        <v>784</v>
      </c>
    </row>
    <row r="43" spans="1:24" ht="17.45" customHeight="1" thickBot="1">
      <c r="A43" s="782" t="s">
        <v>85</v>
      </c>
      <c r="B43" s="783"/>
      <c r="C43" s="167">
        <f>SUMIF($G$7:$G$31,"Water",$F$7:$F$31)</f>
        <v>0</v>
      </c>
      <c r="D43" s="121">
        <f>+C43+'30'!D43</f>
        <v>0</v>
      </c>
      <c r="E43" s="146">
        <f t="shared" si="16"/>
        <v>0</v>
      </c>
      <c r="F43" s="365"/>
      <c r="G43" s="366"/>
      <c r="H43" s="191" t="s">
        <v>86</v>
      </c>
      <c r="I43" s="121">
        <f>+Report1!AH39</f>
        <v>61.9</v>
      </c>
      <c r="J43" s="136">
        <f>+I43+'30'!J43</f>
        <v>2041.1000000000004</v>
      </c>
      <c r="K43" s="133" t="s">
        <v>76</v>
      </c>
      <c r="L43" s="430">
        <f>+Report1!AN39</f>
        <v>0</v>
      </c>
      <c r="M43" s="431">
        <f>+L43+'30'!M43</f>
        <v>0</v>
      </c>
      <c r="O43" s="610">
        <v>16</v>
      </c>
      <c r="P43" s="202">
        <v>1052.7777777777778</v>
      </c>
      <c r="Q43" s="202">
        <v>1025</v>
      </c>
      <c r="R43" s="152">
        <v>863.27777777777783</v>
      </c>
      <c r="S43" s="611">
        <f>1-(R43/P43)</f>
        <v>0.17999999999999994</v>
      </c>
      <c r="T43" s="612">
        <v>56</v>
      </c>
      <c r="U43" s="613">
        <v>275</v>
      </c>
      <c r="V43" s="614">
        <f>(P43*(1-S43)*O43*U43*T43)/100000000</f>
        <v>2.1271164444444444</v>
      </c>
      <c r="W43" s="615">
        <f>+D50/1000</f>
        <v>0</v>
      </c>
      <c r="X43" s="616">
        <f>SUM(W43:W45)/SUM(V43:V45)</f>
        <v>0</v>
      </c>
    </row>
    <row r="44" spans="1:24" ht="17.45" customHeight="1">
      <c r="A44" s="782" t="s">
        <v>18</v>
      </c>
      <c r="B44" s="783"/>
      <c r="C44" s="167">
        <f>SUMIF($G$7:$G$31,"PLN",$F$7:$F$31)</f>
        <v>0</v>
      </c>
      <c r="D44" s="121">
        <f>+C44+'30'!D44</f>
        <v>0</v>
      </c>
      <c r="E44" s="146">
        <f t="shared" si="16"/>
        <v>0</v>
      </c>
      <c r="F44" s="365"/>
      <c r="G44" s="366"/>
      <c r="H44" s="191" t="s">
        <v>87</v>
      </c>
      <c r="I44" s="121">
        <f>I43/I38</f>
        <v>1.8528496168582373</v>
      </c>
      <c r="J44" s="137">
        <f>J43/J38</f>
        <v>1.4048173444939611</v>
      </c>
      <c r="K44" s="133" t="s">
        <v>76</v>
      </c>
      <c r="L44" s="432">
        <f>+L43/I38</f>
        <v>0</v>
      </c>
      <c r="M44" s="433">
        <f>+M43/J38</f>
        <v>0</v>
      </c>
      <c r="O44" s="610"/>
      <c r="P44" s="202"/>
      <c r="Q44" s="202"/>
      <c r="S44" s="611"/>
      <c r="T44" s="612"/>
      <c r="U44" s="613"/>
      <c r="V44" s="614"/>
      <c r="W44" s="615"/>
      <c r="X44" s="616"/>
    </row>
    <row r="45" spans="1:24" ht="17.45" customHeight="1">
      <c r="A45" s="782" t="s">
        <v>19</v>
      </c>
      <c r="B45" s="783"/>
      <c r="C45" s="167">
        <f>SUMIF($G$7:$G$31,"Boiler",$F$7:$F$31)</f>
        <v>0</v>
      </c>
      <c r="D45" s="121">
        <f>+C45+'30'!D45</f>
        <v>0</v>
      </c>
      <c r="E45" s="146">
        <f t="shared" si="16"/>
        <v>0</v>
      </c>
      <c r="F45" s="365"/>
      <c r="G45" s="368"/>
      <c r="H45" s="191" t="s">
        <v>88</v>
      </c>
      <c r="I45" s="121">
        <f>I43/I40</f>
        <v>1.8382134584545939</v>
      </c>
      <c r="J45" s="137">
        <f>J43/J40</f>
        <v>1.4360927806980577</v>
      </c>
      <c r="K45" s="133" t="s">
        <v>76</v>
      </c>
      <c r="L45" s="432">
        <f>+L43/I40</f>
        <v>0</v>
      </c>
      <c r="M45" s="433">
        <f>+M43/J40</f>
        <v>0</v>
      </c>
      <c r="V45" s="152">
        <f>2134/1000</f>
        <v>2.1339999999999999</v>
      </c>
    </row>
    <row r="46" spans="1:24" ht="17.45" customHeight="1">
      <c r="A46" s="782" t="s">
        <v>89</v>
      </c>
      <c r="B46" s="783"/>
      <c r="C46" s="167">
        <f>SUMIF($G$7:$G$31,"Gas",$F$7:$F$31)</f>
        <v>0</v>
      </c>
      <c r="D46" s="121">
        <f>+C46+'30'!D46</f>
        <v>0</v>
      </c>
      <c r="E46" s="146">
        <f t="shared" si="16"/>
        <v>0</v>
      </c>
      <c r="F46" s="365"/>
      <c r="G46" s="366"/>
      <c r="H46" s="191" t="s">
        <v>90</v>
      </c>
      <c r="I46" s="143">
        <f>+SUMIF(Listrik!P38,"&gt;0")</f>
        <v>33247.799999999988</v>
      </c>
      <c r="J46" s="138">
        <f>+I46+'30'!J46</f>
        <v>1213684.74</v>
      </c>
      <c r="K46" s="133" t="s">
        <v>91</v>
      </c>
      <c r="L46" s="432">
        <f>+Listrik!AF38</f>
        <v>0</v>
      </c>
      <c r="M46" s="434">
        <f>+L46+'30'!M46</f>
        <v>0</v>
      </c>
    </row>
    <row r="47" spans="1:24" ht="17.45" customHeight="1">
      <c r="A47" s="782" t="s">
        <v>92</v>
      </c>
      <c r="B47" s="783"/>
      <c r="C47" s="167">
        <f>SUMIF($G$7:$G$31,"Gas",$F$7:$F$31)</f>
        <v>0</v>
      </c>
      <c r="D47" s="121">
        <f>+C47+'30'!D47</f>
        <v>0</v>
      </c>
      <c r="E47" s="146">
        <f t="shared" si="16"/>
        <v>0</v>
      </c>
      <c r="F47" s="365"/>
      <c r="G47" s="366"/>
      <c r="H47" s="191" t="s">
        <v>93</v>
      </c>
      <c r="I47" s="121">
        <f>I46/I38</f>
        <v>995.20474137931001</v>
      </c>
      <c r="J47" s="138">
        <f>J46/J38</f>
        <v>835.33652123837305</v>
      </c>
      <c r="K47" s="133" t="s">
        <v>25</v>
      </c>
      <c r="L47" s="432">
        <f>+L46/I38</f>
        <v>0</v>
      </c>
      <c r="M47" s="433">
        <f>+M46/J38</f>
        <v>0</v>
      </c>
    </row>
    <row r="48" spans="1:24" ht="17.45" customHeight="1">
      <c r="A48" s="782" t="s">
        <v>15</v>
      </c>
      <c r="B48" s="783"/>
      <c r="C48" s="167">
        <f>SUMIF($G$7:$G$31,"Start Up",$F$7:$F$31)</f>
        <v>0</v>
      </c>
      <c r="D48" s="121">
        <f>+C48+'30'!D48</f>
        <v>0</v>
      </c>
      <c r="E48" s="146">
        <f t="shared" si="16"/>
        <v>0</v>
      </c>
      <c r="F48" s="365"/>
      <c r="G48" s="366"/>
      <c r="H48" s="191" t="s">
        <v>94</v>
      </c>
      <c r="I48" s="121">
        <f>I46/I40</f>
        <v>987.34335095325741</v>
      </c>
      <c r="J48" s="138">
        <f>J46/J40</f>
        <v>853.93361087521373</v>
      </c>
      <c r="K48" s="133" t="s">
        <v>25</v>
      </c>
      <c r="L48" s="432">
        <f>+L46/I38</f>
        <v>0</v>
      </c>
      <c r="M48" s="433">
        <f>+M46/J40</f>
        <v>0</v>
      </c>
    </row>
    <row r="49" spans="1:13" ht="17.45" customHeight="1">
      <c r="A49" s="782" t="s">
        <v>21</v>
      </c>
      <c r="B49" s="783"/>
      <c r="C49" s="167">
        <f>SUMIF($G$7:$G$31,"Others",$F$7:$F$31)</f>
        <v>0</v>
      </c>
      <c r="D49" s="121">
        <f>+C49+'30'!D49</f>
        <v>924</v>
      </c>
      <c r="E49" s="146">
        <f t="shared" si="16"/>
        <v>15.4</v>
      </c>
      <c r="F49" s="188"/>
      <c r="H49" s="191" t="s">
        <v>95</v>
      </c>
      <c r="I49" s="121">
        <f>+Report1!AB39</f>
        <v>3889.7240125547719</v>
      </c>
      <c r="J49" s="138">
        <f>+I49+'30'!J49</f>
        <v>138624.77831155327</v>
      </c>
      <c r="K49" s="133" t="s">
        <v>96</v>
      </c>
      <c r="L49" s="428"/>
      <c r="M49" s="429"/>
    </row>
    <row r="50" spans="1:13" ht="17.45" customHeight="1">
      <c r="A50" s="782" t="s">
        <v>20</v>
      </c>
      <c r="B50" s="783"/>
      <c r="C50" s="167">
        <f>SUMIF($G$7:$G$31,"Steam",$F$7:$F$31)</f>
        <v>0</v>
      </c>
      <c r="D50" s="121">
        <f>+C50+'30'!D50</f>
        <v>0</v>
      </c>
      <c r="E50" s="146">
        <f t="shared" si="16"/>
        <v>0</v>
      </c>
      <c r="F50" s="188"/>
      <c r="H50" s="191" t="s">
        <v>97</v>
      </c>
      <c r="I50" s="143">
        <f>I49/I38</f>
        <v>116.43091512675922</v>
      </c>
      <c r="J50" s="136">
        <f>J49/J38</f>
        <v>95.410559477095816</v>
      </c>
      <c r="K50" s="133" t="s">
        <v>96</v>
      </c>
      <c r="L50" s="428"/>
      <c r="M50" s="429"/>
    </row>
    <row r="51" spans="1:13" ht="17.45" customHeight="1" thickBot="1">
      <c r="A51" s="784" t="s">
        <v>98</v>
      </c>
      <c r="B51" s="785"/>
      <c r="C51" s="167">
        <f>SUMIF($G$7:$G$31,"Planned shut",$F$7:$F$31)</f>
        <v>0</v>
      </c>
      <c r="D51" s="121">
        <f>+C51+'30'!D51</f>
        <v>0</v>
      </c>
      <c r="E51" s="146">
        <f t="shared" si="16"/>
        <v>0</v>
      </c>
      <c r="F51" s="188"/>
      <c r="H51" s="193" t="s">
        <v>99</v>
      </c>
      <c r="I51" s="144">
        <f>I49/I40</f>
        <v>115.51119595399335</v>
      </c>
      <c r="J51" s="139">
        <f>J49/J40</f>
        <v>97.534683924888682</v>
      </c>
      <c r="K51" s="140" t="s">
        <v>96</v>
      </c>
      <c r="L51" s="428"/>
      <c r="M51" s="429"/>
    </row>
    <row r="52" spans="1:13" ht="13.5" thickBot="1">
      <c r="A52" s="786" t="s">
        <v>29</v>
      </c>
      <c r="B52" s="787"/>
      <c r="C52" s="147">
        <f>SUM(C38:C51)</f>
        <v>494</v>
      </c>
      <c r="D52" s="147">
        <f>SUM(D38:D51)</f>
        <v>3819</v>
      </c>
      <c r="E52" s="148">
        <f>SUM(E38:E51)</f>
        <v>63.65</v>
      </c>
      <c r="F52" s="188"/>
      <c r="H52" s="194"/>
      <c r="I52" s="195"/>
      <c r="J52" s="141"/>
      <c r="K52" s="142"/>
      <c r="L52" s="435"/>
      <c r="M52" s="436"/>
    </row>
    <row r="53" spans="1:13" ht="13.5" thickBot="1">
      <c r="A53" s="788"/>
      <c r="B53" s="789"/>
      <c r="C53" s="149">
        <f>C52/(24*60)</f>
        <v>0.34305555555555556</v>
      </c>
      <c r="D53" s="149">
        <f>D52/(24*60*G4)</f>
        <v>8.5551075268817209E-2</v>
      </c>
      <c r="E53" s="150">
        <f>E52/(G4*24)</f>
        <v>8.5551075268817209E-2</v>
      </c>
      <c r="F53" s="188"/>
    </row>
    <row r="54" spans="1:13">
      <c r="E54" s="196"/>
      <c r="F54" s="188"/>
    </row>
    <row r="55" spans="1:13">
      <c r="E55" s="196"/>
    </row>
    <row r="56" spans="1:13">
      <c r="A56" s="197" t="s">
        <v>100</v>
      </c>
      <c r="B56" s="198"/>
      <c r="C56" s="199"/>
      <c r="D56" s="199"/>
      <c r="E56" s="199"/>
      <c r="F56" s="200"/>
      <c r="G56" s="199"/>
      <c r="H56" s="201"/>
      <c r="I56" s="202" t="s">
        <v>101</v>
      </c>
      <c r="J56" s="203">
        <f>+D34+'30'!J56</f>
        <v>2884</v>
      </c>
      <c r="K56" s="204">
        <f>J56/(J40+J56/1000)/1000</f>
        <v>2.025037723700314E-3</v>
      </c>
    </row>
    <row r="57" spans="1:13">
      <c r="A57" s="179"/>
      <c r="I57" s="202" t="s">
        <v>102</v>
      </c>
      <c r="J57" s="203">
        <f>+E34+'30'!J57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L35:M35"/>
    <mergeCell ref="A7:A14"/>
    <mergeCell ref="I7:I13"/>
    <mergeCell ref="A15:A23"/>
    <mergeCell ref="I15:I22"/>
    <mergeCell ref="A24:A32"/>
    <mergeCell ref="I24:I31"/>
    <mergeCell ref="A34:B34"/>
    <mergeCell ref="A48:B48"/>
    <mergeCell ref="A37:B37"/>
    <mergeCell ref="A38:B38"/>
    <mergeCell ref="A39:B39"/>
    <mergeCell ref="A40:B40"/>
    <mergeCell ref="A41:B41"/>
    <mergeCell ref="A42:B42"/>
    <mergeCell ref="A43:B43"/>
    <mergeCell ref="A44:B44"/>
    <mergeCell ref="A45:B45"/>
    <mergeCell ref="A46:B46"/>
    <mergeCell ref="A47:B47"/>
    <mergeCell ref="A49:B49"/>
    <mergeCell ref="A50:B50"/>
    <mergeCell ref="A51:B51"/>
    <mergeCell ref="A52:B52"/>
    <mergeCell ref="A53:B53"/>
  </mergeCells>
  <phoneticPr fontId="31" type="noConversion"/>
  <printOptions horizontalCentered="1"/>
  <pageMargins left="0.25" right="0.25" top="0.25" bottom="0.5" header="0.5" footer="0.5"/>
  <pageSetup paperSize="9" scale="60"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1"/>
  <sheetViews>
    <sheetView topLeftCell="G16" zoomScale="80" zoomScaleNormal="80" workbookViewId="0">
      <selection activeCell="J39" sqref="J34:S39"/>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9.7109375" style="152" customWidth="1"/>
    <col min="11" max="11" width="12.5703125" style="152" bestFit="1" customWidth="1"/>
    <col min="12" max="12" width="8.28515625" style="152" customWidth="1"/>
    <col min="13" max="13" width="14.710937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30</v>
      </c>
      <c r="H4" s="157" t="str">
        <f>+'1'!H4</f>
        <v>.03.26</v>
      </c>
      <c r="J4" s="152">
        <f>445+518.5+537.4</f>
        <v>1500.9</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850</v>
      </c>
      <c r="P6" s="152">
        <f>+O6-(O6*0.22)</f>
        <v>663</v>
      </c>
      <c r="Q6" s="152">
        <f>60*2+22</f>
        <v>142</v>
      </c>
      <c r="R6" s="152">
        <f t="shared" ref="R6:R8" si="0">+O6*Q6</f>
        <v>120700</v>
      </c>
      <c r="S6" s="152">
        <f t="shared" ref="S6:S8" si="1">+P6*Q6</f>
        <v>94146</v>
      </c>
    </row>
    <row r="7" spans="1:19" ht="13.5" customHeight="1" thickBot="1">
      <c r="A7" s="793" t="s">
        <v>430</v>
      </c>
      <c r="B7" s="218" t="s">
        <v>434</v>
      </c>
      <c r="C7" s="219">
        <v>16238</v>
      </c>
      <c r="D7" s="220"/>
      <c r="E7" s="221"/>
      <c r="F7" s="231"/>
      <c r="G7" s="232" t="s">
        <v>13</v>
      </c>
      <c r="H7" s="233" t="s">
        <v>391</v>
      </c>
      <c r="I7" s="796" t="s">
        <v>757</v>
      </c>
      <c r="J7" s="217" t="str">
        <f>+'29'!J7</f>
        <v>T 14 RC HW</v>
      </c>
      <c r="K7" s="241"/>
      <c r="L7" s="245"/>
      <c r="M7" s="120">
        <f>+K7+'29'!M7+L7</f>
        <v>240535</v>
      </c>
      <c r="O7" s="152">
        <v>1150</v>
      </c>
      <c r="P7" s="152">
        <f>+O7-(O7*0.215)</f>
        <v>902.75</v>
      </c>
      <c r="Q7" s="152">
        <f>480-Q6</f>
        <v>338</v>
      </c>
      <c r="R7" s="152">
        <f t="shared" si="0"/>
        <v>388700</v>
      </c>
      <c r="S7" s="152">
        <f t="shared" si="1"/>
        <v>305129.5</v>
      </c>
    </row>
    <row r="8" spans="1:19" ht="13.5" thickBot="1">
      <c r="A8" s="794"/>
      <c r="B8" s="218"/>
      <c r="C8" s="219"/>
      <c r="D8" s="220"/>
      <c r="E8" s="222"/>
      <c r="F8" s="234">
        <v>7</v>
      </c>
      <c r="G8" s="583" t="s">
        <v>13</v>
      </c>
      <c r="H8" s="233" t="s">
        <v>452</v>
      </c>
      <c r="I8" s="797"/>
      <c r="J8" s="217" t="str">
        <f>+'29'!J8</f>
        <v>T 15,5 RC HW</v>
      </c>
      <c r="K8" s="242">
        <f>+C34</f>
        <v>45555</v>
      </c>
      <c r="L8" s="242"/>
      <c r="M8" s="120">
        <f>+K8+'29'!M8+L8</f>
        <v>254801</v>
      </c>
      <c r="P8" s="152">
        <f>+O8-(O8*0.22)</f>
        <v>0</v>
      </c>
      <c r="R8" s="152">
        <f t="shared" si="0"/>
        <v>0</v>
      </c>
      <c r="S8" s="152">
        <f t="shared" si="1"/>
        <v>0</v>
      </c>
    </row>
    <row r="9" spans="1:19" ht="13.5" thickBot="1">
      <c r="A9" s="794"/>
      <c r="B9" s="218"/>
      <c r="C9" s="219"/>
      <c r="D9" s="220"/>
      <c r="E9" s="223"/>
      <c r="F9" s="231">
        <v>6</v>
      </c>
      <c r="G9" s="583" t="s">
        <v>13</v>
      </c>
      <c r="H9" s="236" t="s">
        <v>617</v>
      </c>
      <c r="I9" s="797"/>
      <c r="J9" s="217" t="str">
        <f>+'29'!J9</f>
        <v>T 13,5 RC HW</v>
      </c>
      <c r="K9" s="242"/>
      <c r="L9" s="242"/>
      <c r="M9" s="120">
        <f>+K9+'29'!M9+L9</f>
        <v>108697</v>
      </c>
    </row>
    <row r="10" spans="1:19" ht="26.25" thickBot="1">
      <c r="A10" s="794"/>
      <c r="B10" s="218"/>
      <c r="C10" s="219"/>
      <c r="D10" s="220"/>
      <c r="E10" s="222"/>
      <c r="F10" s="231">
        <v>10</v>
      </c>
      <c r="G10" s="240" t="s">
        <v>14</v>
      </c>
      <c r="H10" s="236" t="s">
        <v>755</v>
      </c>
      <c r="I10" s="797"/>
      <c r="J10" s="217" t="str">
        <f>+'29'!J10</f>
        <v>T 20 RC HW</v>
      </c>
      <c r="K10" s="242"/>
      <c r="L10" s="242"/>
      <c r="M10" s="120">
        <f>+K10+'29'!M10+L10</f>
        <v>35769</v>
      </c>
    </row>
    <row r="11" spans="1:19" ht="51.75" thickBot="1">
      <c r="A11" s="794"/>
      <c r="B11" s="218"/>
      <c r="C11" s="219"/>
      <c r="D11" s="220"/>
      <c r="E11" s="222"/>
      <c r="F11" s="231">
        <v>32</v>
      </c>
      <c r="G11" s="235" t="s">
        <v>81</v>
      </c>
      <c r="H11" s="236" t="s">
        <v>756</v>
      </c>
      <c r="I11" s="797"/>
      <c r="J11" s="217" t="str">
        <f>+'29'!J11</f>
        <v>T 17 RC HW</v>
      </c>
      <c r="K11" s="242"/>
      <c r="L11" s="242"/>
      <c r="M11" s="120">
        <f>+K11+'29'!M11+L11</f>
        <v>18517</v>
      </c>
    </row>
    <row r="12" spans="1:19" ht="13.5" thickBot="1">
      <c r="A12" s="794"/>
      <c r="B12" s="218"/>
      <c r="C12" s="219"/>
      <c r="D12" s="220"/>
      <c r="E12" s="222"/>
      <c r="F12" s="231"/>
      <c r="G12" s="235"/>
      <c r="H12" s="236"/>
      <c r="I12" s="797"/>
      <c r="J12" s="217" t="str">
        <f>+'29'!J12</f>
        <v>T 16 RC HW</v>
      </c>
      <c r="K12" s="242"/>
      <c r="L12" s="242"/>
      <c r="M12" s="120">
        <f>+K12+'29'!M12+L12</f>
        <v>38417</v>
      </c>
    </row>
    <row r="13" spans="1:19" ht="13.5" thickBot="1">
      <c r="A13" s="794"/>
      <c r="B13" s="218"/>
      <c r="C13" s="219"/>
      <c r="D13" s="219"/>
      <c r="E13" s="222"/>
      <c r="F13" s="231"/>
      <c r="G13" s="235"/>
      <c r="H13" s="236"/>
      <c r="I13" s="798"/>
      <c r="J13" s="217" t="str">
        <f>+'29'!J13</f>
        <v>N 15,5 RC HW</v>
      </c>
      <c r="K13" s="242"/>
      <c r="L13" s="242"/>
      <c r="M13" s="120">
        <f>+K13+'29'!M13+L13</f>
        <v>72746</v>
      </c>
      <c r="Q13" s="179">
        <f>SUM(Q6:Q12)</f>
        <v>480</v>
      </c>
      <c r="R13" s="179">
        <f>SUM(R6:R12)</f>
        <v>509400</v>
      </c>
      <c r="S13" s="179">
        <f>SUM(S6:S12)</f>
        <v>399275.5</v>
      </c>
    </row>
    <row r="14" spans="1:19" ht="13.5" thickBot="1">
      <c r="A14" s="795"/>
      <c r="B14" s="168" t="s">
        <v>3</v>
      </c>
      <c r="C14" s="102">
        <f>SUM(C7:C13)</f>
        <v>16238</v>
      </c>
      <c r="D14" s="114">
        <f>SUM(D7:D13)</f>
        <v>0</v>
      </c>
      <c r="E14" s="115">
        <f>SUM(E5:E13)</f>
        <v>0</v>
      </c>
      <c r="F14" s="119">
        <f>SUM(F7:F13)</f>
        <v>55</v>
      </c>
      <c r="G14" s="162"/>
      <c r="H14" s="169"/>
      <c r="I14" s="170"/>
      <c r="J14" s="217" t="str">
        <f>+'29'!J14</f>
        <v>TW 22 RC HW</v>
      </c>
      <c r="K14" s="242"/>
      <c r="L14" s="242"/>
      <c r="M14" s="120">
        <f>+K14+'29'!M14+L14</f>
        <v>387590</v>
      </c>
      <c r="Q14" s="152">
        <f>480-Q13</f>
        <v>0</v>
      </c>
      <c r="R14" s="179">
        <f>+R13/Q13</f>
        <v>1061.25</v>
      </c>
      <c r="S14" s="179">
        <f>+S13/Q13</f>
        <v>831.82395833333328</v>
      </c>
    </row>
    <row r="15" spans="1:19" ht="13.5" customHeight="1" thickBot="1">
      <c r="A15" s="793" t="s">
        <v>432</v>
      </c>
      <c r="B15" s="168"/>
      <c r="C15" s="116">
        <f>C14/($C$23+$D$23+$E$23)</f>
        <v>1.0268116858479828</v>
      </c>
      <c r="D15" s="117">
        <f>D14/($C$23+$D$23+$E$23)</f>
        <v>0</v>
      </c>
      <c r="E15" s="118">
        <f>E14/($C$23+$D$23+$E$23)</f>
        <v>0</v>
      </c>
      <c r="F15" s="231"/>
      <c r="G15" s="232" t="s">
        <v>13</v>
      </c>
      <c r="H15" s="233" t="s">
        <v>391</v>
      </c>
      <c r="I15" s="796" t="s">
        <v>740</v>
      </c>
      <c r="J15" s="217" t="str">
        <f>+'29'!J15</f>
        <v>T 14,5 RC HW</v>
      </c>
      <c r="K15" s="242"/>
      <c r="L15" s="242"/>
      <c r="M15" s="120">
        <f>+K15+'29'!M15+L15</f>
        <v>27261</v>
      </c>
    </row>
    <row r="16" spans="1:19" ht="13.5" thickBot="1">
      <c r="A16" s="799"/>
      <c r="B16" s="218" t="s">
        <v>434</v>
      </c>
      <c r="C16" s="225">
        <v>15814</v>
      </c>
      <c r="D16" s="226"/>
      <c r="E16" s="227"/>
      <c r="F16" s="231">
        <v>10</v>
      </c>
      <c r="G16" s="583" t="s">
        <v>13</v>
      </c>
      <c r="H16" s="233" t="s">
        <v>399</v>
      </c>
      <c r="I16" s="797"/>
      <c r="J16" s="217" t="str">
        <f>+'29'!J16</f>
        <v>T 13 RC HW</v>
      </c>
      <c r="K16" s="232"/>
      <c r="L16" s="232"/>
      <c r="M16" s="120">
        <f>+K16+'29'!M16+L16</f>
        <v>54395</v>
      </c>
      <c r="N16" s="152" t="s">
        <v>414</v>
      </c>
      <c r="O16" s="152">
        <v>1100</v>
      </c>
      <c r="P16" s="152">
        <f>+O16-(O16*0.22)</f>
        <v>858</v>
      </c>
      <c r="Q16" s="152">
        <f>60*3+33</f>
        <v>213</v>
      </c>
      <c r="R16" s="152">
        <f t="shared" ref="R16:R18" si="2">+O16*Q16</f>
        <v>234300</v>
      </c>
      <c r="S16" s="152">
        <f t="shared" ref="S16:S18" si="3">+P16*Q16</f>
        <v>182754</v>
      </c>
    </row>
    <row r="17" spans="1:19" ht="13.5" thickBot="1">
      <c r="A17" s="799"/>
      <c r="B17" s="218"/>
      <c r="C17" s="219"/>
      <c r="D17" s="220"/>
      <c r="E17" s="228"/>
      <c r="F17" s="231">
        <f>28-10</f>
        <v>18</v>
      </c>
      <c r="G17" s="583" t="s">
        <v>13</v>
      </c>
      <c r="H17" s="233" t="s">
        <v>510</v>
      </c>
      <c r="I17" s="797"/>
      <c r="J17" s="217" t="str">
        <f>+'29'!J17</f>
        <v>T 15 RC HW</v>
      </c>
      <c r="K17" s="232"/>
      <c r="L17" s="232"/>
      <c r="M17" s="120">
        <f>+K17+'29'!M17+L17</f>
        <v>148885</v>
      </c>
      <c r="O17" s="152">
        <v>800</v>
      </c>
      <c r="P17" s="152">
        <f t="shared" ref="P17:P18" si="4">+O17-(O17*0.22)</f>
        <v>624</v>
      </c>
      <c r="Q17" s="152">
        <f>35-33</f>
        <v>2</v>
      </c>
      <c r="R17" s="152">
        <f t="shared" si="2"/>
        <v>1600</v>
      </c>
      <c r="S17" s="152">
        <f t="shared" si="3"/>
        <v>1248</v>
      </c>
    </row>
    <row r="18" spans="1:19" ht="26.25" thickBot="1">
      <c r="A18" s="799"/>
      <c r="B18" s="218"/>
      <c r="C18" s="219"/>
      <c r="D18" s="220"/>
      <c r="E18" s="228"/>
      <c r="F18" s="231"/>
      <c r="G18" s="240" t="s">
        <v>14</v>
      </c>
      <c r="H18" s="236" t="s">
        <v>737</v>
      </c>
      <c r="I18" s="797"/>
      <c r="J18" s="217">
        <f>+'29'!J18</f>
        <v>0</v>
      </c>
      <c r="K18" s="242"/>
      <c r="L18" s="242"/>
      <c r="M18" s="120">
        <f>+K18+'29'!M18+L18</f>
        <v>0</v>
      </c>
      <c r="O18" s="152">
        <v>1100</v>
      </c>
      <c r="P18" s="152">
        <f t="shared" si="4"/>
        <v>858</v>
      </c>
      <c r="Q18" s="152">
        <f>60-35+240</f>
        <v>265</v>
      </c>
      <c r="R18" s="152">
        <f t="shared" si="2"/>
        <v>291500</v>
      </c>
      <c r="S18" s="152">
        <f t="shared" si="3"/>
        <v>227370</v>
      </c>
    </row>
    <row r="19" spans="1:19" ht="39" thickBot="1">
      <c r="A19" s="799"/>
      <c r="B19" s="218"/>
      <c r="C19" s="219"/>
      <c r="D19" s="220"/>
      <c r="E19" s="228"/>
      <c r="F19" s="238">
        <v>15</v>
      </c>
      <c r="G19" s="235" t="s">
        <v>81</v>
      </c>
      <c r="H19" s="236" t="s">
        <v>738</v>
      </c>
      <c r="I19" s="797"/>
      <c r="J19" s="217">
        <f>+'29'!J19</f>
        <v>0</v>
      </c>
      <c r="K19" s="242"/>
      <c r="L19" s="242"/>
      <c r="M19" s="120">
        <f>+K19+'29'!M19+L19</f>
        <v>0</v>
      </c>
    </row>
    <row r="20" spans="1:19" ht="13.5" thickBot="1">
      <c r="A20" s="799"/>
      <c r="B20" s="218"/>
      <c r="C20" s="219"/>
      <c r="D20" s="220"/>
      <c r="E20" s="228"/>
      <c r="F20" s="231"/>
      <c r="G20" s="235"/>
      <c r="H20" s="236"/>
      <c r="I20" s="797"/>
      <c r="J20" s="217">
        <f>+'29'!J20</f>
        <v>0</v>
      </c>
      <c r="K20" s="243"/>
      <c r="L20" s="243"/>
      <c r="M20" s="120">
        <f>+K20+'29'!M20+L20</f>
        <v>0</v>
      </c>
    </row>
    <row r="21" spans="1:19" ht="13.5" thickBot="1">
      <c r="A21" s="799"/>
      <c r="B21" s="218"/>
      <c r="C21" s="219"/>
      <c r="D21" s="220"/>
      <c r="E21" s="228"/>
      <c r="F21" s="234"/>
      <c r="G21" s="235"/>
      <c r="H21" s="236"/>
      <c r="I21" s="797"/>
      <c r="J21" s="217">
        <f>+'29'!J21</f>
        <v>0</v>
      </c>
      <c r="K21" s="242"/>
      <c r="L21" s="242"/>
      <c r="M21" s="120">
        <f>+K21+'29'!M21+L21</f>
        <v>0</v>
      </c>
    </row>
    <row r="22" spans="1:19" ht="13.5" thickBot="1">
      <c r="A22" s="799"/>
      <c r="B22" s="218"/>
      <c r="C22" s="219"/>
      <c r="D22" s="220"/>
      <c r="E22" s="228"/>
      <c r="F22" s="239"/>
      <c r="G22" s="235"/>
      <c r="H22" s="236"/>
      <c r="I22" s="798"/>
      <c r="J22" s="217">
        <f>+'29'!J22</f>
        <v>0</v>
      </c>
      <c r="K22" s="242"/>
      <c r="L22" s="242"/>
      <c r="M22" s="120">
        <f>+K22+'29'!M22+L22</f>
        <v>0</v>
      </c>
    </row>
    <row r="23" spans="1:19" ht="13.5" thickBot="1">
      <c r="A23" s="800"/>
      <c r="B23" s="171" t="s">
        <v>3</v>
      </c>
      <c r="C23" s="103">
        <f>SUM(C16:C22)</f>
        <v>15814</v>
      </c>
      <c r="D23" s="114">
        <f>SUM(D16:D22)</f>
        <v>0</v>
      </c>
      <c r="E23" s="115">
        <f>SUM(E18:E22)</f>
        <v>0</v>
      </c>
      <c r="F23" s="119">
        <f>SUM(F15:F22)</f>
        <v>43</v>
      </c>
      <c r="G23" s="162"/>
      <c r="H23" s="169"/>
      <c r="I23" s="172"/>
      <c r="J23" s="217">
        <f>+'29'!J23</f>
        <v>0</v>
      </c>
      <c r="K23" s="242"/>
      <c r="L23" s="242"/>
      <c r="M23" s="120">
        <f>+K23+'29'!M23+L23</f>
        <v>0</v>
      </c>
      <c r="Q23" s="179">
        <f>SUM(Q16:Q22)</f>
        <v>480</v>
      </c>
      <c r="R23" s="179">
        <f>SUM(R16:R22)</f>
        <v>527400</v>
      </c>
      <c r="S23" s="179">
        <f>SUM(S16:S22)</f>
        <v>411372</v>
      </c>
    </row>
    <row r="24" spans="1:19" ht="13.5" customHeight="1" thickBot="1">
      <c r="A24" s="793" t="s">
        <v>477</v>
      </c>
      <c r="B24" s="173"/>
      <c r="C24" s="116">
        <f>C23/($C$23+$D$23+$E$23)</f>
        <v>1</v>
      </c>
      <c r="D24" s="117">
        <f>D23/($C$23+$D$23+$E$23)</f>
        <v>0</v>
      </c>
      <c r="E24" s="118">
        <f>E23/($C$23+$D$23+$E$23)</f>
        <v>0</v>
      </c>
      <c r="F24" s="239"/>
      <c r="G24" s="232" t="s">
        <v>13</v>
      </c>
      <c r="H24" s="233" t="s">
        <v>391</v>
      </c>
      <c r="I24" s="796" t="s">
        <v>739</v>
      </c>
      <c r="J24" s="217">
        <f>+'29'!J24</f>
        <v>0</v>
      </c>
      <c r="K24" s="242"/>
      <c r="L24" s="242"/>
      <c r="M24" s="120">
        <f>+K24+'29'!M24+L24</f>
        <v>0</v>
      </c>
      <c r="Q24" s="152">
        <f>480-Q23</f>
        <v>0</v>
      </c>
      <c r="R24" s="179">
        <f>+R23/Q23</f>
        <v>1098.75</v>
      </c>
      <c r="S24" s="179">
        <f>+S23/Q23</f>
        <v>857.02499999999998</v>
      </c>
    </row>
    <row r="25" spans="1:19" ht="13.5" thickBot="1">
      <c r="A25" s="799"/>
      <c r="B25" s="218" t="s">
        <v>434</v>
      </c>
      <c r="C25" s="229">
        <v>13503</v>
      </c>
      <c r="D25" s="220"/>
      <c r="E25" s="228"/>
      <c r="F25" s="234">
        <v>6</v>
      </c>
      <c r="G25" s="583" t="s">
        <v>13</v>
      </c>
      <c r="H25" s="233" t="s">
        <v>399</v>
      </c>
      <c r="I25" s="797"/>
      <c r="J25" s="217">
        <f>+'29'!J25</f>
        <v>0</v>
      </c>
      <c r="K25" s="242"/>
      <c r="L25" s="242"/>
      <c r="M25" s="120">
        <f>+K25+'29'!M25+L25</f>
        <v>0</v>
      </c>
    </row>
    <row r="26" spans="1:19" ht="13.5" thickBot="1">
      <c r="A26" s="799"/>
      <c r="B26" s="218"/>
      <c r="C26" s="229"/>
      <c r="D26" s="220"/>
      <c r="E26" s="230"/>
      <c r="F26" s="234">
        <v>9</v>
      </c>
      <c r="G26" s="583" t="s">
        <v>13</v>
      </c>
      <c r="H26" s="236" t="s">
        <v>617</v>
      </c>
      <c r="I26" s="797"/>
      <c r="J26" s="217">
        <f>+'29'!J26</f>
        <v>0</v>
      </c>
      <c r="K26" s="242"/>
      <c r="L26" s="242"/>
      <c r="M26" s="120">
        <f>+K26+'29'!M26+L26</f>
        <v>0</v>
      </c>
      <c r="N26" s="152" t="s">
        <v>414</v>
      </c>
      <c r="O26" s="152">
        <v>1050</v>
      </c>
      <c r="P26" s="152">
        <f>+O26-(O26*0.22)</f>
        <v>819</v>
      </c>
      <c r="Q26" s="152">
        <f>60*3+50</f>
        <v>230</v>
      </c>
      <c r="R26" s="152">
        <f t="shared" ref="R26:R29" si="5">+O26*Q26</f>
        <v>241500</v>
      </c>
      <c r="S26" s="152">
        <f t="shared" ref="S26:S29" si="6">+P26*Q26</f>
        <v>188370</v>
      </c>
    </row>
    <row r="27" spans="1:19" ht="26.25" thickBot="1">
      <c r="A27" s="799"/>
      <c r="B27" s="218"/>
      <c r="C27" s="219"/>
      <c r="D27" s="220"/>
      <c r="E27" s="228"/>
      <c r="F27" s="234">
        <v>8</v>
      </c>
      <c r="G27" s="240" t="s">
        <v>14</v>
      </c>
      <c r="H27" s="236" t="s">
        <v>735</v>
      </c>
      <c r="I27" s="797"/>
      <c r="J27" s="217">
        <f>+'29'!J27</f>
        <v>0</v>
      </c>
      <c r="K27" s="242"/>
      <c r="L27" s="242"/>
      <c r="M27" s="120">
        <f>+K27+'29'!M27+L27</f>
        <v>0</v>
      </c>
      <c r="O27" s="152">
        <v>1180</v>
      </c>
      <c r="P27" s="152">
        <f t="shared" ref="P27:P29" si="7">+O27-(O27*0.22)</f>
        <v>920.4</v>
      </c>
      <c r="Q27" s="152">
        <f>60-50+60+1</f>
        <v>71</v>
      </c>
      <c r="R27" s="152">
        <f t="shared" si="5"/>
        <v>83780</v>
      </c>
      <c r="S27" s="152">
        <f t="shared" si="6"/>
        <v>65348.4</v>
      </c>
    </row>
    <row r="28" spans="1:19" ht="121.5" customHeight="1" thickBot="1">
      <c r="A28" s="799"/>
      <c r="B28" s="218"/>
      <c r="C28" s="219"/>
      <c r="D28" s="220"/>
      <c r="E28" s="228"/>
      <c r="F28" s="234"/>
      <c r="G28" s="235"/>
      <c r="H28" s="236" t="s">
        <v>736</v>
      </c>
      <c r="I28" s="797"/>
      <c r="J28" s="217">
        <f>+'29'!J28</f>
        <v>0</v>
      </c>
      <c r="K28" s="242"/>
      <c r="L28" s="242"/>
      <c r="M28" s="120">
        <f>+K28+'29'!M28+L28</f>
        <v>0</v>
      </c>
      <c r="O28" s="152">
        <v>1000</v>
      </c>
      <c r="P28" s="152">
        <f t="shared" si="7"/>
        <v>780</v>
      </c>
      <c r="Q28" s="152">
        <f>33-1</f>
        <v>32</v>
      </c>
      <c r="R28" s="152">
        <f t="shared" si="5"/>
        <v>32000</v>
      </c>
      <c r="S28" s="152">
        <f t="shared" si="6"/>
        <v>24960</v>
      </c>
    </row>
    <row r="29" spans="1:19" ht="13.5" thickBot="1">
      <c r="A29" s="799"/>
      <c r="B29" s="218"/>
      <c r="C29" s="219"/>
      <c r="D29" s="220"/>
      <c r="E29" s="228"/>
      <c r="F29" s="239"/>
      <c r="G29" s="235"/>
      <c r="H29" s="236"/>
      <c r="I29" s="797"/>
      <c r="J29" s="217">
        <f>+'29'!J29</f>
        <v>0</v>
      </c>
      <c r="K29" s="242"/>
      <c r="L29" s="242"/>
      <c r="M29" s="120">
        <f>+K29+'29'!M29+L29</f>
        <v>0</v>
      </c>
      <c r="O29" s="152">
        <v>950</v>
      </c>
      <c r="P29" s="152">
        <f t="shared" si="7"/>
        <v>741</v>
      </c>
      <c r="Q29" s="152">
        <f>60-33+120</f>
        <v>147</v>
      </c>
      <c r="R29" s="152">
        <f t="shared" si="5"/>
        <v>139650</v>
      </c>
      <c r="S29" s="152">
        <f t="shared" si="6"/>
        <v>108927</v>
      </c>
    </row>
    <row r="30" spans="1:19" ht="13.5" thickBot="1">
      <c r="A30" s="799"/>
      <c r="B30" s="218"/>
      <c r="C30" s="229"/>
      <c r="D30" s="220"/>
      <c r="E30" s="228"/>
      <c r="F30" s="239"/>
      <c r="G30" s="235"/>
      <c r="H30" s="236"/>
      <c r="I30" s="797"/>
      <c r="J30" s="217">
        <f>+'29'!J30</f>
        <v>0</v>
      </c>
      <c r="K30" s="242"/>
      <c r="L30" s="242"/>
      <c r="M30" s="120">
        <f>+K30+'29'!M30+L30</f>
        <v>0</v>
      </c>
    </row>
    <row r="31" spans="1:19" ht="13.5" thickBot="1">
      <c r="A31" s="799"/>
      <c r="B31" s="218"/>
      <c r="C31" s="229"/>
      <c r="D31" s="220"/>
      <c r="E31" s="228"/>
      <c r="F31" s="239"/>
      <c r="G31" s="240"/>
      <c r="H31" s="237"/>
      <c r="I31" s="798"/>
      <c r="J31" s="217">
        <f>+'29'!J31</f>
        <v>0</v>
      </c>
      <c r="K31" s="242"/>
      <c r="L31" s="242"/>
      <c r="M31" s="120">
        <f>+K31+'29'!M31+L31</f>
        <v>0</v>
      </c>
    </row>
    <row r="32" spans="1:19" ht="13.5" thickBot="1">
      <c r="A32" s="800"/>
      <c r="B32" s="168" t="s">
        <v>3</v>
      </c>
      <c r="C32" s="102">
        <f>SUM(C25:C31)</f>
        <v>13503</v>
      </c>
      <c r="D32" s="103">
        <f>SUM(D25:D31)</f>
        <v>0</v>
      </c>
      <c r="E32" s="104">
        <f>SUM(E25:E31)</f>
        <v>0</v>
      </c>
      <c r="F32" s="105">
        <f>SUM(F24:F31)</f>
        <v>23</v>
      </c>
      <c r="G32" s="174"/>
      <c r="H32" s="175"/>
      <c r="I32" s="172"/>
      <c r="J32" s="217">
        <f>+'29'!J32</f>
        <v>0</v>
      </c>
      <c r="K32" s="242"/>
      <c r="L32" s="246"/>
      <c r="M32" s="120">
        <f>+K32+'29'!M32+L32</f>
        <v>0</v>
      </c>
    </row>
    <row r="33" spans="1:19" ht="13.5" thickBot="1">
      <c r="A33" s="176"/>
      <c r="B33" s="177"/>
      <c r="C33" s="106">
        <f>C32/($C$32+$D$32+$E$32)</f>
        <v>1</v>
      </c>
      <c r="D33" s="107">
        <f>D32/($C$32+$D$32+$E$32)</f>
        <v>0</v>
      </c>
      <c r="E33" s="108">
        <f>E32/($C$32+$D$32+$E$32)</f>
        <v>0</v>
      </c>
      <c r="F33" s="109"/>
      <c r="G33" s="178"/>
      <c r="H33" s="179"/>
      <c r="I33" s="180"/>
      <c r="J33" s="124"/>
      <c r="K33" s="125"/>
      <c r="L33" s="216"/>
      <c r="M33" s="122"/>
      <c r="Q33" s="179">
        <f>SUM(Q26:Q32)</f>
        <v>480</v>
      </c>
      <c r="R33" s="179">
        <f>SUM(R26:R32)</f>
        <v>496930</v>
      </c>
      <c r="S33" s="179">
        <f>SUM(S26:S32)</f>
        <v>387605.4</v>
      </c>
    </row>
    <row r="34" spans="1:19" ht="13.5" thickBot="1">
      <c r="A34" s="801" t="s">
        <v>70</v>
      </c>
      <c r="B34" s="802"/>
      <c r="C34" s="110">
        <f>C14+C23+C32</f>
        <v>45555</v>
      </c>
      <c r="D34" s="110">
        <f>D14+D23+D32</f>
        <v>0</v>
      </c>
      <c r="E34" s="110">
        <f>E14+E23+E32</f>
        <v>0</v>
      </c>
      <c r="F34" s="111">
        <f>F14+F23+F32</f>
        <v>121</v>
      </c>
      <c r="H34" s="181"/>
      <c r="I34" s="181"/>
      <c r="J34" s="126" t="s">
        <v>29</v>
      </c>
      <c r="K34" s="127">
        <f>SUM(K7:K32)</f>
        <v>45555</v>
      </c>
      <c r="L34" s="215">
        <f>SUM(L7:L32)</f>
        <v>0</v>
      </c>
      <c r="M34" s="123">
        <f>SUM(M7:M32)</f>
        <v>1387613</v>
      </c>
      <c r="Q34" s="152">
        <f>480-Q33</f>
        <v>0</v>
      </c>
      <c r="R34" s="179">
        <f>+R33/Q33</f>
        <v>1035.2708333333333</v>
      </c>
      <c r="S34" s="179">
        <f>+S33/Q33</f>
        <v>807.51125000000002</v>
      </c>
    </row>
    <row r="35" spans="1:19" ht="13.5" thickBot="1">
      <c r="A35" s="182"/>
      <c r="B35" s="183"/>
      <c r="C35" s="107">
        <f>C34/($C$34+$D$34+$E$34)</f>
        <v>1</v>
      </c>
      <c r="D35" s="107">
        <f>D34/($C$34+$D$34+$E$34)</f>
        <v>0</v>
      </c>
      <c r="E35" s="112">
        <f>E34/($C$34+$D$34+$E$34)</f>
        <v>0</v>
      </c>
      <c r="K35" s="158"/>
      <c r="L35" s="792" t="s">
        <v>187</v>
      </c>
      <c r="M35" s="792"/>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90" t="s">
        <v>71</v>
      </c>
      <c r="B37" s="791"/>
      <c r="C37" s="165" t="s">
        <v>72</v>
      </c>
      <c r="D37" s="186" t="s">
        <v>73</v>
      </c>
      <c r="E37" s="187" t="s">
        <v>74</v>
      </c>
      <c r="F37" s="365"/>
      <c r="G37" s="367"/>
      <c r="H37" s="189" t="s">
        <v>75</v>
      </c>
      <c r="I37" s="247">
        <f>(15.5*1440)/1440*G42*2.75*1440/1000000</f>
        <v>51.075529862499998</v>
      </c>
      <c r="J37" s="128">
        <f>+I37+'29'!J37</f>
        <v>1501.6955374031802</v>
      </c>
      <c r="K37" s="129" t="s">
        <v>76</v>
      </c>
      <c r="L37" s="426"/>
      <c r="M37" s="427"/>
    </row>
    <row r="38" spans="1:19" ht="17.45" customHeight="1">
      <c r="A38" s="786" t="s">
        <v>13</v>
      </c>
      <c r="B38" s="787"/>
      <c r="C38" s="167">
        <f>SUMIF($G$7:$G$31,"Process",$F$7:$F$31)</f>
        <v>56</v>
      </c>
      <c r="D38" s="121">
        <f>+C38+'29'!D38</f>
        <v>1857</v>
      </c>
      <c r="E38" s="146">
        <f t="shared" ref="E38:E51" si="8">D38/60</f>
        <v>30.95</v>
      </c>
      <c r="F38" s="365">
        <v>1061.25</v>
      </c>
      <c r="G38" s="365">
        <v>831.82395833333328</v>
      </c>
      <c r="H38" s="190" t="s">
        <v>77</v>
      </c>
      <c r="I38" s="248">
        <f>16.554+16.271+14.408</f>
        <v>47.233000000000004</v>
      </c>
      <c r="J38" s="130">
        <f>+I38+'29'!J38</f>
        <v>1419.5210999999997</v>
      </c>
      <c r="K38" s="131" t="s">
        <v>76</v>
      </c>
      <c r="L38" s="428"/>
      <c r="M38" s="429"/>
    </row>
    <row r="39" spans="1:19" ht="17.45" customHeight="1">
      <c r="A39" s="782" t="s">
        <v>14</v>
      </c>
      <c r="B39" s="783"/>
      <c r="C39" s="167">
        <f>SUMIF($G$7:$G$31,"Cleaning",$F$7:$F$31)</f>
        <v>18</v>
      </c>
      <c r="D39" s="121">
        <f>+C39+'29'!D39</f>
        <v>297</v>
      </c>
      <c r="E39" s="146">
        <f t="shared" si="8"/>
        <v>4.95</v>
      </c>
      <c r="F39" s="365">
        <v>1098.75</v>
      </c>
      <c r="G39" s="365">
        <v>857.02499999999998</v>
      </c>
      <c r="H39" s="190" t="s">
        <v>78</v>
      </c>
      <c r="I39" s="145"/>
      <c r="J39" s="132">
        <f>J37/G4</f>
        <v>50.056517913439343</v>
      </c>
      <c r="K39" s="133" t="s">
        <v>76</v>
      </c>
      <c r="L39" s="428"/>
      <c r="M39" s="429"/>
    </row>
    <row r="40" spans="1:19" ht="17.45" customHeight="1">
      <c r="A40" s="782" t="s">
        <v>79</v>
      </c>
      <c r="B40" s="783"/>
      <c r="C40" s="167">
        <f>SUMIF($G$7:$G$31,"Mechanical",$F$7:$F$31)</f>
        <v>0</v>
      </c>
      <c r="D40" s="121">
        <f>+C40+'29'!D40</f>
        <v>120</v>
      </c>
      <c r="E40" s="146">
        <f t="shared" si="8"/>
        <v>2</v>
      </c>
      <c r="F40" s="365">
        <v>1035.2708333333333</v>
      </c>
      <c r="G40" s="365">
        <v>807.51125000000002</v>
      </c>
      <c r="H40" s="190" t="s">
        <v>80</v>
      </c>
      <c r="I40" s="121">
        <f>(K34+L34)/1000</f>
        <v>45.555</v>
      </c>
      <c r="J40" s="134">
        <f>+I40+'29'!J40</f>
        <v>1387.6130000000001</v>
      </c>
      <c r="K40" s="133" t="s">
        <v>76</v>
      </c>
      <c r="L40" s="428"/>
      <c r="M40" s="429"/>
    </row>
    <row r="41" spans="1:19" ht="17.45" customHeight="1">
      <c r="A41" s="782" t="s">
        <v>81</v>
      </c>
      <c r="B41" s="783"/>
      <c r="C41" s="167">
        <f>SUMIF($G$7:$G$31,"Electrical",$F$7:$F$31)</f>
        <v>47</v>
      </c>
      <c r="D41" s="121">
        <f>+C41+'29'!D41</f>
        <v>127</v>
      </c>
      <c r="E41" s="146">
        <f t="shared" si="8"/>
        <v>2.1166666666666667</v>
      </c>
      <c r="F41" s="365"/>
      <c r="G41" s="365"/>
      <c r="H41" s="190" t="s">
        <v>82</v>
      </c>
      <c r="I41" s="145"/>
      <c r="J41" s="132">
        <f>J40/G4</f>
        <v>46.253766666666671</v>
      </c>
      <c r="K41" s="133" t="s">
        <v>76</v>
      </c>
      <c r="L41" s="428"/>
      <c r="M41" s="429"/>
    </row>
    <row r="42" spans="1:19" ht="17.45" customHeight="1">
      <c r="A42" s="782" t="s">
        <v>17</v>
      </c>
      <c r="B42" s="783"/>
      <c r="C42" s="167">
        <f>SUMIF($G$7:$G$31,"Instrument",$F$7:$F$31)</f>
        <v>0</v>
      </c>
      <c r="D42" s="121">
        <f>+C42+'29'!D42</f>
        <v>0</v>
      </c>
      <c r="E42" s="146">
        <f t="shared" si="8"/>
        <v>0</v>
      </c>
      <c r="F42" s="365">
        <f>+(F38*480+F39*480+F40*480)/1440</f>
        <v>1065.0902777777778</v>
      </c>
      <c r="G42" s="365">
        <f>+(G38*480+G39*480+G40*480)/1440</f>
        <v>832.12006944444443</v>
      </c>
      <c r="H42" s="190" t="s">
        <v>83</v>
      </c>
      <c r="I42" s="249" t="s">
        <v>758</v>
      </c>
      <c r="J42" s="135"/>
      <c r="K42" s="133" t="s">
        <v>84</v>
      </c>
      <c r="L42" s="428"/>
      <c r="M42" s="429"/>
    </row>
    <row r="43" spans="1:19" ht="17.45" customHeight="1">
      <c r="A43" s="782" t="s">
        <v>85</v>
      </c>
      <c r="B43" s="783"/>
      <c r="C43" s="167">
        <f>SUMIF($G$7:$G$31,"Water",$F$7:$F$31)</f>
        <v>0</v>
      </c>
      <c r="D43" s="121">
        <f>+C43+'29'!D43</f>
        <v>0</v>
      </c>
      <c r="E43" s="146">
        <f t="shared" si="8"/>
        <v>0</v>
      </c>
      <c r="F43" s="365"/>
      <c r="G43" s="366"/>
      <c r="H43" s="191" t="s">
        <v>86</v>
      </c>
      <c r="I43" s="121">
        <f>+Report1!AH38</f>
        <v>69.3</v>
      </c>
      <c r="J43" s="136">
        <f>+I43+'29'!J43</f>
        <v>1979.2000000000003</v>
      </c>
      <c r="K43" s="133" t="s">
        <v>76</v>
      </c>
      <c r="L43" s="430">
        <f>+Report1!AN38</f>
        <v>0</v>
      </c>
      <c r="M43" s="431">
        <f>+L43+'29'!M43</f>
        <v>0</v>
      </c>
    </row>
    <row r="44" spans="1:19" ht="17.45" customHeight="1">
      <c r="A44" s="782" t="s">
        <v>18</v>
      </c>
      <c r="B44" s="783"/>
      <c r="C44" s="167">
        <f>SUMIF($G$7:$G$31,"PLN",$F$7:$F$31)</f>
        <v>0</v>
      </c>
      <c r="D44" s="121">
        <f>+C44+'29'!D44</f>
        <v>0</v>
      </c>
      <c r="E44" s="146">
        <f t="shared" si="8"/>
        <v>0</v>
      </c>
      <c r="F44" s="365"/>
      <c r="G44" s="366"/>
      <c r="H44" s="191" t="s">
        <v>87</v>
      </c>
      <c r="I44" s="121">
        <f>I43/I38</f>
        <v>1.467194546185929</v>
      </c>
      <c r="J44" s="137">
        <f>J43/J38</f>
        <v>1.3942730403936938</v>
      </c>
      <c r="K44" s="133" t="s">
        <v>76</v>
      </c>
      <c r="L44" s="432">
        <f>+L43/I38</f>
        <v>0</v>
      </c>
      <c r="M44" s="433">
        <f>+M43/J38</f>
        <v>0</v>
      </c>
    </row>
    <row r="45" spans="1:19" ht="17.45" customHeight="1">
      <c r="A45" s="782" t="s">
        <v>19</v>
      </c>
      <c r="B45" s="783"/>
      <c r="C45" s="167">
        <f>SUMIF($G$7:$G$31,"Boiler",$F$7:$F$31)</f>
        <v>0</v>
      </c>
      <c r="D45" s="121">
        <f>+C45+'29'!D45</f>
        <v>0</v>
      </c>
      <c r="E45" s="146">
        <f t="shared" si="8"/>
        <v>0</v>
      </c>
      <c r="F45" s="365"/>
      <c r="G45" s="368"/>
      <c r="H45" s="191" t="s">
        <v>88</v>
      </c>
      <c r="I45" s="121">
        <f>I43/I40</f>
        <v>1.5212380638788277</v>
      </c>
      <c r="J45" s="137">
        <f>J43/J40</f>
        <v>1.4263342877300804</v>
      </c>
      <c r="K45" s="133" t="s">
        <v>76</v>
      </c>
      <c r="L45" s="432">
        <f>+L43/I40</f>
        <v>0</v>
      </c>
      <c r="M45" s="433">
        <f>+M43/J40</f>
        <v>0</v>
      </c>
    </row>
    <row r="46" spans="1:19" ht="17.45" customHeight="1">
      <c r="A46" s="782" t="s">
        <v>89</v>
      </c>
      <c r="B46" s="783"/>
      <c r="C46" s="167">
        <f>SUMIF($G$7:$G$31,"Gas",$F$7:$F$31)</f>
        <v>0</v>
      </c>
      <c r="D46" s="121">
        <f>+C46+'29'!D46</f>
        <v>0</v>
      </c>
      <c r="E46" s="146">
        <f t="shared" si="8"/>
        <v>0</v>
      </c>
      <c r="F46" s="365"/>
      <c r="G46" s="366"/>
      <c r="H46" s="191" t="s">
        <v>90</v>
      </c>
      <c r="I46" s="143">
        <f>+SUMIF(Listrik!P37,"&gt;0")</f>
        <v>41859.080000000067</v>
      </c>
      <c r="J46" s="138">
        <f>+I46+'29'!J46</f>
        <v>1180436.94</v>
      </c>
      <c r="K46" s="133" t="s">
        <v>91</v>
      </c>
      <c r="L46" s="432">
        <f>+Listrik!AF37</f>
        <v>0</v>
      </c>
      <c r="M46" s="434">
        <f>+L46+'29'!M46</f>
        <v>0</v>
      </c>
    </row>
    <row r="47" spans="1:19" ht="17.45" customHeight="1">
      <c r="A47" s="782" t="s">
        <v>92</v>
      </c>
      <c r="B47" s="783"/>
      <c r="C47" s="167">
        <f>SUMIF($G$7:$G$31,"Gas",$F$7:$F$31)</f>
        <v>0</v>
      </c>
      <c r="D47" s="121">
        <f>+C47+'29'!D47</f>
        <v>0</v>
      </c>
      <c r="E47" s="146">
        <f t="shared" si="8"/>
        <v>0</v>
      </c>
      <c r="F47" s="365"/>
      <c r="G47" s="366"/>
      <c r="H47" s="191" t="s">
        <v>93</v>
      </c>
      <c r="I47" s="121">
        <f>I46/I38</f>
        <v>886.22530857663207</v>
      </c>
      <c r="J47" s="138">
        <f>J46/J38</f>
        <v>831.57407100183309</v>
      </c>
      <c r="K47" s="133" t="s">
        <v>25</v>
      </c>
      <c r="L47" s="432">
        <f>+L46/I38</f>
        <v>0</v>
      </c>
      <c r="M47" s="433">
        <f>+M46/J38</f>
        <v>0</v>
      </c>
    </row>
    <row r="48" spans="1:19" ht="17.45" customHeight="1">
      <c r="A48" s="782" t="s">
        <v>15</v>
      </c>
      <c r="B48" s="783"/>
      <c r="C48" s="167">
        <f>SUMIF($G$7:$G$31,"Start Up",$F$7:$F$31)</f>
        <v>0</v>
      </c>
      <c r="D48" s="121">
        <f>+C48+'29'!D48</f>
        <v>0</v>
      </c>
      <c r="E48" s="146">
        <f t="shared" si="8"/>
        <v>0</v>
      </c>
      <c r="F48" s="365"/>
      <c r="G48" s="366"/>
      <c r="H48" s="191" t="s">
        <v>94</v>
      </c>
      <c r="I48" s="121">
        <f>I46/I40</f>
        <v>918.86905937877441</v>
      </c>
      <c r="J48" s="138">
        <f>J46/J40</f>
        <v>850.69608024715819</v>
      </c>
      <c r="K48" s="133" t="s">
        <v>25</v>
      </c>
      <c r="L48" s="432">
        <f>+L46/I38</f>
        <v>0</v>
      </c>
      <c r="M48" s="433">
        <f>+M46/J40</f>
        <v>0</v>
      </c>
    </row>
    <row r="49" spans="1:13" ht="17.45" customHeight="1">
      <c r="A49" s="782" t="s">
        <v>21</v>
      </c>
      <c r="B49" s="783"/>
      <c r="C49" s="167">
        <f>SUMIF($G$7:$G$31,"Others",$F$7:$F$31)</f>
        <v>0</v>
      </c>
      <c r="D49" s="121">
        <f>+C49+'29'!D49</f>
        <v>924</v>
      </c>
      <c r="E49" s="146">
        <f t="shared" si="8"/>
        <v>15.4</v>
      </c>
      <c r="F49" s="188"/>
      <c r="H49" s="191" t="s">
        <v>95</v>
      </c>
      <c r="I49" s="121">
        <f>+Report1!AB38</f>
        <v>4702.5984600563843</v>
      </c>
      <c r="J49" s="138">
        <f>+I49+'29'!J49</f>
        <v>134735.0542989985</v>
      </c>
      <c r="K49" s="133" t="s">
        <v>96</v>
      </c>
      <c r="L49" s="428"/>
      <c r="M49" s="429"/>
    </row>
    <row r="50" spans="1:13" ht="17.45" customHeight="1">
      <c r="A50" s="782" t="s">
        <v>20</v>
      </c>
      <c r="B50" s="783"/>
      <c r="C50" s="167">
        <f>SUMIF($G$7:$G$31,"Steam",$F$7:$F$31)</f>
        <v>0</v>
      </c>
      <c r="D50" s="121">
        <f>+C50+'29'!D50</f>
        <v>0</v>
      </c>
      <c r="E50" s="146">
        <f t="shared" si="8"/>
        <v>0</v>
      </c>
      <c r="F50" s="188"/>
      <c r="H50" s="191" t="s">
        <v>97</v>
      </c>
      <c r="I50" s="143">
        <f>I49/I38</f>
        <v>99.561714480477292</v>
      </c>
      <c r="J50" s="136">
        <f>J49/J38</f>
        <v>94.915851760849861</v>
      </c>
      <c r="K50" s="133" t="s">
        <v>96</v>
      </c>
      <c r="L50" s="428"/>
      <c r="M50" s="429"/>
    </row>
    <row r="51" spans="1:13" ht="17.45" customHeight="1" thickBot="1">
      <c r="A51" s="784" t="s">
        <v>98</v>
      </c>
      <c r="B51" s="785"/>
      <c r="C51" s="167">
        <f>SUMIF($G$7:$G$31,"Planned shut",$F$7:$F$31)</f>
        <v>0</v>
      </c>
      <c r="D51" s="121">
        <f>+C51+'29'!D51</f>
        <v>0</v>
      </c>
      <c r="E51" s="146">
        <f t="shared" si="8"/>
        <v>0</v>
      </c>
      <c r="F51" s="188"/>
      <c r="H51" s="193" t="s">
        <v>99</v>
      </c>
      <c r="I51" s="144">
        <f>I49/I40</f>
        <v>103.22902996501776</v>
      </c>
      <c r="J51" s="139">
        <f>J49/J40</f>
        <v>97.098437603999457</v>
      </c>
      <c r="K51" s="140" t="s">
        <v>96</v>
      </c>
      <c r="L51" s="428"/>
      <c r="M51" s="429"/>
    </row>
    <row r="52" spans="1:13" ht="13.5" thickBot="1">
      <c r="A52" s="786" t="s">
        <v>29</v>
      </c>
      <c r="B52" s="787"/>
      <c r="C52" s="147">
        <f>SUM(C38:C51)</f>
        <v>121</v>
      </c>
      <c r="D52" s="147">
        <f>SUM(D38:D51)</f>
        <v>3325</v>
      </c>
      <c r="E52" s="148">
        <f>SUM(E38:E51)</f>
        <v>55.416666666666664</v>
      </c>
      <c r="F52" s="188"/>
      <c r="H52" s="194"/>
      <c r="I52" s="195"/>
      <c r="J52" s="141"/>
      <c r="K52" s="142"/>
      <c r="L52" s="435"/>
      <c r="M52" s="436"/>
    </row>
    <row r="53" spans="1:13" ht="13.5" thickBot="1">
      <c r="A53" s="788"/>
      <c r="B53" s="789"/>
      <c r="C53" s="149">
        <f>C52/(24*60)</f>
        <v>8.4027777777777785E-2</v>
      </c>
      <c r="D53" s="149">
        <f>D52/(24*60*G4)</f>
        <v>7.6967592592592587E-2</v>
      </c>
      <c r="E53" s="150">
        <f>E52/(G4*24)</f>
        <v>7.6967592592592587E-2</v>
      </c>
      <c r="F53" s="188"/>
    </row>
    <row r="54" spans="1:13">
      <c r="E54" s="196"/>
      <c r="F54" s="188"/>
    </row>
    <row r="55" spans="1:13">
      <c r="E55" s="196"/>
    </row>
    <row r="56" spans="1:13">
      <c r="A56" s="197" t="s">
        <v>100</v>
      </c>
      <c r="B56" s="198"/>
      <c r="C56" s="199"/>
      <c r="D56" s="199"/>
      <c r="E56" s="199"/>
      <c r="F56" s="200"/>
      <c r="G56" s="199"/>
      <c r="H56" s="201"/>
      <c r="I56" s="202" t="s">
        <v>101</v>
      </c>
      <c r="J56" s="203">
        <f>+D34+'29'!J56</f>
        <v>2884</v>
      </c>
      <c r="K56" s="204">
        <f>J56/(J40+J56/1000)/1000</f>
        <v>2.0740785488929498E-3</v>
      </c>
    </row>
    <row r="57" spans="1:13">
      <c r="A57" s="179"/>
      <c r="I57" s="202" t="s">
        <v>102</v>
      </c>
      <c r="J57" s="203">
        <f>+E34+'29'!J57</f>
        <v>0</v>
      </c>
      <c r="K57" s="204">
        <f>J57/(J40+J57/1000)/1000</f>
        <v>0</v>
      </c>
      <c r="M57" s="158">
        <f>+M34-Efficiency1!W173*1000</f>
        <v>-33674.000000000233</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1"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Y61"/>
  <sheetViews>
    <sheetView zoomScale="80" zoomScaleNormal="80" workbookViewId="0">
      <selection activeCell="A7" sqref="A7:A32"/>
    </sheetView>
  </sheetViews>
  <sheetFormatPr defaultColWidth="9.140625" defaultRowHeight="12.75"/>
  <cols>
    <col min="1" max="1" width="8" style="152" customWidth="1"/>
    <col min="2" max="2" width="10.42578125" style="152"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6.85546875" style="152" customWidth="1"/>
    <col min="11" max="11" width="12.5703125" style="152" bestFit="1" customWidth="1"/>
    <col min="12" max="12" width="8.28515625" style="152" customWidth="1"/>
    <col min="13" max="13" width="15.425781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29</v>
      </c>
      <c r="H4" s="157" t="str">
        <f>+'1'!H4</f>
        <v>.03.26</v>
      </c>
      <c r="J4" s="152">
        <f>459.1+498.7+520.6</f>
        <v>1478.4</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1150</v>
      </c>
      <c r="P6" s="152">
        <f>+O6-(O6*0.22)</f>
        <v>897</v>
      </c>
      <c r="Q6" s="152">
        <v>480</v>
      </c>
      <c r="R6" s="152">
        <f t="shared" ref="R6:R7" si="0">+O6*Q6</f>
        <v>552000</v>
      </c>
      <c r="S6" s="152">
        <f t="shared" ref="S6:S7" si="1">+P6*Q6</f>
        <v>430560</v>
      </c>
    </row>
    <row r="7" spans="1:19" ht="13.5" customHeight="1" thickBot="1">
      <c r="A7" s="793" t="s">
        <v>430</v>
      </c>
      <c r="B7" s="218" t="s">
        <v>434</v>
      </c>
      <c r="C7" s="219">
        <v>16376</v>
      </c>
      <c r="D7" s="220"/>
      <c r="E7" s="221"/>
      <c r="F7" s="231"/>
      <c r="G7" s="232" t="s">
        <v>13</v>
      </c>
      <c r="H7" s="233" t="s">
        <v>391</v>
      </c>
      <c r="I7" s="796" t="s">
        <v>632</v>
      </c>
      <c r="J7" s="217" t="str">
        <f>+'28'!J7</f>
        <v>T 14 RC HW</v>
      </c>
      <c r="K7" s="241"/>
      <c r="L7" s="245"/>
      <c r="M7" s="120">
        <f>+K7+'28'!M7+L7</f>
        <v>240535</v>
      </c>
      <c r="O7" s="152">
        <v>1150</v>
      </c>
      <c r="P7" s="152">
        <f>+O7-(O7*0.22)</f>
        <v>897</v>
      </c>
      <c r="Q7" s="152">
        <v>480</v>
      </c>
      <c r="R7" s="152">
        <f t="shared" si="0"/>
        <v>552000</v>
      </c>
      <c r="S7" s="152">
        <f t="shared" si="1"/>
        <v>430560</v>
      </c>
    </row>
    <row r="8" spans="1:19" ht="13.5" thickBot="1">
      <c r="A8" s="794"/>
      <c r="B8" s="218"/>
      <c r="C8" s="219"/>
      <c r="D8" s="220"/>
      <c r="E8" s="222"/>
      <c r="F8" s="234">
        <v>5</v>
      </c>
      <c r="G8" s="583" t="s">
        <v>13</v>
      </c>
      <c r="H8" s="233" t="s">
        <v>474</v>
      </c>
      <c r="I8" s="797"/>
      <c r="J8" s="217" t="str">
        <f>+'28'!J8</f>
        <v>T 15,5 RC HW</v>
      </c>
      <c r="K8" s="242">
        <f>+C34</f>
        <v>50317</v>
      </c>
      <c r="L8" s="242"/>
      <c r="M8" s="120">
        <f>+K8+'28'!M8+L8</f>
        <v>209246</v>
      </c>
      <c r="O8" s="152">
        <v>1150</v>
      </c>
      <c r="P8" s="152">
        <f>+O8-(O8*0.22)</f>
        <v>897</v>
      </c>
      <c r="Q8" s="152">
        <v>480</v>
      </c>
      <c r="R8" s="152">
        <f t="shared" ref="R8" si="2">+O8*Q8</f>
        <v>552000</v>
      </c>
      <c r="S8" s="152">
        <f t="shared" ref="S8" si="3">+P8*Q8</f>
        <v>430560</v>
      </c>
    </row>
    <row r="9" spans="1:19" ht="13.5" thickBot="1">
      <c r="A9" s="794"/>
      <c r="B9" s="218"/>
      <c r="C9" s="219"/>
      <c r="D9" s="220"/>
      <c r="E9" s="223"/>
      <c r="F9" s="231">
        <v>6</v>
      </c>
      <c r="G9" s="583" t="s">
        <v>13</v>
      </c>
      <c r="H9" s="236" t="s">
        <v>473</v>
      </c>
      <c r="I9" s="797"/>
      <c r="J9" s="217" t="str">
        <f>+'28'!J9</f>
        <v>T 13,5 RC HW</v>
      </c>
      <c r="K9" s="242"/>
      <c r="L9" s="242"/>
      <c r="M9" s="120">
        <f>+K9+'28'!M9+L9</f>
        <v>108697</v>
      </c>
    </row>
    <row r="10" spans="1:19" ht="26.25" thickBot="1">
      <c r="A10" s="794"/>
      <c r="B10" s="218"/>
      <c r="C10" s="219"/>
      <c r="D10" s="220"/>
      <c r="E10" s="222"/>
      <c r="F10" s="231">
        <v>10</v>
      </c>
      <c r="G10" s="240" t="s">
        <v>14</v>
      </c>
      <c r="H10" s="236" t="s">
        <v>754</v>
      </c>
      <c r="I10" s="797"/>
      <c r="J10" s="217" t="str">
        <f>+'28'!J10</f>
        <v>T 20 RC HW</v>
      </c>
      <c r="K10" s="242"/>
      <c r="L10" s="242"/>
      <c r="M10" s="120">
        <f>+K10+'28'!M10+L10</f>
        <v>35769</v>
      </c>
    </row>
    <row r="11" spans="1:19" ht="13.5" thickBot="1">
      <c r="A11" s="794"/>
      <c r="B11" s="218"/>
      <c r="C11" s="219"/>
      <c r="D11" s="220"/>
      <c r="E11" s="222"/>
      <c r="F11" s="231"/>
      <c r="G11" s="235"/>
      <c r="H11" s="236"/>
      <c r="I11" s="797"/>
      <c r="J11" s="217" t="str">
        <f>+'28'!J11</f>
        <v>T 17 RC HW</v>
      </c>
      <c r="K11" s="242"/>
      <c r="L11" s="242"/>
      <c r="M11" s="120">
        <f>+K11+'28'!M11+L11</f>
        <v>18517</v>
      </c>
    </row>
    <row r="12" spans="1:19" ht="13.5" thickBot="1">
      <c r="A12" s="794"/>
      <c r="B12" s="218"/>
      <c r="C12" s="219"/>
      <c r="D12" s="220"/>
      <c r="E12" s="222"/>
      <c r="F12" s="231"/>
      <c r="G12" s="235"/>
      <c r="H12" s="236"/>
      <c r="I12" s="797"/>
      <c r="J12" s="217" t="str">
        <f>+'28'!J12</f>
        <v>T 16 RC HW</v>
      </c>
      <c r="K12" s="242"/>
      <c r="L12" s="242"/>
      <c r="M12" s="120">
        <f>+K12+'28'!M12+L12</f>
        <v>38417</v>
      </c>
    </row>
    <row r="13" spans="1:19" ht="13.5" thickBot="1">
      <c r="A13" s="794"/>
      <c r="B13" s="218"/>
      <c r="C13" s="219"/>
      <c r="D13" s="219"/>
      <c r="E13" s="222"/>
      <c r="F13" s="231"/>
      <c r="G13" s="235"/>
      <c r="H13" s="236"/>
      <c r="I13" s="798"/>
      <c r="J13" s="217" t="str">
        <f>+'28'!J13</f>
        <v>N 15,5 RC HW</v>
      </c>
      <c r="K13" s="242"/>
      <c r="L13" s="242"/>
      <c r="M13" s="120">
        <f>+K13+'28'!M13+L13</f>
        <v>72746</v>
      </c>
      <c r="Q13" s="179">
        <f>SUM(Q6:Q12)</f>
        <v>1440</v>
      </c>
      <c r="R13" s="179">
        <f>SUM(R6:R12)</f>
        <v>1656000</v>
      </c>
      <c r="S13" s="179">
        <f>SUM(S6:S12)</f>
        <v>1291680</v>
      </c>
    </row>
    <row r="14" spans="1:19" ht="13.5" thickBot="1">
      <c r="A14" s="795"/>
      <c r="B14" s="168" t="s">
        <v>3</v>
      </c>
      <c r="C14" s="102">
        <f>SUM(C7:C13)</f>
        <v>16376</v>
      </c>
      <c r="D14" s="114">
        <f>SUM(D7:D13)</f>
        <v>0</v>
      </c>
      <c r="E14" s="115">
        <f>SUM(E5:E13)</f>
        <v>0</v>
      </c>
      <c r="F14" s="105">
        <f>SUM(F6:F13)</f>
        <v>21</v>
      </c>
      <c r="G14" s="162"/>
      <c r="H14" s="169"/>
      <c r="I14" s="170"/>
      <c r="J14" s="217" t="str">
        <f>+'28'!J14</f>
        <v>TW 22 RC HW</v>
      </c>
      <c r="K14" s="242"/>
      <c r="L14" s="242"/>
      <c r="M14" s="120">
        <f>+K14+'28'!M14+L14</f>
        <v>387590</v>
      </c>
      <c r="Q14" s="152">
        <f>480-Q13</f>
        <v>-960</v>
      </c>
      <c r="R14" s="179">
        <f>+R13/Q13</f>
        <v>1150</v>
      </c>
      <c r="S14" s="179">
        <f>+S13/Q13</f>
        <v>897</v>
      </c>
    </row>
    <row r="15" spans="1:19" ht="13.5" customHeight="1" thickBot="1">
      <c r="A15" s="793" t="s">
        <v>432</v>
      </c>
      <c r="B15" s="168"/>
      <c r="C15" s="116">
        <f>C14/($C$23+$D$23+$E$23)</f>
        <v>0.95015955903684368</v>
      </c>
      <c r="D15" s="117">
        <f>D14/($C$23+$D$23+$E$23)</f>
        <v>0</v>
      </c>
      <c r="E15" s="118">
        <f>E14/($C$23+$D$23+$E$23)</f>
        <v>0</v>
      </c>
      <c r="F15" s="231"/>
      <c r="G15" s="232" t="s">
        <v>13</v>
      </c>
      <c r="H15" s="233" t="s">
        <v>391</v>
      </c>
      <c r="I15" s="796" t="s">
        <v>632</v>
      </c>
      <c r="J15" s="217" t="str">
        <f>+'28'!J15</f>
        <v>T 14,5 RC HW</v>
      </c>
      <c r="K15" s="242"/>
      <c r="L15" s="242"/>
      <c r="M15" s="120">
        <f>+K15+'28'!M15+L15</f>
        <v>27261</v>
      </c>
    </row>
    <row r="16" spans="1:19" ht="13.5" thickBot="1">
      <c r="A16" s="799"/>
      <c r="B16" s="218" t="s">
        <v>501</v>
      </c>
      <c r="C16" s="225">
        <v>17235</v>
      </c>
      <c r="D16" s="226"/>
      <c r="E16" s="227"/>
      <c r="F16" s="234">
        <v>8</v>
      </c>
      <c r="G16" s="583" t="s">
        <v>13</v>
      </c>
      <c r="H16" s="233" t="s">
        <v>474</v>
      </c>
      <c r="I16" s="797"/>
      <c r="J16" s="217" t="str">
        <f>+'28'!J16</f>
        <v>T 13 RC HW</v>
      </c>
      <c r="K16" s="242"/>
      <c r="L16" s="242"/>
      <c r="M16" s="120">
        <f>+K16+'28'!M16+L16</f>
        <v>54395</v>
      </c>
    </row>
    <row r="17" spans="1:25" ht="13.5" thickBot="1">
      <c r="A17" s="799"/>
      <c r="B17" s="218"/>
      <c r="C17" s="219"/>
      <c r="D17" s="220"/>
      <c r="E17" s="228"/>
      <c r="F17" s="231">
        <f>21-8</f>
        <v>13</v>
      </c>
      <c r="G17" s="583" t="s">
        <v>13</v>
      </c>
      <c r="H17" s="236" t="s">
        <v>421</v>
      </c>
      <c r="I17" s="797"/>
      <c r="J17" s="217" t="str">
        <f>+'28'!J17</f>
        <v>T 15 RC HW</v>
      </c>
      <c r="K17" s="242"/>
      <c r="L17" s="242"/>
      <c r="M17" s="120">
        <f>+K17+'28'!M17+L17</f>
        <v>148885</v>
      </c>
    </row>
    <row r="18" spans="1:25" ht="26.25" thickBot="1">
      <c r="A18" s="799"/>
      <c r="B18" s="218"/>
      <c r="C18" s="219"/>
      <c r="D18" s="220"/>
      <c r="E18" s="228"/>
      <c r="F18" s="231"/>
      <c r="G18" s="240" t="s">
        <v>14</v>
      </c>
      <c r="H18" s="236" t="s">
        <v>754</v>
      </c>
      <c r="I18" s="797"/>
      <c r="J18" s="217">
        <f>+'28'!J18</f>
        <v>0</v>
      </c>
      <c r="K18" s="242"/>
      <c r="L18" s="242"/>
      <c r="M18" s="120">
        <f>+K18+'28'!M18+L18</f>
        <v>0</v>
      </c>
    </row>
    <row r="19" spans="1:25" ht="13.5" thickBot="1">
      <c r="A19" s="799"/>
      <c r="B19" s="218"/>
      <c r="C19" s="219"/>
      <c r="D19" s="220"/>
      <c r="E19" s="228"/>
      <c r="F19" s="238"/>
      <c r="G19" s="235"/>
      <c r="H19" s="236"/>
      <c r="I19" s="797"/>
      <c r="J19" s="217">
        <f>+'28'!J19</f>
        <v>0</v>
      </c>
      <c r="K19" s="242"/>
      <c r="L19" s="242"/>
      <c r="M19" s="120">
        <f>+K19+'28'!M19+L19</f>
        <v>0</v>
      </c>
    </row>
    <row r="20" spans="1:25" ht="13.5" thickBot="1">
      <c r="A20" s="799"/>
      <c r="B20" s="218"/>
      <c r="C20" s="219"/>
      <c r="D20" s="220"/>
      <c r="E20" s="228"/>
      <c r="F20" s="231"/>
      <c r="G20" s="235"/>
      <c r="H20" s="236"/>
      <c r="I20" s="797"/>
      <c r="J20" s="217">
        <f>+'28'!J20</f>
        <v>0</v>
      </c>
      <c r="K20" s="242"/>
      <c r="L20" s="242"/>
      <c r="M20" s="120">
        <f>+K20+'28'!M20+L20</f>
        <v>0</v>
      </c>
      <c r="U20" s="152">
        <v>500</v>
      </c>
      <c r="V20" s="152">
        <f>+U20-U20*0.12</f>
        <v>440</v>
      </c>
      <c r="W20" s="152">
        <f>60+8</f>
        <v>68</v>
      </c>
      <c r="X20" s="152">
        <f>+U20*W20</f>
        <v>34000</v>
      </c>
      <c r="Y20" s="152">
        <f>+V20*W20</f>
        <v>29920</v>
      </c>
    </row>
    <row r="21" spans="1:25" ht="13.5" thickBot="1">
      <c r="A21" s="799"/>
      <c r="B21" s="218"/>
      <c r="C21" s="219"/>
      <c r="D21" s="220"/>
      <c r="E21" s="228"/>
      <c r="F21" s="234"/>
      <c r="G21" s="235"/>
      <c r="H21" s="236"/>
      <c r="I21" s="797"/>
      <c r="J21" s="217">
        <f>+'28'!J21</f>
        <v>0</v>
      </c>
      <c r="K21" s="242"/>
      <c r="L21" s="242"/>
      <c r="M21" s="120">
        <f>+K21+'28'!M21+L21</f>
        <v>0</v>
      </c>
      <c r="U21" s="152">
        <v>400</v>
      </c>
      <c r="V21" s="152">
        <f>+U21-U21*0.12</f>
        <v>352</v>
      </c>
      <c r="W21" s="152">
        <f>52+120</f>
        <v>172</v>
      </c>
      <c r="X21" s="152">
        <f>+U21*W21</f>
        <v>68800</v>
      </c>
      <c r="Y21" s="152">
        <f>+V21*W21</f>
        <v>60544</v>
      </c>
    </row>
    <row r="22" spans="1:25" ht="13.5" thickBot="1">
      <c r="A22" s="799"/>
      <c r="B22" s="218"/>
      <c r="C22" s="219"/>
      <c r="D22" s="220"/>
      <c r="E22" s="228"/>
      <c r="F22" s="239"/>
      <c r="G22" s="235"/>
      <c r="H22" s="236"/>
      <c r="I22" s="798"/>
      <c r="J22" s="217">
        <f>+'28'!J22</f>
        <v>0</v>
      </c>
      <c r="K22" s="242"/>
      <c r="L22" s="242"/>
      <c r="M22" s="120">
        <f>+K22+'28'!M22+L22</f>
        <v>0</v>
      </c>
      <c r="U22" s="152">
        <v>420</v>
      </c>
      <c r="V22" s="152">
        <f>+U22-U22*0.12</f>
        <v>369.6</v>
      </c>
      <c r="W22" s="152">
        <v>300</v>
      </c>
      <c r="X22" s="152">
        <f>+U22*W22</f>
        <v>126000</v>
      </c>
      <c r="Y22" s="152">
        <f>+V22*W22</f>
        <v>110880</v>
      </c>
    </row>
    <row r="23" spans="1:25" ht="13.5" thickBot="1">
      <c r="A23" s="800"/>
      <c r="B23" s="168" t="s">
        <v>3</v>
      </c>
      <c r="C23" s="103">
        <f>SUM(C16:C22)</f>
        <v>17235</v>
      </c>
      <c r="D23" s="114">
        <f>SUM(D16:D22)</f>
        <v>0</v>
      </c>
      <c r="E23" s="115">
        <f>SUM(E18:E22)</f>
        <v>0</v>
      </c>
      <c r="F23" s="105">
        <f>SUM(F15:F22)</f>
        <v>21</v>
      </c>
      <c r="G23" s="162"/>
      <c r="H23" s="169"/>
      <c r="I23" s="172"/>
      <c r="J23" s="217">
        <f>+'28'!J23</f>
        <v>0</v>
      </c>
      <c r="K23" s="242"/>
      <c r="L23" s="242"/>
      <c r="M23" s="120">
        <f>+K23+'28'!M23+L23</f>
        <v>0</v>
      </c>
      <c r="W23" s="152">
        <f>SUM(W20:W22)</f>
        <v>540</v>
      </c>
      <c r="X23" s="152">
        <f t="shared" ref="X23" si="4">SUM(X20:X22)</f>
        <v>228800</v>
      </c>
      <c r="Y23" s="152">
        <f t="shared" ref="Y23" si="5">SUM(Y20:Y22)</f>
        <v>201344</v>
      </c>
    </row>
    <row r="24" spans="1:25" ht="13.5" customHeight="1" thickBot="1">
      <c r="A24" s="793" t="s">
        <v>477</v>
      </c>
      <c r="B24" s="173"/>
      <c r="C24" s="116">
        <f>C23/($C$23+$D$23+$E$23)</f>
        <v>1</v>
      </c>
      <c r="D24" s="117">
        <f>D23/($C$23+$D$23+$E$23)</f>
        <v>0</v>
      </c>
      <c r="E24" s="118">
        <f>E23/($C$23+$D$23+$E$23)</f>
        <v>0</v>
      </c>
      <c r="F24" s="231"/>
      <c r="G24" s="232" t="s">
        <v>13</v>
      </c>
      <c r="H24" s="233" t="s">
        <v>391</v>
      </c>
      <c r="I24" s="796" t="s">
        <v>632</v>
      </c>
      <c r="J24" s="217">
        <f>+'28'!J24</f>
        <v>0</v>
      </c>
      <c r="K24" s="242"/>
      <c r="L24" s="242"/>
      <c r="M24" s="120">
        <f>+K24+'28'!M24+L24</f>
        <v>0</v>
      </c>
      <c r="X24" s="152">
        <f>+X23/W23</f>
        <v>423.7037037037037</v>
      </c>
      <c r="Y24" s="152">
        <f>+Y23/W23</f>
        <v>372.85925925925926</v>
      </c>
    </row>
    <row r="25" spans="1:25" ht="13.5" thickBot="1">
      <c r="A25" s="799"/>
      <c r="B25" s="218" t="s">
        <v>434</v>
      </c>
      <c r="C25" s="229">
        <v>16706</v>
      </c>
      <c r="D25" s="220"/>
      <c r="E25" s="228"/>
      <c r="F25" s="234">
        <v>6</v>
      </c>
      <c r="G25" s="583" t="s">
        <v>13</v>
      </c>
      <c r="H25" s="233" t="s">
        <v>452</v>
      </c>
      <c r="I25" s="797"/>
      <c r="J25" s="217">
        <f>+'28'!J25</f>
        <v>0</v>
      </c>
      <c r="K25" s="242"/>
      <c r="L25" s="242"/>
      <c r="M25" s="120">
        <f>+K25+'28'!M25+L25</f>
        <v>0</v>
      </c>
    </row>
    <row r="26" spans="1:25" ht="13.5" thickBot="1">
      <c r="A26" s="799"/>
      <c r="B26" s="218"/>
      <c r="C26" s="229"/>
      <c r="D26" s="220"/>
      <c r="E26" s="230"/>
      <c r="F26" s="231">
        <v>9</v>
      </c>
      <c r="G26" s="583" t="s">
        <v>13</v>
      </c>
      <c r="H26" s="236" t="s">
        <v>421</v>
      </c>
      <c r="I26" s="797"/>
      <c r="J26" s="217">
        <f>+'28'!J26</f>
        <v>0</v>
      </c>
      <c r="K26" s="242"/>
      <c r="L26" s="242"/>
      <c r="M26" s="120">
        <f>+K26+'28'!M26+L26</f>
        <v>0</v>
      </c>
    </row>
    <row r="27" spans="1:25" ht="26.25" thickBot="1">
      <c r="A27" s="799"/>
      <c r="B27" s="218"/>
      <c r="C27" s="219"/>
      <c r="D27" s="220"/>
      <c r="E27" s="228"/>
      <c r="F27" s="231">
        <v>8</v>
      </c>
      <c r="G27" s="240" t="s">
        <v>14</v>
      </c>
      <c r="H27" s="236" t="s">
        <v>754</v>
      </c>
      <c r="I27" s="797"/>
      <c r="J27" s="217">
        <f>+'28'!J27</f>
        <v>0</v>
      </c>
      <c r="K27" s="242"/>
      <c r="L27" s="242"/>
      <c r="M27" s="120">
        <f>+K27+'28'!M27+L27</f>
        <v>0</v>
      </c>
    </row>
    <row r="28" spans="1:25" ht="13.5" thickBot="1">
      <c r="A28" s="799"/>
      <c r="B28" s="218"/>
      <c r="C28" s="219"/>
      <c r="D28" s="220"/>
      <c r="E28" s="228"/>
      <c r="F28" s="234"/>
      <c r="G28" s="235"/>
      <c r="H28" s="236"/>
      <c r="I28" s="797"/>
      <c r="J28" s="217">
        <f>+'28'!J28</f>
        <v>0</v>
      </c>
      <c r="K28" s="242"/>
      <c r="L28" s="242"/>
      <c r="M28" s="120">
        <f>+K28+'28'!M28+L28</f>
        <v>0</v>
      </c>
    </row>
    <row r="29" spans="1:25" ht="13.5" thickBot="1">
      <c r="A29" s="799"/>
      <c r="B29" s="218"/>
      <c r="C29" s="219"/>
      <c r="D29" s="220"/>
      <c r="E29" s="228"/>
      <c r="F29" s="239"/>
      <c r="G29" s="235"/>
      <c r="H29" s="236"/>
      <c r="I29" s="797"/>
      <c r="J29" s="217">
        <f>+'28'!J29</f>
        <v>0</v>
      </c>
      <c r="K29" s="242"/>
      <c r="L29" s="242"/>
      <c r="M29" s="120">
        <f>+K29+'28'!M29+L29</f>
        <v>0</v>
      </c>
    </row>
    <row r="30" spans="1:25" ht="13.5" thickBot="1">
      <c r="A30" s="799"/>
      <c r="B30" s="218"/>
      <c r="C30" s="229"/>
      <c r="D30" s="220"/>
      <c r="E30" s="228"/>
      <c r="F30" s="239"/>
      <c r="G30" s="235"/>
      <c r="H30" s="236"/>
      <c r="I30" s="797"/>
      <c r="J30" s="217">
        <f>+'28'!J30</f>
        <v>0</v>
      </c>
      <c r="K30" s="242"/>
      <c r="L30" s="242"/>
      <c r="M30" s="120">
        <f>+K30+'28'!M30+L30</f>
        <v>0</v>
      </c>
      <c r="N30" s="158"/>
    </row>
    <row r="31" spans="1:25" ht="13.5" thickBot="1">
      <c r="A31" s="799"/>
      <c r="B31" s="218"/>
      <c r="C31" s="229"/>
      <c r="D31" s="220"/>
      <c r="E31" s="228"/>
      <c r="F31" s="239"/>
      <c r="G31" s="240"/>
      <c r="H31" s="237"/>
      <c r="I31" s="798"/>
      <c r="J31" s="217">
        <f>+'28'!J31</f>
        <v>0</v>
      </c>
      <c r="K31" s="242"/>
      <c r="L31" s="242"/>
      <c r="M31" s="120">
        <f>+K31+'28'!M31+L31</f>
        <v>0</v>
      </c>
    </row>
    <row r="32" spans="1:25" ht="13.5" thickBot="1">
      <c r="A32" s="800"/>
      <c r="B32" s="168" t="s">
        <v>3</v>
      </c>
      <c r="C32" s="102">
        <f>SUM(C25:C31)</f>
        <v>16706</v>
      </c>
      <c r="D32" s="103">
        <f>SUM(D25:D31)</f>
        <v>0</v>
      </c>
      <c r="E32" s="104">
        <f>SUM(E25:E31)</f>
        <v>0</v>
      </c>
      <c r="F32" s="105">
        <f>SUM(F24:F31)</f>
        <v>23</v>
      </c>
      <c r="G32" s="174"/>
      <c r="H32" s="175"/>
      <c r="I32" s="172"/>
      <c r="J32" s="217">
        <f>+'28'!J32</f>
        <v>0</v>
      </c>
      <c r="K32" s="242"/>
      <c r="L32" s="246"/>
      <c r="M32" s="120">
        <f>+K32+'28'!M32+L32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801" t="s">
        <v>70</v>
      </c>
      <c r="B34" s="802"/>
      <c r="C34" s="110">
        <f>C14+C23+C32</f>
        <v>50317</v>
      </c>
      <c r="D34" s="110">
        <f>D14+D23+D32</f>
        <v>0</v>
      </c>
      <c r="E34" s="110">
        <f>E14+E23+E32</f>
        <v>0</v>
      </c>
      <c r="F34" s="111">
        <f>F14+F23+F32</f>
        <v>65</v>
      </c>
      <c r="H34" s="181"/>
      <c r="I34" s="181"/>
      <c r="J34" s="126" t="s">
        <v>29</v>
      </c>
      <c r="K34" s="127">
        <f>SUM(K7:K32)</f>
        <v>50317</v>
      </c>
      <c r="L34" s="215">
        <f>SUM(L7:L32)</f>
        <v>0</v>
      </c>
      <c r="M34" s="123">
        <f>SUM(M7:M32)</f>
        <v>1342058</v>
      </c>
      <c r="N34" s="158"/>
    </row>
    <row r="35" spans="1:14" ht="13.5" thickBot="1">
      <c r="A35" s="182"/>
      <c r="B35" s="183"/>
      <c r="C35" s="107">
        <f>C34/($C$34+$D$34+$E$34)</f>
        <v>1</v>
      </c>
      <c r="D35" s="107">
        <f>D34/($C$34+$D$34+$E$34)</f>
        <v>0</v>
      </c>
      <c r="E35" s="112">
        <f>E34/($C$34+$D$34+$E$34)</f>
        <v>0</v>
      </c>
      <c r="K35" s="158"/>
      <c r="L35" s="792" t="s">
        <v>187</v>
      </c>
      <c r="M35" s="792"/>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90" t="s">
        <v>71</v>
      </c>
      <c r="B37" s="791"/>
      <c r="C37" s="165" t="s">
        <v>72</v>
      </c>
      <c r="D37" s="186" t="s">
        <v>73</v>
      </c>
      <c r="E37" s="187" t="s">
        <v>74</v>
      </c>
      <c r="F37" s="365"/>
      <c r="G37" s="367"/>
      <c r="H37" s="189" t="s">
        <v>75</v>
      </c>
      <c r="I37" s="247">
        <f>(15.5*1440)/1440*G42*2.75*1440/1000000</f>
        <v>55.057859999999998</v>
      </c>
      <c r="J37" s="128">
        <f>+I37+'28'!J37</f>
        <v>1450.6200075406803</v>
      </c>
      <c r="K37" s="129" t="s">
        <v>76</v>
      </c>
      <c r="L37" s="426"/>
      <c r="M37" s="427"/>
    </row>
    <row r="38" spans="1:14" ht="17.45" customHeight="1">
      <c r="A38" s="786" t="s">
        <v>13</v>
      </c>
      <c r="B38" s="787"/>
      <c r="C38" s="167">
        <f>SUMIF($G$7:$G$31,"Process",$F$7:$F$31)</f>
        <v>47</v>
      </c>
      <c r="D38" s="121">
        <f>+C38+'28'!D38</f>
        <v>1801</v>
      </c>
      <c r="E38" s="146">
        <f t="shared" ref="E38:E51" si="6">D38/60</f>
        <v>30.016666666666666</v>
      </c>
      <c r="F38" s="365">
        <v>1150</v>
      </c>
      <c r="G38" s="365">
        <v>897</v>
      </c>
      <c r="H38" s="190" t="s">
        <v>77</v>
      </c>
      <c r="I38" s="547">
        <f>18.087+17.1818+17.562</f>
        <v>52.830799999999996</v>
      </c>
      <c r="J38" s="130">
        <f>+I38+'28'!J38</f>
        <v>1372.2880999999998</v>
      </c>
      <c r="K38" s="131" t="s">
        <v>76</v>
      </c>
      <c r="L38" s="428"/>
      <c r="M38" s="429"/>
    </row>
    <row r="39" spans="1:14" ht="17.45" customHeight="1">
      <c r="A39" s="782" t="s">
        <v>14</v>
      </c>
      <c r="B39" s="783"/>
      <c r="C39" s="167">
        <f>SUMIF($G$7:$G$31,"Cleaning",$F$7:$F$31)</f>
        <v>18</v>
      </c>
      <c r="D39" s="121">
        <f>+C39+'28'!D39</f>
        <v>279</v>
      </c>
      <c r="E39" s="146">
        <f t="shared" si="6"/>
        <v>4.6500000000000004</v>
      </c>
      <c r="F39" s="365">
        <v>1150</v>
      </c>
      <c r="G39" s="365">
        <v>897</v>
      </c>
      <c r="H39" s="190" t="s">
        <v>78</v>
      </c>
      <c r="I39" s="145"/>
      <c r="J39" s="132">
        <f>J37/G4</f>
        <v>50.021379570368282</v>
      </c>
      <c r="K39" s="133" t="s">
        <v>76</v>
      </c>
      <c r="L39" s="428"/>
      <c r="M39" s="429"/>
    </row>
    <row r="40" spans="1:14" ht="17.45" customHeight="1">
      <c r="A40" s="782" t="s">
        <v>79</v>
      </c>
      <c r="B40" s="783"/>
      <c r="C40" s="167">
        <f>SUMIF($G$7:$G$31,"Mechanical",$F$7:$F$31)</f>
        <v>0</v>
      </c>
      <c r="D40" s="121">
        <f>+C40+'28'!D40</f>
        <v>120</v>
      </c>
      <c r="E40" s="146">
        <f t="shared" si="6"/>
        <v>2</v>
      </c>
      <c r="F40" s="365">
        <v>1150</v>
      </c>
      <c r="G40" s="365">
        <v>897</v>
      </c>
      <c r="H40" s="190" t="s">
        <v>80</v>
      </c>
      <c r="I40" s="121">
        <f>(K34+L34)/1000</f>
        <v>50.317</v>
      </c>
      <c r="J40" s="134">
        <f>+I40+'28'!J40</f>
        <v>1342.058</v>
      </c>
      <c r="K40" s="133" t="s">
        <v>76</v>
      </c>
      <c r="L40" s="428"/>
      <c r="M40" s="429"/>
    </row>
    <row r="41" spans="1:14" ht="17.45" customHeight="1">
      <c r="A41" s="782" t="s">
        <v>81</v>
      </c>
      <c r="B41" s="783"/>
      <c r="C41" s="167">
        <f>SUMIF($G$7:$G$31,"Electrical",$F$7:$F$31)</f>
        <v>0</v>
      </c>
      <c r="D41" s="121">
        <f>+C41+'28'!D41</f>
        <v>80</v>
      </c>
      <c r="E41" s="146">
        <f t="shared" si="6"/>
        <v>1.3333333333333333</v>
      </c>
      <c r="F41" s="365"/>
      <c r="G41" s="365"/>
      <c r="H41" s="190" t="s">
        <v>82</v>
      </c>
      <c r="I41" s="145"/>
      <c r="J41" s="132">
        <f>J40/G4</f>
        <v>46.277862068965518</v>
      </c>
      <c r="K41" s="133" t="s">
        <v>76</v>
      </c>
      <c r="L41" s="428"/>
      <c r="M41" s="429"/>
    </row>
    <row r="42" spans="1:14" ht="17.45" customHeight="1">
      <c r="A42" s="782" t="s">
        <v>17</v>
      </c>
      <c r="B42" s="783"/>
      <c r="C42" s="167">
        <f>SUMIF($G$7:$G$31,"Instrument",$F$7:$F$31)</f>
        <v>0</v>
      </c>
      <c r="D42" s="121">
        <f>+C42+'28'!D42</f>
        <v>0</v>
      </c>
      <c r="E42" s="146">
        <f t="shared" si="6"/>
        <v>0</v>
      </c>
      <c r="F42" s="365">
        <f>+(480*F38+480*F39+480*F40)/1440</f>
        <v>1150</v>
      </c>
      <c r="G42" s="365">
        <f>+(480*G38+480*G39+480*G40)/1440</f>
        <v>897</v>
      </c>
      <c r="H42" s="190" t="s">
        <v>83</v>
      </c>
      <c r="I42" s="249" t="s">
        <v>651</v>
      </c>
      <c r="J42" s="135"/>
      <c r="K42" s="133" t="s">
        <v>84</v>
      </c>
      <c r="L42" s="428"/>
      <c r="M42" s="429"/>
    </row>
    <row r="43" spans="1:14" ht="17.45" customHeight="1">
      <c r="A43" s="782" t="s">
        <v>85</v>
      </c>
      <c r="B43" s="783"/>
      <c r="C43" s="167">
        <f>SUMIF($G$7:$G$31,"Water",$F$7:$F$31)</f>
        <v>0</v>
      </c>
      <c r="D43" s="121">
        <f>+C43+'28'!D43</f>
        <v>0</v>
      </c>
      <c r="E43" s="146">
        <f t="shared" si="6"/>
        <v>0</v>
      </c>
      <c r="F43" s="365"/>
      <c r="G43" s="366"/>
      <c r="H43" s="191" t="s">
        <v>86</v>
      </c>
      <c r="I43" s="121">
        <f>+Report1!AH37</f>
        <v>71.2</v>
      </c>
      <c r="J43" s="136">
        <f>+I43+'28'!J43</f>
        <v>1909.9000000000003</v>
      </c>
      <c r="K43" s="133" t="s">
        <v>76</v>
      </c>
      <c r="L43" s="430">
        <f>+Report1!AN37</f>
        <v>0</v>
      </c>
      <c r="M43" s="431">
        <f>+L43+'28'!M43</f>
        <v>0</v>
      </c>
    </row>
    <row r="44" spans="1:14" ht="17.45" customHeight="1">
      <c r="A44" s="782" t="s">
        <v>18</v>
      </c>
      <c r="B44" s="783"/>
      <c r="C44" s="167">
        <f>SUMIF($G$7:$G$31,"PLN",$F$7:$F$31)</f>
        <v>0</v>
      </c>
      <c r="D44" s="121">
        <f>+C44+'28'!D44</f>
        <v>0</v>
      </c>
      <c r="E44" s="146">
        <f t="shared" si="6"/>
        <v>0</v>
      </c>
      <c r="F44" s="365"/>
      <c r="G44" s="366"/>
      <c r="H44" s="191" t="s">
        <v>87</v>
      </c>
      <c r="I44" s="121">
        <f>I43/I38</f>
        <v>1.347698690915148</v>
      </c>
      <c r="J44" s="137">
        <f>J43/J38</f>
        <v>1.3917631436139399</v>
      </c>
      <c r="K44" s="133" t="s">
        <v>76</v>
      </c>
      <c r="L44" s="432">
        <f>+L43/I38</f>
        <v>0</v>
      </c>
      <c r="M44" s="433">
        <f>+M43/J38</f>
        <v>0</v>
      </c>
    </row>
    <row r="45" spans="1:14" ht="17.45" customHeight="1">
      <c r="A45" s="782" t="s">
        <v>19</v>
      </c>
      <c r="B45" s="783"/>
      <c r="C45" s="167">
        <f>SUMIF($G$7:$G$31,"Boiler",$F$7:$F$31)</f>
        <v>0</v>
      </c>
      <c r="D45" s="121">
        <f>+C45+'28'!D45</f>
        <v>0</v>
      </c>
      <c r="E45" s="146">
        <f t="shared" si="6"/>
        <v>0</v>
      </c>
      <c r="F45" s="365"/>
      <c r="G45" s="368"/>
      <c r="H45" s="191" t="s">
        <v>88</v>
      </c>
      <c r="I45" s="121">
        <f>I43/I40</f>
        <v>1.4150287179283345</v>
      </c>
      <c r="J45" s="137">
        <f>J43/J40</f>
        <v>1.4231128609940855</v>
      </c>
      <c r="K45" s="133" t="s">
        <v>76</v>
      </c>
      <c r="L45" s="432">
        <f>+L43/I40</f>
        <v>0</v>
      </c>
      <c r="M45" s="433">
        <f>+M43/J40</f>
        <v>0</v>
      </c>
    </row>
    <row r="46" spans="1:14" ht="17.45" customHeight="1">
      <c r="A46" s="782" t="s">
        <v>89</v>
      </c>
      <c r="B46" s="783"/>
      <c r="C46" s="167">
        <f>SUMIF($G$7:$G$31,"Gas",$F$7:$F$31)</f>
        <v>0</v>
      </c>
      <c r="D46" s="121">
        <f>+C46+'28'!D46</f>
        <v>0</v>
      </c>
      <c r="E46" s="146">
        <f t="shared" si="6"/>
        <v>0</v>
      </c>
      <c r="F46" s="365"/>
      <c r="G46" s="366"/>
      <c r="H46" s="191" t="s">
        <v>90</v>
      </c>
      <c r="I46" s="143">
        <f>+SUMIF(Listrik!P36,"&gt;0")</f>
        <v>38992.520000000019</v>
      </c>
      <c r="J46" s="138">
        <f>+I46+'28'!J46</f>
        <v>1138577.8599999999</v>
      </c>
      <c r="K46" s="133" t="s">
        <v>91</v>
      </c>
      <c r="L46" s="432">
        <f>+Listrik!AF36</f>
        <v>0</v>
      </c>
      <c r="M46" s="434">
        <f>+L46+'28'!M46</f>
        <v>0</v>
      </c>
    </row>
    <row r="47" spans="1:14" ht="17.45" customHeight="1">
      <c r="A47" s="782" t="s">
        <v>92</v>
      </c>
      <c r="B47" s="783"/>
      <c r="C47" s="167">
        <f>SUMIF($G$7:$G$31,"Gas",$F$7:$F$31)</f>
        <v>0</v>
      </c>
      <c r="D47" s="121">
        <f>+C47+'28'!D47</f>
        <v>0</v>
      </c>
      <c r="E47" s="146">
        <f t="shared" si="6"/>
        <v>0</v>
      </c>
      <c r="F47" s="365"/>
      <c r="G47" s="366"/>
      <c r="H47" s="191" t="s">
        <v>93</v>
      </c>
      <c r="I47" s="121">
        <f>I46/I38</f>
        <v>738.06415954329714</v>
      </c>
      <c r="J47" s="138">
        <f>J46/J38</f>
        <v>829.69302145810354</v>
      </c>
      <c r="K47" s="133" t="s">
        <v>25</v>
      </c>
      <c r="L47" s="432">
        <f>+L46/I38</f>
        <v>0</v>
      </c>
      <c r="M47" s="433">
        <f>+M46/J38</f>
        <v>0</v>
      </c>
    </row>
    <row r="48" spans="1:14" ht="17.45" customHeight="1">
      <c r="A48" s="782" t="s">
        <v>15</v>
      </c>
      <c r="B48" s="783"/>
      <c r="C48" s="167">
        <f>SUMIF($G$7:$G$31,"Start Up",$F$7:$F$31)</f>
        <v>0</v>
      </c>
      <c r="D48" s="121">
        <f>+C48+'28'!D48</f>
        <v>0</v>
      </c>
      <c r="E48" s="146">
        <f t="shared" si="6"/>
        <v>0</v>
      </c>
      <c r="F48" s="365"/>
      <c r="G48" s="366"/>
      <c r="H48" s="191" t="s">
        <v>94</v>
      </c>
      <c r="I48" s="121">
        <f>I46/I40</f>
        <v>774.93729753363709</v>
      </c>
      <c r="J48" s="138">
        <f>J46/J40</f>
        <v>848.38200733500332</v>
      </c>
      <c r="K48" s="133" t="s">
        <v>25</v>
      </c>
      <c r="L48" s="432">
        <f>+L46/I38</f>
        <v>0</v>
      </c>
      <c r="M48" s="433">
        <f>+M46/J40</f>
        <v>0</v>
      </c>
    </row>
    <row r="49" spans="1:13" ht="17.45" customHeight="1">
      <c r="A49" s="803" t="s">
        <v>21</v>
      </c>
      <c r="B49" s="783"/>
      <c r="C49" s="167">
        <f>SUMIF($G$7:$G$31,"Others",$F$7:$F$31)</f>
        <v>0</v>
      </c>
      <c r="D49" s="121">
        <f>+C49+'28'!D49</f>
        <v>924</v>
      </c>
      <c r="E49" s="146">
        <f t="shared" si="6"/>
        <v>15.4</v>
      </c>
      <c r="F49" s="188"/>
      <c r="H49" s="191" t="s">
        <v>95</v>
      </c>
      <c r="I49" s="121">
        <f>+Report1!AB37</f>
        <v>5022.2523060445819</v>
      </c>
      <c r="J49" s="138">
        <f>+I49+'28'!J49</f>
        <v>130032.45583894211</v>
      </c>
      <c r="K49" s="133" t="s">
        <v>96</v>
      </c>
      <c r="L49" s="428"/>
      <c r="M49" s="429"/>
    </row>
    <row r="50" spans="1:13" ht="17.45" customHeight="1">
      <c r="A50" s="782" t="s">
        <v>20</v>
      </c>
      <c r="B50" s="783"/>
      <c r="C50" s="167">
        <f>SUMIF($G$7:$G$31,"Steam",$F$7:$F$31)</f>
        <v>0</v>
      </c>
      <c r="D50" s="121">
        <f>+C50+'28'!D50</f>
        <v>0</v>
      </c>
      <c r="E50" s="146">
        <f t="shared" si="6"/>
        <v>0</v>
      </c>
      <c r="F50" s="188"/>
      <c r="H50" s="191" t="s">
        <v>97</v>
      </c>
      <c r="I50" s="143">
        <f>I49/I38</f>
        <v>95.062961493003741</v>
      </c>
      <c r="J50" s="136">
        <f>J49/J38</f>
        <v>94.75594508102354</v>
      </c>
      <c r="K50" s="133" t="s">
        <v>96</v>
      </c>
      <c r="L50" s="428"/>
      <c r="M50" s="429"/>
    </row>
    <row r="51" spans="1:13" ht="17.45" customHeight="1" thickBot="1">
      <c r="A51" s="784" t="s">
        <v>98</v>
      </c>
      <c r="B51" s="785"/>
      <c r="C51" s="167">
        <f>SUMIF($G$7:$G$31,"Planned shut",$F$7:$F$31)</f>
        <v>0</v>
      </c>
      <c r="D51" s="121">
        <f>+C51+'28'!D51</f>
        <v>0</v>
      </c>
      <c r="E51" s="146">
        <f t="shared" si="6"/>
        <v>0</v>
      </c>
      <c r="F51" s="188"/>
      <c r="H51" s="193" t="s">
        <v>99</v>
      </c>
      <c r="I51" s="144">
        <f>I49/I40</f>
        <v>99.812236541220301</v>
      </c>
      <c r="J51" s="139">
        <f>J49/J40</f>
        <v>96.890339939810431</v>
      </c>
      <c r="K51" s="140" t="s">
        <v>96</v>
      </c>
      <c r="L51" s="428"/>
      <c r="M51" s="429"/>
    </row>
    <row r="52" spans="1:13" ht="13.5" thickBot="1">
      <c r="A52" s="786" t="s">
        <v>29</v>
      </c>
      <c r="B52" s="787"/>
      <c r="C52" s="147">
        <f>SUM(C38:C51)</f>
        <v>65</v>
      </c>
      <c r="D52" s="147">
        <f>SUM(D38:D51)</f>
        <v>3204</v>
      </c>
      <c r="E52" s="148">
        <f>SUM(E38:E51)</f>
        <v>53.4</v>
      </c>
      <c r="F52" s="188"/>
      <c r="H52" s="194"/>
      <c r="I52" s="195"/>
      <c r="J52" s="141"/>
      <c r="K52" s="142"/>
      <c r="L52" s="435"/>
      <c r="M52" s="436"/>
    </row>
    <row r="53" spans="1:13" ht="13.5" thickBot="1">
      <c r="A53" s="788"/>
      <c r="B53" s="789"/>
      <c r="C53" s="149">
        <f>C52/(24*60)</f>
        <v>4.5138888888888888E-2</v>
      </c>
      <c r="D53" s="149">
        <f>D52/(24*60*G4)</f>
        <v>7.6724137931034483E-2</v>
      </c>
      <c r="E53" s="150">
        <f>E52/(G4*24)</f>
        <v>7.6724137931034483E-2</v>
      </c>
      <c r="F53" s="188"/>
    </row>
    <row r="54" spans="1:13">
      <c r="E54" s="196"/>
      <c r="F54" s="188"/>
    </row>
    <row r="55" spans="1:13">
      <c r="E55" s="196"/>
    </row>
    <row r="56" spans="1:13">
      <c r="A56" s="197" t="s">
        <v>100</v>
      </c>
      <c r="B56" s="198"/>
      <c r="C56" s="199"/>
      <c r="D56" s="199"/>
      <c r="E56" s="199"/>
      <c r="F56" s="200"/>
      <c r="G56" s="199"/>
      <c r="H56" s="201"/>
      <c r="I56" s="202" t="s">
        <v>101</v>
      </c>
      <c r="J56" s="203">
        <f>+D34+'28'!J56</f>
        <v>2884</v>
      </c>
      <c r="K56" s="204">
        <f>J56/(J40+J56/1000)/1000</f>
        <v>2.1443303874813932E-3</v>
      </c>
    </row>
    <row r="57" spans="1:13">
      <c r="A57" s="179"/>
      <c r="I57" s="202" t="s">
        <v>102</v>
      </c>
      <c r="J57" s="203">
        <f>+E34+'28'!J57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S61"/>
  <sheetViews>
    <sheetView zoomScale="80" zoomScaleNormal="80" workbookViewId="0">
      <selection activeCell="J5" sqref="J5"/>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8.28515625" style="152" customWidth="1"/>
    <col min="11" max="11" width="12.5703125" style="152" bestFit="1" customWidth="1"/>
    <col min="12" max="12" width="8.28515625" style="152" customWidth="1"/>
    <col min="13" max="13" width="15.8554687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28</v>
      </c>
      <c r="H4" s="157" t="str">
        <f>+'1'!H4</f>
        <v>.03.26</v>
      </c>
      <c r="J4" s="152">
        <f>425.8+500+501.4</f>
        <v>1427.1999999999998</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497</v>
      </c>
      <c r="O6" s="152">
        <v>1250</v>
      </c>
      <c r="P6" s="152">
        <f>+O6-(O6*0.22)</f>
        <v>975</v>
      </c>
      <c r="Q6" s="152">
        <v>480</v>
      </c>
      <c r="R6" s="152">
        <f t="shared" ref="R6" si="0">+O6*Q6</f>
        <v>600000</v>
      </c>
      <c r="S6" s="152">
        <f t="shared" ref="S6" si="1">+P6*Q6</f>
        <v>468000</v>
      </c>
    </row>
    <row r="7" spans="1:19" ht="13.5" customHeight="1" thickBot="1">
      <c r="A7" s="793" t="s">
        <v>430</v>
      </c>
      <c r="B7" s="218" t="s">
        <v>501</v>
      </c>
      <c r="C7" s="219">
        <v>17237</v>
      </c>
      <c r="D7" s="220"/>
      <c r="E7" s="221"/>
      <c r="F7" s="231"/>
      <c r="G7" s="232" t="s">
        <v>13</v>
      </c>
      <c r="H7" s="233" t="s">
        <v>391</v>
      </c>
      <c r="I7" s="796" t="s">
        <v>669</v>
      </c>
      <c r="J7" s="217" t="str">
        <f>+'27'!J7</f>
        <v>T 14 RC HW</v>
      </c>
      <c r="K7" s="241"/>
      <c r="L7" s="245"/>
      <c r="M7" s="120">
        <f>+K7+'27'!M7+L7</f>
        <v>240535</v>
      </c>
    </row>
    <row r="8" spans="1:19" ht="13.5" thickBot="1">
      <c r="A8" s="794"/>
      <c r="B8" s="218"/>
      <c r="C8" s="219"/>
      <c r="D8" s="220"/>
      <c r="E8" s="222"/>
      <c r="F8" s="234">
        <v>5</v>
      </c>
      <c r="G8" s="583" t="s">
        <v>13</v>
      </c>
      <c r="H8" s="233" t="s">
        <v>474</v>
      </c>
      <c r="I8" s="797"/>
      <c r="J8" s="217" t="str">
        <f>+'27'!J8</f>
        <v>T 15,5 RC HW</v>
      </c>
      <c r="K8" s="242">
        <f>+C17+C25</f>
        <v>18992</v>
      </c>
      <c r="L8" s="242"/>
      <c r="M8" s="120">
        <f>+K8+'27'!M8+L8</f>
        <v>158929</v>
      </c>
      <c r="P8" s="152">
        <f>+O8-(O8*0.22)</f>
        <v>0</v>
      </c>
      <c r="R8" s="152">
        <f t="shared" ref="R8" si="2">+O8*Q8</f>
        <v>0</v>
      </c>
      <c r="S8" s="152">
        <f t="shared" ref="S8" si="3">+P8*Q8</f>
        <v>0</v>
      </c>
    </row>
    <row r="9" spans="1:19" ht="13.5" thickBot="1">
      <c r="A9" s="794"/>
      <c r="B9" s="218"/>
      <c r="C9" s="219"/>
      <c r="D9" s="220"/>
      <c r="E9" s="223"/>
      <c r="F9" s="231">
        <v>5</v>
      </c>
      <c r="G9" s="583" t="s">
        <v>13</v>
      </c>
      <c r="H9" s="236" t="s">
        <v>456</v>
      </c>
      <c r="I9" s="797"/>
      <c r="J9" s="217" t="str">
        <f>+'27'!J9</f>
        <v>T 13,5 RC HW</v>
      </c>
      <c r="K9" s="242">
        <f>+C7+C16</f>
        <v>33016</v>
      </c>
      <c r="L9" s="242"/>
      <c r="M9" s="120">
        <f>+K9+'27'!M9+L9</f>
        <v>108697</v>
      </c>
    </row>
    <row r="10" spans="1:19" ht="26.25" thickBot="1">
      <c r="A10" s="794"/>
      <c r="B10" s="218"/>
      <c r="C10" s="219"/>
      <c r="D10" s="220"/>
      <c r="E10" s="222"/>
      <c r="F10" s="231">
        <v>10</v>
      </c>
      <c r="G10" s="240" t="s">
        <v>14</v>
      </c>
      <c r="H10" s="236" t="s">
        <v>722</v>
      </c>
      <c r="I10" s="797"/>
      <c r="J10" s="217" t="str">
        <f>+'27'!J10</f>
        <v>T 20 RC HW</v>
      </c>
      <c r="K10" s="242"/>
      <c r="L10" s="242"/>
      <c r="M10" s="120">
        <f>+K10+'27'!M10+L10</f>
        <v>35769</v>
      </c>
    </row>
    <row r="11" spans="1:19" ht="13.5" thickBot="1">
      <c r="A11" s="794"/>
      <c r="B11" s="218"/>
      <c r="C11" s="219"/>
      <c r="D11" s="220"/>
      <c r="E11" s="222"/>
      <c r="F11" s="231"/>
      <c r="G11" s="235"/>
      <c r="H11" s="236"/>
      <c r="I11" s="797"/>
      <c r="J11" s="217" t="str">
        <f>+'27'!J11</f>
        <v>T 17 RC HW</v>
      </c>
      <c r="K11" s="242"/>
      <c r="L11" s="242"/>
      <c r="M11" s="120">
        <f>+K11+'27'!M11+L11</f>
        <v>18517</v>
      </c>
    </row>
    <row r="12" spans="1:19" ht="13.5" thickBot="1">
      <c r="A12" s="794"/>
      <c r="B12" s="218"/>
      <c r="C12" s="219"/>
      <c r="D12" s="220"/>
      <c r="E12" s="222"/>
      <c r="F12" s="231"/>
      <c r="G12" s="235"/>
      <c r="H12" s="236"/>
      <c r="I12" s="797"/>
      <c r="J12" s="217" t="str">
        <f>+'27'!J12</f>
        <v>T 16 RC HW</v>
      </c>
      <c r="K12" s="242"/>
      <c r="L12" s="242"/>
      <c r="M12" s="120">
        <f>+K12+'27'!M12+L12</f>
        <v>38417</v>
      </c>
    </row>
    <row r="13" spans="1:19" ht="13.5" thickBot="1">
      <c r="A13" s="794"/>
      <c r="B13" s="218"/>
      <c r="C13" s="219"/>
      <c r="D13" s="219"/>
      <c r="E13" s="222"/>
      <c r="F13" s="231"/>
      <c r="G13" s="235"/>
      <c r="H13" s="236"/>
      <c r="I13" s="798"/>
      <c r="J13" s="217" t="str">
        <f>+'27'!J13</f>
        <v>N 15,5 RC HW</v>
      </c>
      <c r="K13" s="242"/>
      <c r="L13" s="242"/>
      <c r="M13" s="120">
        <f>+K13+'27'!M13+L13</f>
        <v>72746</v>
      </c>
      <c r="Q13" s="179">
        <f>SUM(Q6:Q12)</f>
        <v>480</v>
      </c>
      <c r="R13" s="179">
        <f>SUM(R6:R12)</f>
        <v>600000</v>
      </c>
      <c r="S13" s="179">
        <f>SUM(S6:S12)</f>
        <v>468000</v>
      </c>
    </row>
    <row r="14" spans="1:19" ht="13.5" thickBot="1">
      <c r="A14" s="795"/>
      <c r="B14" s="168" t="s">
        <v>3</v>
      </c>
      <c r="C14" s="102">
        <f>SUM(C7:C13)</f>
        <v>17237</v>
      </c>
      <c r="D14" s="114">
        <f>SUM(D7:D13)</f>
        <v>0</v>
      </c>
      <c r="E14" s="115">
        <f>SUM(E5:E13)</f>
        <v>0</v>
      </c>
      <c r="F14" s="105">
        <f>SUM(F6:F13)</f>
        <v>20</v>
      </c>
      <c r="G14" s="162"/>
      <c r="H14" s="169"/>
      <c r="I14" s="170"/>
      <c r="J14" s="217" t="str">
        <f>+'27'!J14</f>
        <v>TW 22 RC HW</v>
      </c>
      <c r="K14" s="242"/>
      <c r="L14" s="242"/>
      <c r="M14" s="120">
        <f>+K14+'27'!M14+L14</f>
        <v>387590</v>
      </c>
      <c r="Q14" s="152">
        <f>480-Q13</f>
        <v>0</v>
      </c>
      <c r="R14" s="179">
        <f>+R13/Q13</f>
        <v>1250</v>
      </c>
      <c r="S14" s="179">
        <f>+S13/Q13</f>
        <v>975</v>
      </c>
    </row>
    <row r="15" spans="1:19" ht="13.5" customHeight="1" thickBot="1">
      <c r="A15" s="793" t="s">
        <v>431</v>
      </c>
      <c r="B15" s="168"/>
      <c r="C15" s="116">
        <f>C14/($C$23+$D$23+$E$23)</f>
        <v>1.0430231150913711</v>
      </c>
      <c r="D15" s="117">
        <f>D14/($C$23+$D$23+$E$23)</f>
        <v>0</v>
      </c>
      <c r="E15" s="118">
        <f>E14/($C$23+$D$23+$E$23)</f>
        <v>0</v>
      </c>
      <c r="F15" s="231"/>
      <c r="G15" s="232" t="s">
        <v>13</v>
      </c>
      <c r="H15" s="233" t="s">
        <v>391</v>
      </c>
      <c r="I15" s="796" t="s">
        <v>753</v>
      </c>
      <c r="J15" s="217" t="str">
        <f>+'27'!J15</f>
        <v>T 14,5 RC HW</v>
      </c>
      <c r="K15" s="242"/>
      <c r="L15" s="242"/>
      <c r="M15" s="120">
        <f>+K15+'27'!M15+L15</f>
        <v>27261</v>
      </c>
    </row>
    <row r="16" spans="1:19" ht="13.5" thickBot="1">
      <c r="A16" s="799"/>
      <c r="B16" s="218" t="s">
        <v>501</v>
      </c>
      <c r="C16" s="225">
        <v>15779</v>
      </c>
      <c r="D16" s="226"/>
      <c r="E16" s="227"/>
      <c r="F16" s="234">
        <v>9</v>
      </c>
      <c r="G16" s="583" t="s">
        <v>13</v>
      </c>
      <c r="H16" s="233" t="s">
        <v>452</v>
      </c>
      <c r="I16" s="797"/>
      <c r="J16" s="217" t="str">
        <f>+'27'!J16</f>
        <v>T 13 RC HW</v>
      </c>
      <c r="K16" s="242"/>
      <c r="L16" s="232"/>
      <c r="M16" s="120">
        <f>+K16+'27'!M16+L16</f>
        <v>54395</v>
      </c>
      <c r="N16" s="152" t="s">
        <v>497</v>
      </c>
      <c r="O16" s="152">
        <v>1250</v>
      </c>
      <c r="P16" s="152">
        <f>+O16-(O16*0.22)</f>
        <v>975</v>
      </c>
      <c r="Q16" s="152">
        <f>60*5+45</f>
        <v>345</v>
      </c>
      <c r="R16" s="152">
        <f t="shared" ref="R16:R17" si="4">+O16*Q16</f>
        <v>431250</v>
      </c>
      <c r="S16" s="152">
        <f t="shared" ref="S16:S17" si="5">+P16*Q16</f>
        <v>336375</v>
      </c>
    </row>
    <row r="17" spans="1:19" ht="13.5" thickBot="1">
      <c r="A17" s="799"/>
      <c r="B17" s="218" t="s">
        <v>434</v>
      </c>
      <c r="C17" s="219">
        <v>747</v>
      </c>
      <c r="D17" s="220"/>
      <c r="E17" s="228"/>
      <c r="F17" s="231">
        <v>10</v>
      </c>
      <c r="G17" s="583" t="s">
        <v>13</v>
      </c>
      <c r="H17" s="236" t="s">
        <v>473</v>
      </c>
      <c r="I17" s="797"/>
      <c r="J17" s="217" t="str">
        <f>+'27'!J17</f>
        <v>T 15 RC HW</v>
      </c>
      <c r="K17" s="242"/>
      <c r="L17" s="232"/>
      <c r="M17" s="120">
        <f>+K17+'27'!M17+L17</f>
        <v>148885</v>
      </c>
      <c r="N17" s="152" t="s">
        <v>414</v>
      </c>
      <c r="O17" s="152">
        <v>1150</v>
      </c>
      <c r="P17" s="152">
        <f>+O17-(O17*0.22)</f>
        <v>897</v>
      </c>
      <c r="Q17" s="152">
        <f>480-Q16</f>
        <v>135</v>
      </c>
      <c r="R17" s="152">
        <f t="shared" si="4"/>
        <v>155250</v>
      </c>
      <c r="S17" s="152">
        <f t="shared" si="5"/>
        <v>121095</v>
      </c>
    </row>
    <row r="18" spans="1:19" ht="26.25" thickBot="1">
      <c r="A18" s="799"/>
      <c r="B18" s="218"/>
      <c r="C18" s="219"/>
      <c r="D18" s="220"/>
      <c r="E18" s="228"/>
      <c r="F18" s="231"/>
      <c r="G18" s="240" t="s">
        <v>14</v>
      </c>
      <c r="H18" s="236" t="s">
        <v>715</v>
      </c>
      <c r="I18" s="797"/>
      <c r="J18" s="217">
        <f>+'27'!J18</f>
        <v>0</v>
      </c>
      <c r="K18" s="242"/>
      <c r="L18" s="242"/>
      <c r="M18" s="120">
        <f>+K18+'27'!M18+L18</f>
        <v>0</v>
      </c>
      <c r="P18" s="152">
        <f>+O18-(O18*0.22)</f>
        <v>0</v>
      </c>
      <c r="R18" s="152">
        <f t="shared" ref="R18" si="6">+O18*Q18</f>
        <v>0</v>
      </c>
      <c r="S18" s="152">
        <f t="shared" ref="S18" si="7">+P18*Q18</f>
        <v>0</v>
      </c>
    </row>
    <row r="19" spans="1:19" ht="64.5" thickBot="1">
      <c r="A19" s="799"/>
      <c r="B19" s="218"/>
      <c r="C19" s="219"/>
      <c r="D19" s="220"/>
      <c r="E19" s="228"/>
      <c r="F19" s="238"/>
      <c r="G19" s="235"/>
      <c r="H19" s="236" t="s">
        <v>751</v>
      </c>
      <c r="I19" s="797"/>
      <c r="J19" s="217">
        <f>+'27'!J19</f>
        <v>0</v>
      </c>
      <c r="K19" s="242"/>
      <c r="L19" s="242"/>
      <c r="M19" s="120">
        <f>+K19+'27'!M19+L19</f>
        <v>0</v>
      </c>
    </row>
    <row r="20" spans="1:19" ht="13.5" thickBot="1">
      <c r="A20" s="799"/>
      <c r="B20" s="218"/>
      <c r="C20" s="219"/>
      <c r="D20" s="220"/>
      <c r="E20" s="228"/>
      <c r="F20" s="231"/>
      <c r="G20" s="235"/>
      <c r="H20" s="236"/>
      <c r="I20" s="797"/>
      <c r="J20" s="217">
        <f>+'27'!J20</f>
        <v>0</v>
      </c>
      <c r="K20" s="242"/>
      <c r="L20" s="243"/>
      <c r="M20" s="120">
        <f>+K20+'27'!M20+L20</f>
        <v>0</v>
      </c>
    </row>
    <row r="21" spans="1:19" ht="13.5" thickBot="1">
      <c r="A21" s="799"/>
      <c r="B21" s="218"/>
      <c r="C21" s="219"/>
      <c r="D21" s="220"/>
      <c r="E21" s="228"/>
      <c r="F21" s="234"/>
      <c r="G21" s="235"/>
      <c r="H21" s="236"/>
      <c r="I21" s="797"/>
      <c r="J21" s="217">
        <f>+'27'!J21</f>
        <v>0</v>
      </c>
      <c r="K21" s="242"/>
      <c r="L21" s="242"/>
      <c r="M21" s="120">
        <f>+K21+'27'!M21+L21</f>
        <v>0</v>
      </c>
    </row>
    <row r="22" spans="1:19" ht="13.5" thickBot="1">
      <c r="A22" s="799"/>
      <c r="B22" s="218"/>
      <c r="C22" s="219"/>
      <c r="D22" s="220"/>
      <c r="E22" s="228"/>
      <c r="F22" s="239"/>
      <c r="G22" s="235"/>
      <c r="H22" s="236"/>
      <c r="I22" s="798"/>
      <c r="J22" s="217">
        <f>+'27'!J22</f>
        <v>0</v>
      </c>
      <c r="K22" s="242"/>
      <c r="L22" s="242"/>
      <c r="M22" s="120">
        <f>+K22+'27'!M22+L22</f>
        <v>0</v>
      </c>
    </row>
    <row r="23" spans="1:19" ht="13.5" thickBot="1">
      <c r="A23" s="800"/>
      <c r="B23" s="168" t="s">
        <v>3</v>
      </c>
      <c r="C23" s="103">
        <f>SUM(C16:C22)</f>
        <v>16526</v>
      </c>
      <c r="D23" s="114">
        <f>SUM(D16:D22)</f>
        <v>0</v>
      </c>
      <c r="E23" s="115">
        <f>SUM(E18:E22)</f>
        <v>0</v>
      </c>
      <c r="F23" s="105">
        <f>SUM(F15:F22)</f>
        <v>19</v>
      </c>
      <c r="G23" s="162"/>
      <c r="H23" s="169"/>
      <c r="I23" s="172"/>
      <c r="J23" s="217">
        <f>+'27'!J23</f>
        <v>0</v>
      </c>
      <c r="K23" s="242"/>
      <c r="L23" s="242"/>
      <c r="M23" s="120">
        <f>+K23+'27'!M23+L23</f>
        <v>0</v>
      </c>
      <c r="Q23" s="179">
        <f>SUM(Q16:Q22)</f>
        <v>480</v>
      </c>
      <c r="R23" s="179">
        <f>SUM(R16:R22)</f>
        <v>586500</v>
      </c>
      <c r="S23" s="179">
        <f>SUM(S16:S22)</f>
        <v>457470</v>
      </c>
    </row>
    <row r="24" spans="1:19" ht="13.5" customHeight="1" thickBot="1">
      <c r="A24" s="793" t="s">
        <v>477</v>
      </c>
      <c r="B24" s="173"/>
      <c r="C24" s="116">
        <f>C23/($C$23+$D$23+$E$23)</f>
        <v>1</v>
      </c>
      <c r="D24" s="117">
        <f>D23/($C$23+$D$23+$E$23)</f>
        <v>0</v>
      </c>
      <c r="E24" s="118">
        <f>E23/($C$23+$D$23+$E$23)</f>
        <v>0</v>
      </c>
      <c r="F24" s="231"/>
      <c r="G24" s="232" t="s">
        <v>13</v>
      </c>
      <c r="H24" s="233" t="s">
        <v>391</v>
      </c>
      <c r="I24" s="796" t="s">
        <v>632</v>
      </c>
      <c r="J24" s="217">
        <f>+'27'!J24</f>
        <v>0</v>
      </c>
      <c r="K24" s="242"/>
      <c r="L24" s="242"/>
      <c r="M24" s="120">
        <f>+K24+'27'!M24+L24</f>
        <v>0</v>
      </c>
      <c r="Q24" s="152">
        <f>480-Q23</f>
        <v>0</v>
      </c>
      <c r="R24" s="179">
        <f>+R23/Q23</f>
        <v>1221.875</v>
      </c>
      <c r="S24" s="179">
        <f>+S23/Q23</f>
        <v>953.0625</v>
      </c>
    </row>
    <row r="25" spans="1:19" ht="13.5" customHeight="1" thickBot="1">
      <c r="A25" s="799"/>
      <c r="B25" s="218" t="s">
        <v>434</v>
      </c>
      <c r="C25" s="229">
        <v>18245</v>
      </c>
      <c r="D25" s="220"/>
      <c r="E25" s="228"/>
      <c r="F25" s="234">
        <v>5</v>
      </c>
      <c r="G25" s="583" t="s">
        <v>13</v>
      </c>
      <c r="H25" s="233" t="s">
        <v>474</v>
      </c>
      <c r="I25" s="797"/>
      <c r="J25" s="217">
        <f>+'27'!J25</f>
        <v>0</v>
      </c>
      <c r="K25" s="242"/>
      <c r="L25" s="242"/>
      <c r="M25" s="120">
        <f>+K25+'27'!M25+L25</f>
        <v>0</v>
      </c>
      <c r="N25" s="152" t="s">
        <v>414</v>
      </c>
      <c r="O25" s="152">
        <v>1150</v>
      </c>
      <c r="P25" s="152">
        <f>+O25-(O25*0.22)</f>
        <v>897</v>
      </c>
      <c r="Q25" s="152">
        <v>480</v>
      </c>
      <c r="R25" s="152">
        <f t="shared" ref="R25" si="8">+O25*Q25</f>
        <v>552000</v>
      </c>
      <c r="S25" s="152">
        <f t="shared" ref="S25" si="9">+P25*Q25</f>
        <v>430560</v>
      </c>
    </row>
    <row r="26" spans="1:19" ht="13.5" customHeight="1" thickBot="1">
      <c r="A26" s="799"/>
      <c r="B26" s="218"/>
      <c r="C26" s="229"/>
      <c r="D26" s="220"/>
      <c r="E26" s="230"/>
      <c r="F26" s="231">
        <v>9</v>
      </c>
      <c r="G26" s="583" t="s">
        <v>13</v>
      </c>
      <c r="H26" s="236" t="s">
        <v>724</v>
      </c>
      <c r="I26" s="797"/>
      <c r="J26" s="217">
        <f>+'27'!J26</f>
        <v>0</v>
      </c>
      <c r="K26" s="242"/>
      <c r="L26" s="242"/>
      <c r="M26" s="120">
        <f>+K26+'27'!M26+L26</f>
        <v>0</v>
      </c>
    </row>
    <row r="27" spans="1:19" ht="26.25" thickBot="1">
      <c r="A27" s="799"/>
      <c r="B27" s="218"/>
      <c r="C27" s="219"/>
      <c r="D27" s="220"/>
      <c r="E27" s="228"/>
      <c r="F27" s="231">
        <v>8</v>
      </c>
      <c r="G27" s="240" t="s">
        <v>14</v>
      </c>
      <c r="H27" s="236" t="s">
        <v>752</v>
      </c>
      <c r="I27" s="797"/>
      <c r="J27" s="217">
        <f>+'27'!J27</f>
        <v>0</v>
      </c>
      <c r="K27" s="242"/>
      <c r="L27" s="242"/>
      <c r="M27" s="120">
        <f>+K27+'27'!M27+L27</f>
        <v>0</v>
      </c>
      <c r="P27" s="152">
        <f>+O27-(O27*0.22)</f>
        <v>0</v>
      </c>
      <c r="R27" s="152">
        <f t="shared" ref="R27" si="10">+O27*Q27</f>
        <v>0</v>
      </c>
      <c r="S27" s="152">
        <f t="shared" ref="S27" si="11">+P27*Q27</f>
        <v>0</v>
      </c>
    </row>
    <row r="28" spans="1:19" ht="13.5" customHeight="1" thickBot="1">
      <c r="A28" s="799"/>
      <c r="B28" s="218"/>
      <c r="C28" s="219"/>
      <c r="D28" s="220"/>
      <c r="E28" s="228"/>
      <c r="F28" s="234"/>
      <c r="G28" s="235"/>
      <c r="H28" s="236"/>
      <c r="I28" s="797"/>
      <c r="J28" s="217">
        <f>+'27'!J28</f>
        <v>0</v>
      </c>
      <c r="K28" s="242"/>
      <c r="L28" s="242"/>
      <c r="M28" s="120">
        <f>+K28+'27'!M28+L28</f>
        <v>0</v>
      </c>
    </row>
    <row r="29" spans="1:19" ht="13.5" customHeight="1" thickBot="1">
      <c r="A29" s="799"/>
      <c r="B29" s="218"/>
      <c r="C29" s="219"/>
      <c r="D29" s="220"/>
      <c r="E29" s="228"/>
      <c r="F29" s="239"/>
      <c r="G29" s="235"/>
      <c r="H29" s="236"/>
      <c r="I29" s="797"/>
      <c r="J29" s="217">
        <f>+'27'!J29</f>
        <v>0</v>
      </c>
      <c r="K29" s="242"/>
      <c r="L29" s="242"/>
      <c r="M29" s="120">
        <f>+K29+'27'!M29+L29</f>
        <v>0</v>
      </c>
    </row>
    <row r="30" spans="1:19" ht="13.5" customHeight="1" thickBot="1">
      <c r="A30" s="799"/>
      <c r="B30" s="218"/>
      <c r="C30" s="229"/>
      <c r="D30" s="220"/>
      <c r="E30" s="228"/>
      <c r="F30" s="239"/>
      <c r="G30" s="235"/>
      <c r="H30" s="236"/>
      <c r="I30" s="797"/>
      <c r="J30" s="217">
        <f>+'27'!J30</f>
        <v>0</v>
      </c>
      <c r="K30" s="242"/>
      <c r="L30" s="242"/>
      <c r="M30" s="120">
        <f>+K30+'27'!M30+L30</f>
        <v>0</v>
      </c>
    </row>
    <row r="31" spans="1:19" ht="13.5" customHeight="1" thickBot="1">
      <c r="A31" s="799"/>
      <c r="B31" s="218"/>
      <c r="C31" s="229"/>
      <c r="D31" s="220"/>
      <c r="E31" s="228"/>
      <c r="F31" s="239"/>
      <c r="G31" s="240"/>
      <c r="H31" s="237"/>
      <c r="I31" s="798"/>
      <c r="J31" s="217">
        <f>+'27'!J31</f>
        <v>0</v>
      </c>
      <c r="K31" s="242"/>
      <c r="L31" s="242"/>
      <c r="M31" s="120">
        <f>+K31+'27'!M31+L31</f>
        <v>0</v>
      </c>
    </row>
    <row r="32" spans="1:19" ht="13.5" customHeight="1" thickBot="1">
      <c r="A32" s="800"/>
      <c r="B32" s="168" t="s">
        <v>3</v>
      </c>
      <c r="C32" s="102">
        <f>SUM(C25:C31)</f>
        <v>18245</v>
      </c>
      <c r="D32" s="103">
        <f>SUM(D25:D31)</f>
        <v>0</v>
      </c>
      <c r="E32" s="104">
        <f>SUM(E25:E31)</f>
        <v>0</v>
      </c>
      <c r="F32" s="105">
        <f>SUM(F24:F31)</f>
        <v>22</v>
      </c>
      <c r="G32" s="174"/>
      <c r="H32" s="175"/>
      <c r="I32" s="172"/>
      <c r="J32" s="217">
        <f>+'27'!J32</f>
        <v>0</v>
      </c>
      <c r="K32" s="242"/>
      <c r="L32" s="246"/>
      <c r="M32" s="120">
        <f>+K32+'27'!M32+L32</f>
        <v>0</v>
      </c>
      <c r="Q32" s="179">
        <f>SUM(Q25:Q31)</f>
        <v>480</v>
      </c>
      <c r="R32" s="179">
        <f>SUM(R25:R31)</f>
        <v>552000</v>
      </c>
      <c r="S32" s="179">
        <f>SUM(S25:S31)</f>
        <v>430560</v>
      </c>
    </row>
    <row r="33" spans="1:19" ht="13.5" thickBot="1">
      <c r="A33" s="176"/>
      <c r="B33" s="177"/>
      <c r="C33" s="106">
        <f>C32/($C$32+$D$32+$E$32)</f>
        <v>1</v>
      </c>
      <c r="D33" s="107">
        <f>D32/($C$32+$D$32+$E$32)</f>
        <v>0</v>
      </c>
      <c r="E33" s="108">
        <f>E32/($C$32+$D$32+$E$32)</f>
        <v>0</v>
      </c>
      <c r="F33" s="109"/>
      <c r="G33" s="178"/>
      <c r="H33" s="179"/>
      <c r="I33" s="180"/>
      <c r="J33" s="124"/>
      <c r="K33" s="125"/>
      <c r="L33" s="216"/>
      <c r="M33" s="122"/>
      <c r="Q33" s="152">
        <f>480-Q32</f>
        <v>0</v>
      </c>
      <c r="R33" s="179">
        <f>+R32/Q32</f>
        <v>1150</v>
      </c>
      <c r="S33" s="179">
        <f>+S32/Q32</f>
        <v>897</v>
      </c>
    </row>
    <row r="34" spans="1:19" ht="13.5" thickBot="1">
      <c r="A34" s="801" t="s">
        <v>70</v>
      </c>
      <c r="B34" s="802"/>
      <c r="C34" s="110">
        <f>C14+C23+C32</f>
        <v>52008</v>
      </c>
      <c r="D34" s="110">
        <f>D14+D23+D32</f>
        <v>0</v>
      </c>
      <c r="E34" s="110">
        <f>E14+E23+E32</f>
        <v>0</v>
      </c>
      <c r="F34" s="111">
        <f>F14+F23+F32</f>
        <v>61</v>
      </c>
      <c r="H34" s="181"/>
      <c r="I34" s="181"/>
      <c r="J34" s="126" t="s">
        <v>29</v>
      </c>
      <c r="K34" s="127">
        <f>SUM(K7:K32)</f>
        <v>52008</v>
      </c>
      <c r="L34" s="215">
        <f>SUM(L7:L32)</f>
        <v>0</v>
      </c>
      <c r="M34" s="123">
        <f>SUM(M7:M32)</f>
        <v>1291741</v>
      </c>
      <c r="N34" s="158"/>
    </row>
    <row r="35" spans="1:19" ht="13.5" thickBot="1">
      <c r="A35" s="182"/>
      <c r="B35" s="183"/>
      <c r="C35" s="107">
        <f>C34/($C$34+$D$34+$E$34)</f>
        <v>1</v>
      </c>
      <c r="D35" s="107">
        <f>D34/($C$34+$D$34+$E$34)</f>
        <v>0</v>
      </c>
      <c r="E35" s="112">
        <f>E34/($C$34+$D$34+$E$34)</f>
        <v>0</v>
      </c>
      <c r="K35" s="158"/>
      <c r="L35" s="792" t="s">
        <v>187</v>
      </c>
      <c r="M35" s="792"/>
      <c r="O35" s="152" t="s">
        <v>497</v>
      </c>
      <c r="P35" s="152">
        <v>1250</v>
      </c>
      <c r="Q35" s="152">
        <v>975</v>
      </c>
      <c r="R35" s="152">
        <v>825</v>
      </c>
    </row>
    <row r="36" spans="1:19" ht="13.5" thickBot="1">
      <c r="A36" s="181"/>
      <c r="B36" s="181"/>
      <c r="C36" s="158"/>
      <c r="D36" s="158"/>
      <c r="E36" s="158"/>
      <c r="G36" s="158"/>
      <c r="H36" s="184"/>
      <c r="I36" s="165" t="s">
        <v>41</v>
      </c>
      <c r="J36" s="165" t="s">
        <v>42</v>
      </c>
      <c r="K36" s="185"/>
      <c r="L36" s="165" t="s">
        <v>41</v>
      </c>
      <c r="M36" s="165" t="s">
        <v>42</v>
      </c>
      <c r="O36" s="152" t="s">
        <v>414</v>
      </c>
      <c r="P36" s="152">
        <v>1150</v>
      </c>
      <c r="Q36" s="152">
        <v>897</v>
      </c>
      <c r="R36" s="152">
        <f>135+480</f>
        <v>615</v>
      </c>
    </row>
    <row r="37" spans="1:19" ht="17.45" customHeight="1" thickBot="1">
      <c r="A37" s="790" t="s">
        <v>71</v>
      </c>
      <c r="B37" s="791"/>
      <c r="C37" s="165" t="s">
        <v>72</v>
      </c>
      <c r="D37" s="186" t="s">
        <v>73</v>
      </c>
      <c r="E37" s="187" t="s">
        <v>74</v>
      </c>
      <c r="F37" s="365"/>
      <c r="G37" s="367"/>
      <c r="H37" s="189" t="s">
        <v>75</v>
      </c>
      <c r="I37" s="247">
        <f>(13.5*825+15.5*615)/1440*G42*2.75*1440/1000000</f>
        <v>53.521065577302629</v>
      </c>
      <c r="J37" s="128">
        <f>+I37+'27'!J37</f>
        <v>1395.5621475406804</v>
      </c>
      <c r="K37" s="129" t="s">
        <v>76</v>
      </c>
      <c r="L37" s="426"/>
      <c r="M37" s="427"/>
      <c r="R37" s="152">
        <f>+R35+R36</f>
        <v>1440</v>
      </c>
    </row>
    <row r="38" spans="1:19" ht="17.45" customHeight="1">
      <c r="A38" s="786" t="s">
        <v>13</v>
      </c>
      <c r="B38" s="787"/>
      <c r="C38" s="167">
        <f>SUMIF($G$7:$G$31,"Process",$F$7:$F$31)</f>
        <v>43</v>
      </c>
      <c r="D38" s="121">
        <f>+C38+'27'!D38</f>
        <v>1754</v>
      </c>
      <c r="E38" s="146">
        <f t="shared" ref="E38:E51" si="12">D38/60</f>
        <v>29.233333333333334</v>
      </c>
      <c r="F38" s="365">
        <v>1250</v>
      </c>
      <c r="G38" s="365">
        <v>975</v>
      </c>
      <c r="H38" s="190" t="s">
        <v>77</v>
      </c>
      <c r="I38" s="547">
        <f>15.847+16.237+19.312</f>
        <v>51.396000000000001</v>
      </c>
      <c r="J38" s="130">
        <f>+I38+'27'!J38</f>
        <v>1319.4572999999998</v>
      </c>
      <c r="K38" s="131" t="s">
        <v>76</v>
      </c>
      <c r="L38" s="428"/>
      <c r="M38" s="429"/>
    </row>
    <row r="39" spans="1:19" ht="17.45" customHeight="1">
      <c r="A39" s="782" t="s">
        <v>14</v>
      </c>
      <c r="B39" s="783"/>
      <c r="C39" s="167">
        <f>SUMIF($G$7:$G$31,"Cleaning",$F$7:$F$31)</f>
        <v>18</v>
      </c>
      <c r="D39" s="121">
        <f>+C39+'27'!D39</f>
        <v>261</v>
      </c>
      <c r="E39" s="146">
        <f t="shared" si="12"/>
        <v>4.3499999999999996</v>
      </c>
      <c r="F39" s="365">
        <v>1221.875</v>
      </c>
      <c r="G39" s="365">
        <v>953.0625</v>
      </c>
      <c r="H39" s="190" t="s">
        <v>78</v>
      </c>
      <c r="I39" s="145"/>
      <c r="J39" s="132">
        <f>J37/G4</f>
        <v>49.841505269310012</v>
      </c>
      <c r="K39" s="133" t="s">
        <v>76</v>
      </c>
      <c r="L39" s="428"/>
      <c r="M39" s="429"/>
    </row>
    <row r="40" spans="1:19" ht="17.45" customHeight="1">
      <c r="A40" s="782" t="s">
        <v>79</v>
      </c>
      <c r="B40" s="783"/>
      <c r="C40" s="167">
        <f>SUMIF($G$7:$G$31,"Mechanical",$F$7:$F$31)</f>
        <v>0</v>
      </c>
      <c r="D40" s="121">
        <f>+C40+'27'!D40</f>
        <v>120</v>
      </c>
      <c r="E40" s="146">
        <f t="shared" si="12"/>
        <v>2</v>
      </c>
      <c r="F40" s="365">
        <v>1150</v>
      </c>
      <c r="G40" s="365">
        <v>897</v>
      </c>
      <c r="H40" s="190" t="s">
        <v>80</v>
      </c>
      <c r="I40" s="121">
        <f>(K34+L34)/1000</f>
        <v>52.008000000000003</v>
      </c>
      <c r="J40" s="134">
        <f>+I40+'27'!J40</f>
        <v>1291.741</v>
      </c>
      <c r="K40" s="133" t="s">
        <v>76</v>
      </c>
      <c r="L40" s="428"/>
      <c r="M40" s="429"/>
    </row>
    <row r="41" spans="1:19" ht="17.45" customHeight="1">
      <c r="A41" s="782" t="s">
        <v>81</v>
      </c>
      <c r="B41" s="783"/>
      <c r="C41" s="167">
        <f>SUMIF($G$7:$G$31,"Electrical",$F$7:$F$31)</f>
        <v>0</v>
      </c>
      <c r="D41" s="121">
        <f>+C41+'27'!D41</f>
        <v>80</v>
      </c>
      <c r="E41" s="146">
        <f t="shared" si="12"/>
        <v>1.3333333333333333</v>
      </c>
      <c r="F41" s="365"/>
      <c r="G41" s="365"/>
      <c r="H41" s="190" t="s">
        <v>82</v>
      </c>
      <c r="I41" s="145"/>
      <c r="J41" s="132">
        <f>J40/G4</f>
        <v>46.133607142857144</v>
      </c>
      <c r="K41" s="133" t="s">
        <v>76</v>
      </c>
      <c r="L41" s="428"/>
      <c r="M41" s="429"/>
    </row>
    <row r="42" spans="1:19" ht="17.45" customHeight="1">
      <c r="A42" s="782" t="s">
        <v>17</v>
      </c>
      <c r="B42" s="783"/>
      <c r="C42" s="167">
        <f>SUMIF($G$7:$G$31,"Instrument",$F$7:$F$31)</f>
        <v>0</v>
      </c>
      <c r="D42" s="121">
        <f>+C42+'27'!D42</f>
        <v>0</v>
      </c>
      <c r="E42" s="146">
        <f t="shared" si="12"/>
        <v>0</v>
      </c>
      <c r="F42" s="365">
        <f>+(F38*480+F40*480+F39*465)/1425</f>
        <v>1207.1381578947369</v>
      </c>
      <c r="G42" s="365">
        <f>+(G38*480+G40*480+G39*465)/1425</f>
        <v>941.56776315789477</v>
      </c>
      <c r="H42" s="190" t="s">
        <v>83</v>
      </c>
      <c r="I42" s="249" t="s">
        <v>723</v>
      </c>
      <c r="J42" s="135"/>
      <c r="K42" s="133" t="s">
        <v>84</v>
      </c>
      <c r="L42" s="428"/>
      <c r="M42" s="429"/>
    </row>
    <row r="43" spans="1:19" ht="17.45" customHeight="1">
      <c r="A43" s="782" t="s">
        <v>85</v>
      </c>
      <c r="B43" s="783"/>
      <c r="C43" s="167">
        <f>SUMIF($G$7:$G$31,"Water",$F$7:$F$31)</f>
        <v>0</v>
      </c>
      <c r="D43" s="121">
        <f>+C43+'27'!D43</f>
        <v>0</v>
      </c>
      <c r="E43" s="146">
        <f t="shared" si="12"/>
        <v>0</v>
      </c>
      <c r="F43" s="365"/>
      <c r="G43" s="366"/>
      <c r="H43" s="191" t="s">
        <v>86</v>
      </c>
      <c r="I43" s="121">
        <f>+Report1!AH36</f>
        <v>72.5</v>
      </c>
      <c r="J43" s="136">
        <f>+I43+'27'!J43</f>
        <v>1838.7000000000003</v>
      </c>
      <c r="K43" s="133" t="s">
        <v>76</v>
      </c>
      <c r="L43" s="430">
        <f>+Report1!AN36</f>
        <v>0</v>
      </c>
      <c r="M43" s="431">
        <f>+L43+'27'!M43</f>
        <v>0</v>
      </c>
    </row>
    <row r="44" spans="1:19" ht="17.45" customHeight="1">
      <c r="A44" s="782" t="s">
        <v>18</v>
      </c>
      <c r="B44" s="783"/>
      <c r="C44" s="167">
        <f>SUMIF($G$7:$G$31,"PLN",$F$7:$F$31)</f>
        <v>0</v>
      </c>
      <c r="D44" s="121">
        <f>+C44+'27'!D44</f>
        <v>0</v>
      </c>
      <c r="E44" s="146">
        <f t="shared" si="12"/>
        <v>0</v>
      </c>
      <c r="F44" s="365"/>
      <c r="G44" s="366"/>
      <c r="H44" s="191" t="s">
        <v>87</v>
      </c>
      <c r="I44" s="121">
        <f>I43/I38</f>
        <v>1.4106156121098918</v>
      </c>
      <c r="J44" s="137">
        <f>J43/J38</f>
        <v>1.3935274752733571</v>
      </c>
      <c r="K44" s="133" t="s">
        <v>76</v>
      </c>
      <c r="L44" s="432">
        <f>+L43/I38</f>
        <v>0</v>
      </c>
      <c r="M44" s="433">
        <f>+M43/J38</f>
        <v>0</v>
      </c>
    </row>
    <row r="45" spans="1:19" ht="17.45" customHeight="1">
      <c r="A45" s="782" t="s">
        <v>19</v>
      </c>
      <c r="B45" s="783"/>
      <c r="C45" s="167">
        <f>SUMIF($G$7:$G$31,"Boiler",$F$7:$F$31)</f>
        <v>0</v>
      </c>
      <c r="D45" s="121">
        <f>+C45+'27'!D45</f>
        <v>0</v>
      </c>
      <c r="E45" s="146">
        <f t="shared" si="12"/>
        <v>0</v>
      </c>
      <c r="F45" s="365"/>
      <c r="G45" s="368"/>
      <c r="H45" s="191" t="s">
        <v>88</v>
      </c>
      <c r="I45" s="121">
        <f>I43/I40</f>
        <v>1.3940163051838177</v>
      </c>
      <c r="J45" s="137">
        <f>J43/J40</f>
        <v>1.423427761447535</v>
      </c>
      <c r="K45" s="133" t="s">
        <v>76</v>
      </c>
      <c r="L45" s="432">
        <f>+L43/I40</f>
        <v>0</v>
      </c>
      <c r="M45" s="433">
        <f>+M43/J40</f>
        <v>0</v>
      </c>
    </row>
    <row r="46" spans="1:19" ht="17.45" customHeight="1">
      <c r="A46" s="782" t="s">
        <v>89</v>
      </c>
      <c r="B46" s="783"/>
      <c r="C46" s="167">
        <f>SUMIF($G$7:$G$31,"Gas",$F$7:$F$31)</f>
        <v>0</v>
      </c>
      <c r="D46" s="121">
        <f>+C46+'27'!D46</f>
        <v>0</v>
      </c>
      <c r="E46" s="146">
        <f t="shared" si="12"/>
        <v>0</v>
      </c>
      <c r="F46" s="365"/>
      <c r="G46" s="366"/>
      <c r="H46" s="191" t="s">
        <v>90</v>
      </c>
      <c r="I46" s="143">
        <f>+SUMIF(Listrik!P35,"&gt;0")</f>
        <v>41639.079999999893</v>
      </c>
      <c r="J46" s="138">
        <f>+I46+'27'!J46</f>
        <v>1099585.3399999999</v>
      </c>
      <c r="K46" s="133" t="s">
        <v>91</v>
      </c>
      <c r="L46" s="432">
        <f>+Listrik!AF35</f>
        <v>0</v>
      </c>
      <c r="M46" s="434">
        <f>+L46+'27'!M46</f>
        <v>0</v>
      </c>
    </row>
    <row r="47" spans="1:19" ht="17.45" customHeight="1">
      <c r="A47" s="782" t="s">
        <v>92</v>
      </c>
      <c r="B47" s="783"/>
      <c r="C47" s="167">
        <f>SUMIF($G$7:$G$31,"Gas",$F$7:$F$31)</f>
        <v>0</v>
      </c>
      <c r="D47" s="121">
        <f>+C47+'27'!D47</f>
        <v>0</v>
      </c>
      <c r="E47" s="146">
        <f t="shared" si="12"/>
        <v>0</v>
      </c>
      <c r="F47" s="365"/>
      <c r="G47" s="366"/>
      <c r="H47" s="191" t="s">
        <v>93</v>
      </c>
      <c r="I47" s="121">
        <f>I46/I38</f>
        <v>810.1618803019669</v>
      </c>
      <c r="J47" s="138">
        <f>J46/J38</f>
        <v>833.3618223189186</v>
      </c>
      <c r="K47" s="133" t="s">
        <v>25</v>
      </c>
      <c r="L47" s="432">
        <f>+L46/I38</f>
        <v>0</v>
      </c>
      <c r="M47" s="433">
        <f>+M46/J38</f>
        <v>0</v>
      </c>
    </row>
    <row r="48" spans="1:19" ht="17.45" customHeight="1">
      <c r="A48" s="782" t="s">
        <v>15</v>
      </c>
      <c r="B48" s="783"/>
      <c r="C48" s="167">
        <f>SUMIF($G$7:$G$31,"Start Up",$F$7:$F$31)</f>
        <v>0</v>
      </c>
      <c r="D48" s="121">
        <f>+C48+'27'!D48</f>
        <v>0</v>
      </c>
      <c r="E48" s="146">
        <f t="shared" si="12"/>
        <v>0</v>
      </c>
      <c r="F48" s="365"/>
      <c r="G48" s="366"/>
      <c r="H48" s="191" t="s">
        <v>94</v>
      </c>
      <c r="I48" s="121">
        <f>I46/I40</f>
        <v>800.62836486694141</v>
      </c>
      <c r="J48" s="138">
        <f>J46/J40</f>
        <v>851.24288847377284</v>
      </c>
      <c r="K48" s="133" t="s">
        <v>25</v>
      </c>
      <c r="L48" s="432">
        <f>+L46/I38</f>
        <v>0</v>
      </c>
      <c r="M48" s="433">
        <f>+M46/J40</f>
        <v>0</v>
      </c>
    </row>
    <row r="49" spans="1:13" ht="17.45" customHeight="1">
      <c r="A49" s="782" t="s">
        <v>21</v>
      </c>
      <c r="B49" s="783"/>
      <c r="C49" s="167">
        <f>SUMIF($G$7:$G$31,"Others",$F$7:$F$31)</f>
        <v>0</v>
      </c>
      <c r="D49" s="121">
        <f>+C49+'27'!D49</f>
        <v>924</v>
      </c>
      <c r="E49" s="146">
        <f t="shared" si="12"/>
        <v>15.4</v>
      </c>
      <c r="F49" s="188"/>
      <c r="H49" s="191" t="s">
        <v>95</v>
      </c>
      <c r="I49" s="121">
        <f>+Report1!AB36</f>
        <v>4950.0190466006834</v>
      </c>
      <c r="J49" s="138">
        <f>+I49+'27'!J49</f>
        <v>125010.20353289753</v>
      </c>
      <c r="K49" s="133" t="s">
        <v>96</v>
      </c>
      <c r="L49" s="428"/>
      <c r="M49" s="429"/>
    </row>
    <row r="50" spans="1:13" ht="17.45" customHeight="1">
      <c r="A50" s="782" t="s">
        <v>20</v>
      </c>
      <c r="B50" s="783"/>
      <c r="C50" s="167">
        <f>SUMIF($G$7:$G$31,"Steam",$F$7:$F$31)</f>
        <v>0</v>
      </c>
      <c r="D50" s="121">
        <f>+C50+'27'!D50</f>
        <v>0</v>
      </c>
      <c r="E50" s="146">
        <f t="shared" si="12"/>
        <v>0</v>
      </c>
      <c r="F50" s="188"/>
      <c r="H50" s="191" t="s">
        <v>97</v>
      </c>
      <c r="I50" s="143">
        <f>I49/I38</f>
        <v>96.311367550017181</v>
      </c>
      <c r="J50" s="136">
        <f>J49/J38</f>
        <v>94.743652206780439</v>
      </c>
      <c r="K50" s="133" t="s">
        <v>96</v>
      </c>
      <c r="L50" s="428"/>
      <c r="M50" s="429"/>
    </row>
    <row r="51" spans="1:13" ht="17.45" customHeight="1" thickBot="1">
      <c r="A51" s="784" t="s">
        <v>98</v>
      </c>
      <c r="B51" s="785"/>
      <c r="C51" s="167">
        <f>SUMIF($G$7:$G$31,"Planned shut",$F$7:$F$31)</f>
        <v>0</v>
      </c>
      <c r="D51" s="121">
        <f>+C51+'27'!D51</f>
        <v>0</v>
      </c>
      <c r="E51" s="146">
        <f t="shared" si="12"/>
        <v>0</v>
      </c>
      <c r="F51" s="188"/>
      <c r="H51" s="193" t="s">
        <v>99</v>
      </c>
      <c r="I51" s="144">
        <f>I49/I40</f>
        <v>95.178031199059433</v>
      </c>
      <c r="J51" s="139">
        <f>J49/J40</f>
        <v>96.776523724877919</v>
      </c>
      <c r="K51" s="140" t="s">
        <v>96</v>
      </c>
      <c r="L51" s="428"/>
      <c r="M51" s="429"/>
    </row>
    <row r="52" spans="1:13" ht="13.5" thickBot="1">
      <c r="A52" s="786" t="s">
        <v>29</v>
      </c>
      <c r="B52" s="787"/>
      <c r="C52" s="147">
        <f>SUM(C38:C51)</f>
        <v>61</v>
      </c>
      <c r="D52" s="147">
        <f>SUM(D38:D51)</f>
        <v>3139</v>
      </c>
      <c r="E52" s="148">
        <f>SUM(E38:E51)</f>
        <v>52.31666666666667</v>
      </c>
      <c r="F52" s="188"/>
      <c r="H52" s="194"/>
      <c r="I52" s="195"/>
      <c r="J52" s="141"/>
      <c r="K52" s="142"/>
      <c r="L52" s="435"/>
      <c r="M52" s="436"/>
    </row>
    <row r="53" spans="1:13" ht="13.5" thickBot="1">
      <c r="A53" s="788"/>
      <c r="B53" s="789"/>
      <c r="C53" s="149">
        <f>C52/(24*60)</f>
        <v>4.2361111111111113E-2</v>
      </c>
      <c r="D53" s="149">
        <f>D52/(24*60*G4)</f>
        <v>7.7852182539682541E-2</v>
      </c>
      <c r="E53" s="150">
        <f>E52/(G4*24)</f>
        <v>7.7852182539682541E-2</v>
      </c>
      <c r="F53" s="188"/>
    </row>
    <row r="54" spans="1:13">
      <c r="E54" s="196"/>
      <c r="F54" s="188"/>
    </row>
    <row r="55" spans="1:13">
      <c r="E55" s="196"/>
    </row>
    <row r="56" spans="1:13">
      <c r="A56" s="197" t="s">
        <v>100</v>
      </c>
      <c r="B56" s="198"/>
      <c r="C56" s="199"/>
      <c r="D56" s="199"/>
      <c r="E56" s="199"/>
      <c r="F56" s="200"/>
      <c r="G56" s="199"/>
      <c r="H56" s="201"/>
      <c r="I56" s="202" t="s">
        <v>101</v>
      </c>
      <c r="J56" s="203">
        <f>+D34+'27'!J56</f>
        <v>2884</v>
      </c>
      <c r="K56" s="204">
        <f>J56/(J40+J56/1000)/1000</f>
        <v>2.2276721058221492E-3</v>
      </c>
    </row>
    <row r="57" spans="1:13">
      <c r="A57" s="179"/>
      <c r="I57" s="202" t="s">
        <v>102</v>
      </c>
      <c r="J57" s="203">
        <f>+E34+'27'!J57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1"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S61"/>
  <sheetViews>
    <sheetView zoomScale="80" zoomScaleNormal="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2.28515625" style="152" customWidth="1"/>
    <col min="11" max="11" width="12.5703125" style="152" bestFit="1" customWidth="1"/>
    <col min="12" max="12" width="8.28515625" style="152" customWidth="1"/>
    <col min="13" max="13" width="15.8554687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27</v>
      </c>
      <c r="H4" s="157" t="str">
        <f>+'1'!H4</f>
        <v>.03.26</v>
      </c>
      <c r="J4" s="152">
        <f>450.5+540.9+415.4</f>
        <v>1406.8</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699</v>
      </c>
      <c r="O6" s="152">
        <v>1250</v>
      </c>
      <c r="P6" s="152">
        <f>+O6-(O6*0.22)</f>
        <v>975</v>
      </c>
      <c r="Q6" s="152">
        <v>35</v>
      </c>
      <c r="R6" s="152">
        <f t="shared" ref="R6:R8" si="0">+O6*Q6</f>
        <v>43750</v>
      </c>
      <c r="S6" s="152">
        <f t="shared" ref="S6:S8" si="1">+P6*Q6</f>
        <v>34125</v>
      </c>
    </row>
    <row r="7" spans="1:19" ht="13.5" customHeight="1" thickBot="1">
      <c r="A7" s="793" t="s">
        <v>430</v>
      </c>
      <c r="B7" s="218" t="s">
        <v>707</v>
      </c>
      <c r="C7" s="219">
        <v>5570</v>
      </c>
      <c r="D7" s="220"/>
      <c r="E7" s="221"/>
      <c r="F7" s="231"/>
      <c r="G7" s="232" t="s">
        <v>13</v>
      </c>
      <c r="H7" s="233" t="s">
        <v>391</v>
      </c>
      <c r="I7" s="796" t="s">
        <v>669</v>
      </c>
      <c r="J7" s="217" t="str">
        <f>+'26'!J7</f>
        <v>T 14 RC HW</v>
      </c>
      <c r="K7" s="241"/>
      <c r="L7" s="245"/>
      <c r="M7" s="120">
        <f>+K7+'26'!M7+L7</f>
        <v>240535</v>
      </c>
      <c r="N7" s="152" t="s">
        <v>497</v>
      </c>
      <c r="O7" s="152">
        <v>1250</v>
      </c>
      <c r="P7" s="152">
        <f>+O7-(O7*0.22)</f>
        <v>975</v>
      </c>
      <c r="Q7" s="152">
        <f>480-Q6</f>
        <v>445</v>
      </c>
      <c r="R7" s="152">
        <f t="shared" si="0"/>
        <v>556250</v>
      </c>
      <c r="S7" s="152">
        <f t="shared" si="1"/>
        <v>433875</v>
      </c>
    </row>
    <row r="8" spans="1:19" ht="13.5" thickBot="1">
      <c r="A8" s="794"/>
      <c r="B8" s="218" t="s">
        <v>501</v>
      </c>
      <c r="C8" s="219">
        <v>8922</v>
      </c>
      <c r="D8" s="220"/>
      <c r="E8" s="222"/>
      <c r="F8" s="234">
        <v>7</v>
      </c>
      <c r="G8" s="583" t="s">
        <v>13</v>
      </c>
      <c r="H8" s="233" t="s">
        <v>474</v>
      </c>
      <c r="I8" s="797"/>
      <c r="J8" s="217" t="str">
        <f>+'26'!J8</f>
        <v>T 15,5 RC HW</v>
      </c>
      <c r="K8" s="242"/>
      <c r="L8" s="242"/>
      <c r="M8" s="120">
        <f>+K8+'26'!M8+L8</f>
        <v>139937</v>
      </c>
      <c r="P8" s="152">
        <f>+O8-(O8*0.22)</f>
        <v>0</v>
      </c>
      <c r="R8" s="152">
        <f t="shared" si="0"/>
        <v>0</v>
      </c>
      <c r="S8" s="152">
        <f t="shared" si="1"/>
        <v>0</v>
      </c>
    </row>
    <row r="9" spans="1:19" ht="13.5" thickBot="1">
      <c r="A9" s="794"/>
      <c r="B9" s="218"/>
      <c r="C9" s="219"/>
      <c r="D9" s="220"/>
      <c r="E9" s="223"/>
      <c r="F9" s="231">
        <v>8</v>
      </c>
      <c r="G9" s="583" t="s">
        <v>13</v>
      </c>
      <c r="H9" s="236" t="s">
        <v>617</v>
      </c>
      <c r="I9" s="797"/>
      <c r="J9" s="217" t="str">
        <f>+'26'!J9</f>
        <v>T 13,5 RC HW</v>
      </c>
      <c r="K9" s="242">
        <f>+C8+C16+C25</f>
        <v>44184</v>
      </c>
      <c r="L9" s="242"/>
      <c r="M9" s="120">
        <f>+K9+'26'!M9+L9</f>
        <v>75681</v>
      </c>
    </row>
    <row r="10" spans="1:19" ht="26.25" thickBot="1">
      <c r="A10" s="794"/>
      <c r="B10" s="218"/>
      <c r="C10" s="219"/>
      <c r="D10" s="220"/>
      <c r="E10" s="222"/>
      <c r="F10" s="231">
        <v>10</v>
      </c>
      <c r="G10" s="240" t="s">
        <v>14</v>
      </c>
      <c r="H10" s="236" t="s">
        <v>717</v>
      </c>
      <c r="I10" s="797"/>
      <c r="J10" s="217" t="str">
        <f>+'26'!J10</f>
        <v>T 20 RC HW</v>
      </c>
      <c r="K10" s="242"/>
      <c r="L10" s="242"/>
      <c r="M10" s="120">
        <f>+K10+'26'!M10+L10</f>
        <v>35769</v>
      </c>
    </row>
    <row r="11" spans="1:19" ht="13.5" thickBot="1">
      <c r="A11" s="794"/>
      <c r="B11" s="218"/>
      <c r="C11" s="219"/>
      <c r="D11" s="220"/>
      <c r="E11" s="222"/>
      <c r="F11" s="231"/>
      <c r="G11" s="235"/>
      <c r="H11" s="236" t="s">
        <v>718</v>
      </c>
      <c r="I11" s="797"/>
      <c r="J11" s="217" t="str">
        <f>+'26'!J11</f>
        <v>T 17 RC HW</v>
      </c>
      <c r="K11" s="242"/>
      <c r="L11" s="242"/>
      <c r="M11" s="120">
        <f>+K11+'26'!M11+L11</f>
        <v>18517</v>
      </c>
    </row>
    <row r="12" spans="1:19" ht="13.5" thickBot="1">
      <c r="A12" s="794"/>
      <c r="B12" s="218"/>
      <c r="C12" s="219"/>
      <c r="D12" s="220"/>
      <c r="E12" s="222"/>
      <c r="F12" s="231"/>
      <c r="G12" s="235"/>
      <c r="H12" s="236"/>
      <c r="I12" s="797"/>
      <c r="J12" s="217" t="str">
        <f>+'26'!J12</f>
        <v>T 16 RC HW</v>
      </c>
      <c r="K12" s="242"/>
      <c r="L12" s="242"/>
      <c r="M12" s="120">
        <f>+K12+'26'!M12+L12</f>
        <v>38417</v>
      </c>
    </row>
    <row r="13" spans="1:19" ht="13.5" thickBot="1">
      <c r="A13" s="794"/>
      <c r="B13" s="218"/>
      <c r="C13" s="219"/>
      <c r="D13" s="219"/>
      <c r="E13" s="222"/>
      <c r="F13" s="231"/>
      <c r="G13" s="235"/>
      <c r="H13" s="236"/>
      <c r="I13" s="798"/>
      <c r="J13" s="217" t="str">
        <f>+'26'!J13</f>
        <v>N 15,5 RC HW</v>
      </c>
      <c r="K13" s="242"/>
      <c r="L13" s="242"/>
      <c r="M13" s="120">
        <f>+K13+'26'!M13+L13</f>
        <v>72746</v>
      </c>
      <c r="Q13" s="179">
        <f>SUM(Q6:Q12)</f>
        <v>480</v>
      </c>
      <c r="R13" s="179">
        <f>SUM(R6:R12)</f>
        <v>600000</v>
      </c>
      <c r="S13" s="179">
        <f>SUM(S6:S12)</f>
        <v>468000</v>
      </c>
    </row>
    <row r="14" spans="1:19" ht="13.5" thickBot="1">
      <c r="A14" s="795"/>
      <c r="B14" s="168" t="s">
        <v>3</v>
      </c>
      <c r="C14" s="102">
        <f>SUM(C7:C13)</f>
        <v>14492</v>
      </c>
      <c r="D14" s="114">
        <f>SUM(D7:D13)</f>
        <v>0</v>
      </c>
      <c r="E14" s="115">
        <f>SUM(E5:E13)</f>
        <v>0</v>
      </c>
      <c r="F14" s="105">
        <f>SUM(F6:F13)</f>
        <v>25</v>
      </c>
      <c r="G14" s="162"/>
      <c r="H14" s="169"/>
      <c r="I14" s="170"/>
      <c r="J14" s="217" t="str">
        <f>+'26'!J14</f>
        <v>TW 22 RC HW</v>
      </c>
      <c r="K14" s="242"/>
      <c r="L14" s="242"/>
      <c r="M14" s="120">
        <f>+K14+'26'!M14+L14</f>
        <v>387590</v>
      </c>
      <c r="Q14" s="152">
        <f>480-Q13</f>
        <v>0</v>
      </c>
      <c r="R14" s="179">
        <f>+R13/Q13</f>
        <v>1250</v>
      </c>
      <c r="S14" s="179">
        <f>+S13/Q13</f>
        <v>975</v>
      </c>
    </row>
    <row r="15" spans="1:19" ht="13.5" customHeight="1" thickBot="1">
      <c r="A15" s="793" t="s">
        <v>431</v>
      </c>
      <c r="B15" s="168"/>
      <c r="C15" s="116">
        <f>C14/($C$23+$D$23+$E$23)</f>
        <v>0.8051558419912217</v>
      </c>
      <c r="D15" s="117">
        <f>D14/($C$23+$D$23+$E$23)</f>
        <v>0</v>
      </c>
      <c r="E15" s="118">
        <f>E14/($C$23+$D$23+$E$23)</f>
        <v>0</v>
      </c>
      <c r="F15" s="231"/>
      <c r="G15" s="232" t="s">
        <v>13</v>
      </c>
      <c r="H15" s="233" t="s">
        <v>391</v>
      </c>
      <c r="I15" s="796" t="s">
        <v>669</v>
      </c>
      <c r="J15" s="217" t="str">
        <f>+'26'!J15</f>
        <v>T 14,5 RC HW</v>
      </c>
      <c r="K15" s="242"/>
      <c r="L15" s="242"/>
      <c r="M15" s="120">
        <f>+K15+'26'!M15+L15</f>
        <v>27261</v>
      </c>
    </row>
    <row r="16" spans="1:19" ht="13.5" thickBot="1">
      <c r="A16" s="799"/>
      <c r="B16" s="218" t="s">
        <v>501</v>
      </c>
      <c r="C16" s="225">
        <v>17999</v>
      </c>
      <c r="D16" s="226"/>
      <c r="E16" s="227"/>
      <c r="F16" s="234">
        <v>6</v>
      </c>
      <c r="G16" s="583" t="s">
        <v>13</v>
      </c>
      <c r="H16" s="233" t="s">
        <v>474</v>
      </c>
      <c r="I16" s="797"/>
      <c r="J16" s="217" t="str">
        <f>+'26'!J16</f>
        <v>T 13 RC HW</v>
      </c>
      <c r="K16" s="242"/>
      <c r="L16" s="242"/>
      <c r="M16" s="120">
        <f>+K16+'26'!M16+L16</f>
        <v>54395</v>
      </c>
      <c r="N16" s="152" t="s">
        <v>497</v>
      </c>
      <c r="O16" s="152">
        <v>1250</v>
      </c>
      <c r="P16" s="152">
        <f>+O16-(O16*0.22)</f>
        <v>975</v>
      </c>
      <c r="Q16" s="152">
        <v>480</v>
      </c>
      <c r="R16" s="152">
        <f t="shared" ref="R16:R18" si="2">+O16*Q16</f>
        <v>600000</v>
      </c>
      <c r="S16" s="152">
        <f t="shared" ref="S16:S18" si="3">+P16*Q16</f>
        <v>468000</v>
      </c>
    </row>
    <row r="17" spans="1:19" ht="13.5" thickBot="1">
      <c r="A17" s="799"/>
      <c r="B17" s="218"/>
      <c r="C17" s="219"/>
      <c r="D17" s="220"/>
      <c r="E17" s="228"/>
      <c r="F17" s="231">
        <v>10</v>
      </c>
      <c r="G17" s="583" t="s">
        <v>13</v>
      </c>
      <c r="H17" s="236" t="s">
        <v>456</v>
      </c>
      <c r="I17" s="797"/>
      <c r="J17" s="217" t="str">
        <f>+'26'!J17</f>
        <v>T 15 RC HW</v>
      </c>
      <c r="K17" s="242">
        <f>+C7</f>
        <v>5570</v>
      </c>
      <c r="L17" s="242"/>
      <c r="M17" s="120">
        <f>+K17+'26'!M17+L17</f>
        <v>148885</v>
      </c>
    </row>
    <row r="18" spans="1:19" ht="26.25" thickBot="1">
      <c r="A18" s="799"/>
      <c r="B18" s="218"/>
      <c r="C18" s="219"/>
      <c r="D18" s="220"/>
      <c r="E18" s="228"/>
      <c r="F18" s="231"/>
      <c r="G18" s="240" t="s">
        <v>14</v>
      </c>
      <c r="H18" s="236" t="s">
        <v>715</v>
      </c>
      <c r="I18" s="797"/>
      <c r="J18" s="217">
        <f>+'26'!J18</f>
        <v>0</v>
      </c>
      <c r="K18" s="242"/>
      <c r="L18" s="242"/>
      <c r="M18" s="120">
        <f>+K18+'26'!M18+L18</f>
        <v>0</v>
      </c>
      <c r="P18" s="152">
        <f>+O18-(O18*0.22)</f>
        <v>0</v>
      </c>
      <c r="R18" s="152">
        <f t="shared" si="2"/>
        <v>0</v>
      </c>
      <c r="S18" s="152">
        <f t="shared" si="3"/>
        <v>0</v>
      </c>
    </row>
    <row r="19" spans="1:19" ht="26.25" thickBot="1">
      <c r="A19" s="799"/>
      <c r="B19" s="218"/>
      <c r="C19" s="219"/>
      <c r="D19" s="220"/>
      <c r="E19" s="228"/>
      <c r="F19" s="238"/>
      <c r="G19" s="235"/>
      <c r="H19" s="236" t="s">
        <v>716</v>
      </c>
      <c r="I19" s="797"/>
      <c r="J19" s="217">
        <f>+'26'!J19</f>
        <v>0</v>
      </c>
      <c r="K19" s="242"/>
      <c r="L19" s="242"/>
      <c r="M19" s="120">
        <f>+K19+'26'!M19+L19</f>
        <v>0</v>
      </c>
    </row>
    <row r="20" spans="1:19" ht="13.5" thickBot="1">
      <c r="A20" s="799"/>
      <c r="B20" s="218"/>
      <c r="C20" s="219"/>
      <c r="D20" s="220"/>
      <c r="E20" s="228"/>
      <c r="F20" s="231"/>
      <c r="G20" s="235"/>
      <c r="H20" s="236"/>
      <c r="I20" s="797"/>
      <c r="J20" s="217">
        <f>+'26'!J20</f>
        <v>0</v>
      </c>
      <c r="K20" s="242"/>
      <c r="L20" s="242"/>
      <c r="M20" s="120">
        <f>+K20+'26'!M20+L20</f>
        <v>0</v>
      </c>
    </row>
    <row r="21" spans="1:19" ht="13.5" thickBot="1">
      <c r="A21" s="799"/>
      <c r="B21" s="218"/>
      <c r="C21" s="219"/>
      <c r="D21" s="220"/>
      <c r="E21" s="228"/>
      <c r="F21" s="234"/>
      <c r="G21" s="235"/>
      <c r="H21" s="236"/>
      <c r="I21" s="797"/>
      <c r="J21" s="217">
        <f>+'26'!J21</f>
        <v>0</v>
      </c>
      <c r="K21" s="242"/>
      <c r="L21" s="242"/>
      <c r="M21" s="120">
        <f>+K21+'26'!M21+L21</f>
        <v>0</v>
      </c>
    </row>
    <row r="22" spans="1:19" ht="13.5" thickBot="1">
      <c r="A22" s="799"/>
      <c r="B22" s="218"/>
      <c r="C22" s="219"/>
      <c r="D22" s="220"/>
      <c r="E22" s="228"/>
      <c r="F22" s="239"/>
      <c r="G22" s="235"/>
      <c r="H22" s="236"/>
      <c r="I22" s="798"/>
      <c r="J22" s="217">
        <f>+'26'!J22</f>
        <v>0</v>
      </c>
      <c r="K22" s="242"/>
      <c r="L22" s="242"/>
      <c r="M22" s="120">
        <f>+K22+'26'!M22+L22</f>
        <v>0</v>
      </c>
    </row>
    <row r="23" spans="1:19" ht="13.5" thickBot="1">
      <c r="A23" s="800"/>
      <c r="B23" s="168" t="s">
        <v>3</v>
      </c>
      <c r="C23" s="103">
        <f>SUM(C16:C22)</f>
        <v>17999</v>
      </c>
      <c r="D23" s="114">
        <f>SUM(D16:D22)</f>
        <v>0</v>
      </c>
      <c r="E23" s="115">
        <f>SUM(E18:E22)</f>
        <v>0</v>
      </c>
      <c r="F23" s="105">
        <f>SUM(F15:F22)</f>
        <v>16</v>
      </c>
      <c r="G23" s="162"/>
      <c r="H23" s="169"/>
      <c r="I23" s="172"/>
      <c r="J23" s="217">
        <f>+'26'!J23</f>
        <v>0</v>
      </c>
      <c r="K23" s="242"/>
      <c r="L23" s="242"/>
      <c r="M23" s="120">
        <f>+K23+'26'!M23+L23</f>
        <v>0</v>
      </c>
      <c r="Q23" s="179">
        <f>SUM(Q16:Q22)</f>
        <v>480</v>
      </c>
      <c r="R23" s="179">
        <f>SUM(R16:R22)</f>
        <v>600000</v>
      </c>
      <c r="S23" s="179">
        <f>SUM(S16:S22)</f>
        <v>468000</v>
      </c>
    </row>
    <row r="24" spans="1:19" ht="13.5" customHeight="1" thickBot="1">
      <c r="A24" s="793" t="s">
        <v>477</v>
      </c>
      <c r="B24" s="173"/>
      <c r="C24" s="116">
        <f>C23/($C$23+$D$23+$E$23)</f>
        <v>1</v>
      </c>
      <c r="D24" s="117">
        <f>D23/($C$23+$D$23+$E$23)</f>
        <v>0</v>
      </c>
      <c r="E24" s="118">
        <f>E23/($C$23+$D$23+$E$23)</f>
        <v>0</v>
      </c>
      <c r="F24" s="231"/>
      <c r="G24" s="232" t="s">
        <v>13</v>
      </c>
      <c r="H24" s="233" t="s">
        <v>391</v>
      </c>
      <c r="I24" s="796" t="s">
        <v>669</v>
      </c>
      <c r="J24" s="217">
        <f>+'26'!J24</f>
        <v>0</v>
      </c>
      <c r="K24" s="242"/>
      <c r="L24" s="242"/>
      <c r="M24" s="120">
        <f>+K24+'26'!M24+L24</f>
        <v>0</v>
      </c>
      <c r="Q24" s="152">
        <f>480-Q23</f>
        <v>0</v>
      </c>
      <c r="R24" s="179">
        <f>+R23/Q23</f>
        <v>1250</v>
      </c>
      <c r="S24" s="179">
        <f>+S23/Q23</f>
        <v>975</v>
      </c>
    </row>
    <row r="25" spans="1:19" ht="13.5" thickBot="1">
      <c r="A25" s="799"/>
      <c r="B25" s="218" t="s">
        <v>501</v>
      </c>
      <c r="C25" s="229">
        <v>17263</v>
      </c>
      <c r="D25" s="220"/>
      <c r="E25" s="228"/>
      <c r="F25" s="234">
        <v>4</v>
      </c>
      <c r="G25" s="583" t="s">
        <v>13</v>
      </c>
      <c r="H25" s="233" t="s">
        <v>474</v>
      </c>
      <c r="I25" s="797"/>
      <c r="J25" s="217">
        <f>+'26'!J25</f>
        <v>0</v>
      </c>
      <c r="K25" s="242"/>
      <c r="L25" s="242"/>
      <c r="M25" s="120">
        <f>+K25+'26'!M25+L25</f>
        <v>0</v>
      </c>
    </row>
    <row r="26" spans="1:19" ht="13.5" thickBot="1">
      <c r="A26" s="799"/>
      <c r="B26" s="218"/>
      <c r="C26" s="229"/>
      <c r="D26" s="220"/>
      <c r="E26" s="230"/>
      <c r="F26" s="231">
        <v>8</v>
      </c>
      <c r="G26" s="583" t="s">
        <v>13</v>
      </c>
      <c r="H26" s="236" t="s">
        <v>456</v>
      </c>
      <c r="I26" s="797"/>
      <c r="J26" s="217">
        <f>+'26'!J26</f>
        <v>0</v>
      </c>
      <c r="K26" s="242"/>
      <c r="L26" s="242"/>
      <c r="M26" s="120">
        <f>+K26+'26'!M26+L26</f>
        <v>0</v>
      </c>
      <c r="N26" s="152" t="s">
        <v>497</v>
      </c>
      <c r="O26" s="152">
        <v>1250</v>
      </c>
      <c r="P26" s="152">
        <f>+O26-(O26*0.22)</f>
        <v>975</v>
      </c>
      <c r="Q26" s="152">
        <v>480</v>
      </c>
      <c r="R26" s="152">
        <f t="shared" ref="R26" si="4">+O26*Q26</f>
        <v>600000</v>
      </c>
      <c r="S26" s="152">
        <f t="shared" ref="S26" si="5">+P26*Q26</f>
        <v>468000</v>
      </c>
    </row>
    <row r="27" spans="1:19" ht="26.25" thickBot="1">
      <c r="A27" s="799"/>
      <c r="B27" s="218"/>
      <c r="C27" s="219"/>
      <c r="D27" s="220"/>
      <c r="E27" s="228"/>
      <c r="F27" s="231">
        <v>8</v>
      </c>
      <c r="G27" s="240" t="s">
        <v>14</v>
      </c>
      <c r="H27" s="236" t="s">
        <v>719</v>
      </c>
      <c r="I27" s="797"/>
      <c r="J27" s="217">
        <f>+'26'!J27</f>
        <v>0</v>
      </c>
      <c r="K27" s="242"/>
      <c r="L27" s="242"/>
      <c r="M27" s="120">
        <f>+K27+'26'!M27+L27</f>
        <v>0</v>
      </c>
    </row>
    <row r="28" spans="1:19" ht="13.5" thickBot="1">
      <c r="A28" s="799"/>
      <c r="B28" s="218"/>
      <c r="C28" s="219"/>
      <c r="D28" s="220"/>
      <c r="E28" s="228"/>
      <c r="F28" s="234"/>
      <c r="G28" s="235"/>
      <c r="H28" s="236"/>
      <c r="I28" s="797"/>
      <c r="J28" s="217">
        <f>+'26'!J28</f>
        <v>0</v>
      </c>
      <c r="K28" s="242"/>
      <c r="L28" s="242"/>
      <c r="M28" s="120">
        <f>+K28+'26'!M28+L28</f>
        <v>0</v>
      </c>
      <c r="P28" s="152">
        <f>+O28-(O28*0.22)</f>
        <v>0</v>
      </c>
      <c r="R28" s="152">
        <f t="shared" ref="R28" si="6">+O28*Q28</f>
        <v>0</v>
      </c>
      <c r="S28" s="152">
        <f t="shared" ref="S28" si="7">+P28*Q28</f>
        <v>0</v>
      </c>
    </row>
    <row r="29" spans="1:19" ht="13.5" thickBot="1">
      <c r="A29" s="799"/>
      <c r="B29" s="218"/>
      <c r="C29" s="219"/>
      <c r="D29" s="220"/>
      <c r="E29" s="228"/>
      <c r="F29" s="239"/>
      <c r="G29" s="235"/>
      <c r="H29" s="236"/>
      <c r="I29" s="797"/>
      <c r="J29" s="217">
        <f>+'26'!J29</f>
        <v>0</v>
      </c>
      <c r="K29" s="242"/>
      <c r="L29" s="242"/>
      <c r="M29" s="120">
        <f>+K29+'26'!M29+L29</f>
        <v>0</v>
      </c>
    </row>
    <row r="30" spans="1:19" ht="13.5" thickBot="1">
      <c r="A30" s="799"/>
      <c r="B30" s="218"/>
      <c r="C30" s="229"/>
      <c r="D30" s="220"/>
      <c r="E30" s="228"/>
      <c r="F30" s="239"/>
      <c r="G30" s="235"/>
      <c r="H30" s="236"/>
      <c r="I30" s="797"/>
      <c r="J30" s="217">
        <f>+'26'!J30</f>
        <v>0</v>
      </c>
      <c r="K30" s="242"/>
      <c r="L30" s="242"/>
      <c r="M30" s="120">
        <f>+K30+'26'!M30+L30</f>
        <v>0</v>
      </c>
    </row>
    <row r="31" spans="1:19" ht="13.5" customHeight="1" thickBot="1">
      <c r="A31" s="799"/>
      <c r="B31" s="218"/>
      <c r="C31" s="229"/>
      <c r="D31" s="220"/>
      <c r="E31" s="228"/>
      <c r="F31" s="239"/>
      <c r="G31" s="240"/>
      <c r="H31" s="237"/>
      <c r="I31" s="798"/>
      <c r="J31" s="217">
        <f>+'26'!J31</f>
        <v>0</v>
      </c>
      <c r="K31" s="242"/>
      <c r="L31" s="242"/>
      <c r="M31" s="120">
        <f>+K31+'26'!M31+L31</f>
        <v>0</v>
      </c>
    </row>
    <row r="32" spans="1:19" ht="13.5" thickBot="1">
      <c r="A32" s="800"/>
      <c r="B32" s="168" t="s">
        <v>3</v>
      </c>
      <c r="C32" s="102">
        <f>SUM(C25:C31)</f>
        <v>17263</v>
      </c>
      <c r="D32" s="103">
        <f>SUM(D25:D31)</f>
        <v>0</v>
      </c>
      <c r="E32" s="104">
        <f>SUM(E25:E31)</f>
        <v>0</v>
      </c>
      <c r="F32" s="105">
        <f>SUM(F24:F31)</f>
        <v>20</v>
      </c>
      <c r="G32" s="174"/>
      <c r="H32" s="175"/>
      <c r="I32" s="172"/>
      <c r="J32" s="217">
        <f>+'26'!J32</f>
        <v>0</v>
      </c>
      <c r="K32" s="244"/>
      <c r="L32" s="246"/>
      <c r="M32" s="120">
        <f>+K32+'26'!M32+L32</f>
        <v>0</v>
      </c>
    </row>
    <row r="33" spans="1:19" ht="13.5" thickBot="1">
      <c r="A33" s="176"/>
      <c r="B33" s="177"/>
      <c r="C33" s="106">
        <f>C32/($C$32+$D$32+$E$32)</f>
        <v>1</v>
      </c>
      <c r="D33" s="107">
        <f>D32/($C$32+$D$32+$E$32)</f>
        <v>0</v>
      </c>
      <c r="E33" s="108">
        <f>E32/($C$32+$D$32+$E$32)</f>
        <v>0</v>
      </c>
      <c r="F33" s="109"/>
      <c r="G33" s="178"/>
      <c r="H33" s="179"/>
      <c r="I33" s="180"/>
      <c r="J33" s="124"/>
      <c r="K33" s="125"/>
      <c r="L33" s="216"/>
      <c r="M33" s="122"/>
      <c r="Q33" s="179">
        <f>SUM(Q26:Q32)</f>
        <v>480</v>
      </c>
      <c r="R33" s="179">
        <f>SUM(R26:R32)</f>
        <v>600000</v>
      </c>
      <c r="S33" s="179">
        <f>SUM(S26:S32)</f>
        <v>468000</v>
      </c>
    </row>
    <row r="34" spans="1:19" ht="13.5" thickBot="1">
      <c r="A34" s="801" t="s">
        <v>70</v>
      </c>
      <c r="B34" s="802"/>
      <c r="C34" s="110">
        <f>C14+C23+C32</f>
        <v>49754</v>
      </c>
      <c r="D34" s="110">
        <f>D14+D23+D32</f>
        <v>0</v>
      </c>
      <c r="E34" s="110">
        <f>E14+E23+E32</f>
        <v>0</v>
      </c>
      <c r="F34" s="111">
        <f>F14+F23+F32</f>
        <v>61</v>
      </c>
      <c r="H34" s="181"/>
      <c r="I34" s="181"/>
      <c r="J34" s="126" t="s">
        <v>29</v>
      </c>
      <c r="K34" s="127">
        <f>SUM(K7:K32)</f>
        <v>49754</v>
      </c>
      <c r="L34" s="215">
        <f>SUM(L7:L32)</f>
        <v>0</v>
      </c>
      <c r="M34" s="123">
        <f>SUM(M7:M32)</f>
        <v>1239733</v>
      </c>
      <c r="Q34" s="152">
        <f>480-Q33</f>
        <v>0</v>
      </c>
      <c r="R34" s="179">
        <f>+R33/Q33</f>
        <v>1250</v>
      </c>
      <c r="S34" s="179">
        <f>+S33/Q33</f>
        <v>975</v>
      </c>
    </row>
    <row r="35" spans="1:19" ht="13.5" thickBot="1">
      <c r="A35" s="182"/>
      <c r="B35" s="183"/>
      <c r="C35" s="107">
        <f>C34/($C$34+$D$34+$E$34)</f>
        <v>1</v>
      </c>
      <c r="D35" s="107">
        <f>D34/($C$34+$D$34+$E$34)</f>
        <v>0</v>
      </c>
      <c r="E35" s="112">
        <f>E34/($C$34+$D$34+$E$34)</f>
        <v>0</v>
      </c>
      <c r="K35" s="158"/>
      <c r="L35" s="792" t="s">
        <v>187</v>
      </c>
      <c r="M35" s="792"/>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90" t="s">
        <v>71</v>
      </c>
      <c r="B37" s="791"/>
      <c r="C37" s="165" t="s">
        <v>72</v>
      </c>
      <c r="D37" s="186" t="s">
        <v>73</v>
      </c>
      <c r="E37" s="187" t="s">
        <v>74</v>
      </c>
      <c r="F37" s="372"/>
      <c r="G37" s="367"/>
      <c r="H37" s="189" t="s">
        <v>75</v>
      </c>
      <c r="I37" s="247">
        <f>(15*35+13.5*1405)/1440*G42*2.75*1440/1000000</f>
        <v>52.264265625</v>
      </c>
      <c r="J37" s="128">
        <f>+I37+'26'!J37</f>
        <v>1342.0410819633778</v>
      </c>
      <c r="K37" s="129" t="s">
        <v>76</v>
      </c>
      <c r="L37" s="426"/>
      <c r="M37" s="427"/>
      <c r="N37" s="152" t="s">
        <v>699</v>
      </c>
      <c r="O37" s="152">
        <v>1250</v>
      </c>
      <c r="P37" s="152">
        <v>975</v>
      </c>
      <c r="Q37" s="152">
        <v>35</v>
      </c>
    </row>
    <row r="38" spans="1:19" ht="17.45" customHeight="1">
      <c r="A38" s="786" t="s">
        <v>13</v>
      </c>
      <c r="B38" s="787"/>
      <c r="C38" s="167">
        <f>SUMIF($G$7:$G$31,"Process",$F$7:$F$31)</f>
        <v>43</v>
      </c>
      <c r="D38" s="121">
        <f>+C38+'26'!D38</f>
        <v>1711</v>
      </c>
      <c r="E38" s="146">
        <f t="shared" ref="E38:E51" si="8">D38/60</f>
        <v>28.516666666666666</v>
      </c>
      <c r="F38" s="365">
        <v>1250</v>
      </c>
      <c r="G38" s="365">
        <v>975</v>
      </c>
      <c r="H38" s="190" t="s">
        <v>77</v>
      </c>
      <c r="I38" s="547">
        <f>2.539+14.404+17.681+16.879</f>
        <v>51.503</v>
      </c>
      <c r="J38" s="130">
        <f>+I38+'26'!J38</f>
        <v>1268.0612999999998</v>
      </c>
      <c r="K38" s="131" t="s">
        <v>76</v>
      </c>
      <c r="L38" s="428"/>
      <c r="M38" s="429"/>
      <c r="N38" s="548" t="s">
        <v>497</v>
      </c>
      <c r="O38" s="152">
        <v>1250</v>
      </c>
      <c r="P38" s="152">
        <v>975</v>
      </c>
      <c r="Q38" s="152">
        <f>445+480+480</f>
        <v>1405</v>
      </c>
    </row>
    <row r="39" spans="1:19" ht="17.45" customHeight="1">
      <c r="A39" s="782" t="s">
        <v>14</v>
      </c>
      <c r="B39" s="783"/>
      <c r="C39" s="167">
        <f>SUMIF($G$7:$G$31,"Cleaning",$F$7:$F$31)</f>
        <v>18</v>
      </c>
      <c r="D39" s="121">
        <f>+C39+'26'!D39</f>
        <v>243</v>
      </c>
      <c r="E39" s="146">
        <f t="shared" si="8"/>
        <v>4.05</v>
      </c>
      <c r="F39" s="365">
        <v>1250</v>
      </c>
      <c r="G39" s="365">
        <v>975</v>
      </c>
      <c r="H39" s="190" t="s">
        <v>78</v>
      </c>
      <c r="I39" s="145"/>
      <c r="J39" s="132">
        <f>J37/G4</f>
        <v>49.705225257902882</v>
      </c>
      <c r="K39" s="133" t="s">
        <v>76</v>
      </c>
      <c r="L39" s="428"/>
      <c r="M39" s="429"/>
      <c r="Q39" s="152">
        <f>+Q37+Q38</f>
        <v>1440</v>
      </c>
    </row>
    <row r="40" spans="1:19" ht="17.45" customHeight="1">
      <c r="A40" s="782" t="s">
        <v>79</v>
      </c>
      <c r="B40" s="783"/>
      <c r="C40" s="167">
        <f>SUMIF($G$7:$G$31,"Mechanical",$F$7:$F$31)</f>
        <v>0</v>
      </c>
      <c r="D40" s="121">
        <f>+C40+'26'!D40</f>
        <v>120</v>
      </c>
      <c r="E40" s="146">
        <f t="shared" si="8"/>
        <v>2</v>
      </c>
      <c r="F40" s="365">
        <v>1250</v>
      </c>
      <c r="G40" s="365">
        <v>975</v>
      </c>
      <c r="H40" s="190" t="s">
        <v>80</v>
      </c>
      <c r="I40" s="121">
        <f>(K34+L34)/1000</f>
        <v>49.753999999999998</v>
      </c>
      <c r="J40" s="134">
        <f>+I40+'26'!J40</f>
        <v>1239.7329999999999</v>
      </c>
      <c r="K40" s="133" t="s">
        <v>76</v>
      </c>
      <c r="L40" s="428"/>
      <c r="M40" s="429"/>
    </row>
    <row r="41" spans="1:19" ht="17.45" customHeight="1">
      <c r="A41" s="782" t="s">
        <v>81</v>
      </c>
      <c r="B41" s="783"/>
      <c r="C41" s="167">
        <f>SUMIF($G$7:$G$31,"Electrical",$F$7:$F$31)</f>
        <v>0</v>
      </c>
      <c r="D41" s="121">
        <f>+C41+'26'!D41</f>
        <v>80</v>
      </c>
      <c r="E41" s="146">
        <f t="shared" si="8"/>
        <v>1.3333333333333333</v>
      </c>
      <c r="F41" s="365"/>
      <c r="G41" s="365"/>
      <c r="H41" s="190" t="s">
        <v>82</v>
      </c>
      <c r="I41" s="145"/>
      <c r="J41" s="132">
        <f>J40/G4</f>
        <v>45.916037037037036</v>
      </c>
      <c r="K41" s="133" t="s">
        <v>76</v>
      </c>
      <c r="L41" s="428"/>
      <c r="M41" s="429"/>
    </row>
    <row r="42" spans="1:19" ht="17.45" customHeight="1">
      <c r="A42" s="782" t="s">
        <v>17</v>
      </c>
      <c r="B42" s="783"/>
      <c r="C42" s="167">
        <f>SUMIF($G$7:$G$31,"Instrument",$F$7:$F$31)</f>
        <v>0</v>
      </c>
      <c r="D42" s="121">
        <f>+C42+'26'!D42</f>
        <v>0</v>
      </c>
      <c r="E42" s="146">
        <f t="shared" si="8"/>
        <v>0</v>
      </c>
      <c r="F42" s="365">
        <f>+(F38*480+F39*480+F40*480)/1440</f>
        <v>1250</v>
      </c>
      <c r="G42" s="365">
        <f>+(G38*480+G39*480+G40*480)/1440</f>
        <v>975</v>
      </c>
      <c r="H42" s="190" t="s">
        <v>83</v>
      </c>
      <c r="I42" s="249" t="s">
        <v>669</v>
      </c>
      <c r="J42" s="135"/>
      <c r="K42" s="133" t="s">
        <v>84</v>
      </c>
      <c r="L42" s="428"/>
      <c r="M42" s="429"/>
    </row>
    <row r="43" spans="1:19" ht="17.45" customHeight="1">
      <c r="A43" s="782" t="s">
        <v>85</v>
      </c>
      <c r="B43" s="783"/>
      <c r="C43" s="167">
        <f>SUMIF($G$7:$G$31,"Water",$F$7:$F$31)</f>
        <v>0</v>
      </c>
      <c r="D43" s="121">
        <f>+C43+'26'!D43</f>
        <v>0</v>
      </c>
      <c r="E43" s="146">
        <f t="shared" si="8"/>
        <v>0</v>
      </c>
      <c r="F43" s="365"/>
      <c r="G43" s="366"/>
      <c r="H43" s="191" t="s">
        <v>86</v>
      </c>
      <c r="I43" s="121">
        <f>+Report1!AH35</f>
        <v>72.2</v>
      </c>
      <c r="J43" s="136">
        <f>+I43+'26'!J43</f>
        <v>1766.2000000000003</v>
      </c>
      <c r="K43" s="133" t="s">
        <v>76</v>
      </c>
      <c r="L43" s="430">
        <f>+Report1!AN35</f>
        <v>0</v>
      </c>
      <c r="M43" s="431">
        <f>+L43+'26'!M43</f>
        <v>0</v>
      </c>
    </row>
    <row r="44" spans="1:19" ht="17.45" customHeight="1">
      <c r="A44" s="782" t="s">
        <v>18</v>
      </c>
      <c r="B44" s="783"/>
      <c r="C44" s="167">
        <f>SUMIF($G$7:$G$31,"PLN",$F$7:$F$31)</f>
        <v>0</v>
      </c>
      <c r="D44" s="121">
        <f>+C44+'26'!D44</f>
        <v>0</v>
      </c>
      <c r="E44" s="146">
        <f t="shared" si="8"/>
        <v>0</v>
      </c>
      <c r="F44" s="365"/>
      <c r="G44" s="366"/>
      <c r="H44" s="191" t="s">
        <v>87</v>
      </c>
      <c r="I44" s="121">
        <f>I43/I38</f>
        <v>1.4018600858202435</v>
      </c>
      <c r="J44" s="137">
        <f>J43/J38</f>
        <v>1.3928348732036855</v>
      </c>
      <c r="K44" s="133" t="s">
        <v>76</v>
      </c>
      <c r="L44" s="432">
        <f>+L43/I38</f>
        <v>0</v>
      </c>
      <c r="M44" s="433">
        <f>+M43/J38</f>
        <v>0</v>
      </c>
    </row>
    <row r="45" spans="1:19" ht="17.45" customHeight="1">
      <c r="A45" s="782" t="s">
        <v>19</v>
      </c>
      <c r="B45" s="783"/>
      <c r="C45" s="167">
        <f>SUMIF($G$7:$G$31,"Boiler",$F$7:$F$31)</f>
        <v>0</v>
      </c>
      <c r="D45" s="121">
        <f>+C45+'26'!D45</f>
        <v>0</v>
      </c>
      <c r="E45" s="146">
        <f t="shared" si="8"/>
        <v>0</v>
      </c>
      <c r="F45" s="365"/>
      <c r="G45" s="368"/>
      <c r="H45" s="191" t="s">
        <v>88</v>
      </c>
      <c r="I45" s="121">
        <f>I43/I40</f>
        <v>1.4511396068657798</v>
      </c>
      <c r="J45" s="137">
        <f>J43/J40</f>
        <v>1.4246616005220483</v>
      </c>
      <c r="K45" s="133" t="s">
        <v>76</v>
      </c>
      <c r="L45" s="432">
        <f>+L43/I40</f>
        <v>0</v>
      </c>
      <c r="M45" s="433">
        <f>+M43/J40</f>
        <v>0</v>
      </c>
    </row>
    <row r="46" spans="1:19" ht="17.45" customHeight="1">
      <c r="A46" s="782" t="s">
        <v>89</v>
      </c>
      <c r="B46" s="783"/>
      <c r="C46" s="167">
        <f>SUMIF($G$7:$G$31,"Gas",$F$7:$F$31)</f>
        <v>0</v>
      </c>
      <c r="D46" s="121">
        <f>+C46+'26'!D46</f>
        <v>0</v>
      </c>
      <c r="E46" s="146">
        <f t="shared" si="8"/>
        <v>0</v>
      </c>
      <c r="F46" s="365"/>
      <c r="G46" s="366"/>
      <c r="H46" s="191" t="s">
        <v>90</v>
      </c>
      <c r="I46" s="143">
        <f>+SUMIF(Listrik!P34,"&gt;0")</f>
        <v>44618.960000000014</v>
      </c>
      <c r="J46" s="138">
        <f>+I46+'26'!J46</f>
        <v>1057946.26</v>
      </c>
      <c r="K46" s="133" t="s">
        <v>91</v>
      </c>
      <c r="L46" s="432">
        <f>+Listrik!AF34</f>
        <v>0</v>
      </c>
      <c r="M46" s="434">
        <f>+L46+'26'!M46</f>
        <v>0</v>
      </c>
    </row>
    <row r="47" spans="1:19" ht="17.45" customHeight="1">
      <c r="A47" s="782" t="s">
        <v>92</v>
      </c>
      <c r="B47" s="783"/>
      <c r="C47" s="167">
        <f>SUMIF($G$7:$G$31,"Gas",$F$7:$F$31)</f>
        <v>0</v>
      </c>
      <c r="D47" s="121">
        <f>+C47+'26'!D47</f>
        <v>0</v>
      </c>
      <c r="E47" s="146">
        <f t="shared" si="8"/>
        <v>0</v>
      </c>
      <c r="F47" s="365"/>
      <c r="G47" s="366"/>
      <c r="H47" s="191" t="s">
        <v>93</v>
      </c>
      <c r="I47" s="121">
        <f>I46/I38</f>
        <v>866.33710657631616</v>
      </c>
      <c r="J47" s="138">
        <f>J46/J38</f>
        <v>834.30214296422434</v>
      </c>
      <c r="K47" s="133" t="s">
        <v>25</v>
      </c>
      <c r="L47" s="432">
        <f>+L46/I38</f>
        <v>0</v>
      </c>
      <c r="M47" s="433">
        <f>+M46/J38</f>
        <v>0</v>
      </c>
    </row>
    <row r="48" spans="1:19" ht="17.45" customHeight="1">
      <c r="A48" s="782" t="s">
        <v>15</v>
      </c>
      <c r="B48" s="783"/>
      <c r="C48" s="167">
        <f>SUMIF($G$7:$G$31,"Start Up",$F$7:$F$31)</f>
        <v>0</v>
      </c>
      <c r="D48" s="121">
        <f>+C48+'26'!D48</f>
        <v>0</v>
      </c>
      <c r="E48" s="146">
        <f t="shared" si="8"/>
        <v>0</v>
      </c>
      <c r="F48" s="365"/>
      <c r="G48" s="366"/>
      <c r="H48" s="191" t="s">
        <v>94</v>
      </c>
      <c r="I48" s="121">
        <f>I46/I40</f>
        <v>896.79141375567826</v>
      </c>
      <c r="J48" s="138">
        <f>J46/J40</f>
        <v>853.36621675796323</v>
      </c>
      <c r="K48" s="133" t="s">
        <v>25</v>
      </c>
      <c r="L48" s="432">
        <f>+L46/I38</f>
        <v>0</v>
      </c>
      <c r="M48" s="433">
        <f>+M46/J40</f>
        <v>0</v>
      </c>
    </row>
    <row r="49" spans="1:13" ht="17.45" customHeight="1">
      <c r="A49" s="782" t="s">
        <v>21</v>
      </c>
      <c r="B49" s="783"/>
      <c r="C49" s="167">
        <f>SUMIF($G$7:$G$31,"Others",$F$7:$F$31)</f>
        <v>0</v>
      </c>
      <c r="D49" s="121">
        <f>+C49+'26'!D49</f>
        <v>924</v>
      </c>
      <c r="E49" s="146">
        <f t="shared" si="8"/>
        <v>15.4</v>
      </c>
      <c r="F49" s="188"/>
      <c r="H49" s="191" t="s">
        <v>95</v>
      </c>
      <c r="I49" s="121">
        <f>+Report1!AB35</f>
        <v>4858.0378860579849</v>
      </c>
      <c r="J49" s="138">
        <f>+I49+'26'!J49</f>
        <v>120060.18448629684</v>
      </c>
      <c r="K49" s="133" t="s">
        <v>96</v>
      </c>
      <c r="L49" s="428"/>
      <c r="M49" s="429"/>
    </row>
    <row r="50" spans="1:13" ht="17.45" customHeight="1">
      <c r="A50" s="782" t="s">
        <v>20</v>
      </c>
      <c r="B50" s="783"/>
      <c r="C50" s="167">
        <f>SUMIF($G$7:$G$31,"Steam",$F$7:$F$31)</f>
        <v>0</v>
      </c>
      <c r="D50" s="121">
        <f>+C50+'26'!D50</f>
        <v>0</v>
      </c>
      <c r="E50" s="146">
        <f t="shared" si="8"/>
        <v>0</v>
      </c>
      <c r="F50" s="188"/>
      <c r="H50" s="191" t="s">
        <v>97</v>
      </c>
      <c r="I50" s="143">
        <f>I49/I38</f>
        <v>94.325338059103061</v>
      </c>
      <c r="J50" s="136">
        <f>J49/J38</f>
        <v>94.680110879731799</v>
      </c>
      <c r="K50" s="133" t="s">
        <v>96</v>
      </c>
      <c r="L50" s="428"/>
      <c r="M50" s="429"/>
    </row>
    <row r="51" spans="1:13" ht="17.45" customHeight="1" thickBot="1">
      <c r="A51" s="784" t="s">
        <v>98</v>
      </c>
      <c r="B51" s="785"/>
      <c r="C51" s="167">
        <f>SUMIF($G$7:$G$31,"Planned shut",$F$7:$F$31)</f>
        <v>0</v>
      </c>
      <c r="D51" s="121">
        <f>+C51+'26'!D51</f>
        <v>0</v>
      </c>
      <c r="E51" s="146">
        <f t="shared" si="8"/>
        <v>0</v>
      </c>
      <c r="F51" s="188"/>
      <c r="H51" s="193" t="s">
        <v>99</v>
      </c>
      <c r="I51" s="144">
        <f>I49/I40</f>
        <v>97.641152189934175</v>
      </c>
      <c r="J51" s="139">
        <f>J49/J40</f>
        <v>96.843582034435514</v>
      </c>
      <c r="K51" s="140" t="s">
        <v>96</v>
      </c>
      <c r="L51" s="428"/>
      <c r="M51" s="429"/>
    </row>
    <row r="52" spans="1:13" ht="13.5" thickBot="1">
      <c r="A52" s="786" t="s">
        <v>29</v>
      </c>
      <c r="B52" s="787"/>
      <c r="C52" s="147">
        <f>SUM(C38:C51)</f>
        <v>61</v>
      </c>
      <c r="D52" s="147">
        <f>SUM(D38:D51)</f>
        <v>3078</v>
      </c>
      <c r="E52" s="148">
        <f>SUM(E38:E51)</f>
        <v>51.3</v>
      </c>
      <c r="F52" s="188"/>
      <c r="H52" s="194"/>
      <c r="I52" s="195"/>
      <c r="J52" s="141"/>
      <c r="K52" s="142"/>
      <c r="L52" s="435"/>
      <c r="M52" s="436"/>
    </row>
    <row r="53" spans="1:13" ht="13.5" thickBot="1">
      <c r="A53" s="788"/>
      <c r="B53" s="789"/>
      <c r="C53" s="149">
        <f>C52/(24*60)</f>
        <v>4.2361111111111113E-2</v>
      </c>
      <c r="D53" s="149">
        <f>D52/(24*60*G4)</f>
        <v>7.9166666666666663E-2</v>
      </c>
      <c r="E53" s="150">
        <f>E52/(G4*24)</f>
        <v>7.9166666666666663E-2</v>
      </c>
      <c r="F53" s="188"/>
    </row>
    <row r="54" spans="1:13">
      <c r="E54" s="196"/>
      <c r="F54" s="188"/>
    </row>
    <row r="55" spans="1:13">
      <c r="E55" s="196"/>
    </row>
    <row r="56" spans="1:13">
      <c r="A56" s="197" t="s">
        <v>100</v>
      </c>
      <c r="B56" s="198"/>
      <c r="C56" s="199"/>
      <c r="D56" s="199"/>
      <c r="E56" s="199"/>
      <c r="F56" s="200"/>
      <c r="G56" s="199"/>
      <c r="H56" s="201"/>
      <c r="I56" s="202" t="s">
        <v>101</v>
      </c>
      <c r="J56" s="203">
        <f>+D34+'26'!J56</f>
        <v>2884</v>
      </c>
      <c r="K56" s="204">
        <f>J56/(J40+J56/1000)/1000</f>
        <v>2.3209082122649214E-3</v>
      </c>
    </row>
    <row r="57" spans="1:13">
      <c r="A57" s="179"/>
      <c r="I57" s="202" t="s">
        <v>102</v>
      </c>
      <c r="J57" s="203">
        <f>+E34+'26'!J57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1"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S61"/>
  <sheetViews>
    <sheetView zoomScale="80" zoomScaleNormal="80" workbookViewId="0">
      <selection activeCell="A7" sqref="A7:A32"/>
    </sheetView>
  </sheetViews>
  <sheetFormatPr defaultColWidth="9.140625" defaultRowHeight="12.75"/>
  <cols>
    <col min="1" max="1" width="8" style="152" customWidth="1"/>
    <col min="2" max="2" width="7" style="152" bestFit="1" customWidth="1"/>
    <col min="3" max="3" width="1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1.7109375" style="152" bestFit="1" customWidth="1"/>
    <col min="11" max="11" width="14" style="152" bestFit="1" customWidth="1"/>
    <col min="12" max="12" width="8.28515625" style="152" customWidth="1"/>
    <col min="13" max="13" width="14.4257812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26</v>
      </c>
      <c r="H4" s="157" t="str">
        <f>+'1'!H4</f>
        <v>.03.26</v>
      </c>
      <c r="J4" s="152">
        <f>531.5+491+540.3</f>
        <v>1562.8</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699</v>
      </c>
      <c r="O6" s="152">
        <v>1200</v>
      </c>
      <c r="P6" s="152">
        <f>+O6-(O6*0.22)</f>
        <v>936</v>
      </c>
      <c r="Q6" s="152">
        <v>480</v>
      </c>
      <c r="R6" s="152">
        <f t="shared" ref="R6:R8" si="0">+O6*Q6</f>
        <v>576000</v>
      </c>
      <c r="S6" s="152">
        <f t="shared" ref="S6:S8" si="1">+P6*Q6</f>
        <v>449280</v>
      </c>
    </row>
    <row r="7" spans="1:19" ht="13.5" customHeight="1" thickBot="1">
      <c r="A7" s="793" t="s">
        <v>430</v>
      </c>
      <c r="B7" s="218" t="s">
        <v>707</v>
      </c>
      <c r="C7" s="219">
        <v>17303</v>
      </c>
      <c r="D7" s="220"/>
      <c r="E7" s="221"/>
      <c r="F7" s="231"/>
      <c r="G7" s="232" t="s">
        <v>13</v>
      </c>
      <c r="H7" s="233" t="s">
        <v>391</v>
      </c>
      <c r="I7" s="796" t="s">
        <v>651</v>
      </c>
      <c r="J7" s="217" t="str">
        <f>+'25'!J7</f>
        <v>T 14 RC HW</v>
      </c>
      <c r="K7" s="241"/>
      <c r="L7" s="245"/>
      <c r="M7" s="120">
        <f>+K7+'25'!M7+L7</f>
        <v>240535</v>
      </c>
      <c r="O7" s="152">
        <v>1200</v>
      </c>
      <c r="P7" s="152">
        <f>+O7-(O7*0.22)</f>
        <v>936</v>
      </c>
      <c r="Q7" s="152">
        <v>480</v>
      </c>
      <c r="R7" s="152">
        <f t="shared" si="0"/>
        <v>576000</v>
      </c>
      <c r="S7" s="152">
        <f t="shared" si="1"/>
        <v>449280</v>
      </c>
    </row>
    <row r="8" spans="1:19" ht="13.5" thickBot="1">
      <c r="A8" s="794"/>
      <c r="B8" s="218"/>
      <c r="C8" s="219"/>
      <c r="D8" s="220"/>
      <c r="E8" s="222"/>
      <c r="F8" s="234">
        <v>7</v>
      </c>
      <c r="G8" s="583" t="s">
        <v>13</v>
      </c>
      <c r="H8" s="233" t="s">
        <v>474</v>
      </c>
      <c r="I8" s="797"/>
      <c r="J8" s="217" t="str">
        <f>+'25'!J8</f>
        <v>T 15,5 RC HW</v>
      </c>
      <c r="K8" s="242"/>
      <c r="L8" s="242"/>
      <c r="M8" s="120">
        <f>+K8+'25'!M8+L8</f>
        <v>139937</v>
      </c>
      <c r="O8" s="152">
        <v>1200</v>
      </c>
      <c r="P8" s="152">
        <f>+O8-(O8*0.22)</f>
        <v>936</v>
      </c>
      <c r="Q8" s="152">
        <v>480</v>
      </c>
      <c r="R8" s="152">
        <f t="shared" si="0"/>
        <v>576000</v>
      </c>
      <c r="S8" s="152">
        <f t="shared" si="1"/>
        <v>449280</v>
      </c>
    </row>
    <row r="9" spans="1:19" ht="13.5" thickBot="1">
      <c r="A9" s="794"/>
      <c r="B9" s="218"/>
      <c r="C9" s="219"/>
      <c r="D9" s="220"/>
      <c r="E9" s="223"/>
      <c r="F9" s="231">
        <v>8</v>
      </c>
      <c r="G9" s="583" t="s">
        <v>13</v>
      </c>
      <c r="H9" s="236" t="s">
        <v>456</v>
      </c>
      <c r="I9" s="797"/>
      <c r="J9" s="217" t="str">
        <f>+'25'!J9</f>
        <v>T 13,5 RC HW</v>
      </c>
      <c r="K9" s="242"/>
      <c r="L9" s="242"/>
      <c r="M9" s="120">
        <f>+K9+'25'!M9+L9</f>
        <v>31497</v>
      </c>
    </row>
    <row r="10" spans="1:19" ht="26.25" thickBot="1">
      <c r="A10" s="794"/>
      <c r="B10" s="218"/>
      <c r="C10" s="219"/>
      <c r="D10" s="220"/>
      <c r="E10" s="222"/>
      <c r="F10" s="231">
        <v>10</v>
      </c>
      <c r="G10" s="240" t="s">
        <v>14</v>
      </c>
      <c r="H10" s="236" t="s">
        <v>709</v>
      </c>
      <c r="I10" s="797"/>
      <c r="J10" s="217" t="str">
        <f>+'25'!J10</f>
        <v>T 20 RC HW</v>
      </c>
      <c r="K10" s="242"/>
      <c r="L10" s="242"/>
      <c r="M10" s="120">
        <f>+K10+'25'!M10+L10</f>
        <v>35769</v>
      </c>
    </row>
    <row r="11" spans="1:19" ht="39" thickBot="1">
      <c r="A11" s="794"/>
      <c r="B11" s="218"/>
      <c r="C11" s="219"/>
      <c r="D11" s="220"/>
      <c r="E11" s="222"/>
      <c r="F11" s="231"/>
      <c r="G11" s="235"/>
      <c r="H11" s="236" t="s">
        <v>714</v>
      </c>
      <c r="I11" s="797"/>
      <c r="J11" s="217" t="str">
        <f>+'25'!J11</f>
        <v>T 17 RC HW</v>
      </c>
      <c r="K11" s="242"/>
      <c r="L11" s="242"/>
      <c r="M11" s="120">
        <f>+K11+'25'!M11+L11</f>
        <v>18517</v>
      </c>
    </row>
    <row r="12" spans="1:19" ht="13.5" thickBot="1">
      <c r="A12" s="794"/>
      <c r="B12" s="218"/>
      <c r="C12" s="219"/>
      <c r="D12" s="220"/>
      <c r="E12" s="222"/>
      <c r="F12" s="231"/>
      <c r="G12" s="235"/>
      <c r="H12" s="236"/>
      <c r="I12" s="797"/>
      <c r="J12" s="217" t="str">
        <f>+'25'!J12</f>
        <v>T 16 RC HW</v>
      </c>
      <c r="K12" s="242"/>
      <c r="L12" s="242"/>
      <c r="M12" s="120">
        <f>+K12+'25'!M12+L12</f>
        <v>38417</v>
      </c>
    </row>
    <row r="13" spans="1:19" ht="13.5" thickBot="1">
      <c r="A13" s="794"/>
      <c r="B13" s="218"/>
      <c r="C13" s="219"/>
      <c r="D13" s="219"/>
      <c r="E13" s="222"/>
      <c r="F13" s="231"/>
      <c r="G13" s="235"/>
      <c r="H13" s="236"/>
      <c r="I13" s="798"/>
      <c r="J13" s="217" t="str">
        <f>+'25'!J13</f>
        <v>N 15,5 RC HW</v>
      </c>
      <c r="K13" s="242"/>
      <c r="L13" s="242"/>
      <c r="M13" s="120">
        <f>+K13+'25'!M13+L13</f>
        <v>72746</v>
      </c>
      <c r="Q13" s="179">
        <f>SUM(Q6:Q12)</f>
        <v>1440</v>
      </c>
      <c r="R13" s="179">
        <f>SUM(R6:R12)</f>
        <v>1728000</v>
      </c>
      <c r="S13" s="179">
        <f>SUM(S6:S12)</f>
        <v>1347840</v>
      </c>
    </row>
    <row r="14" spans="1:19" ht="13.5" thickBot="1">
      <c r="A14" s="795"/>
      <c r="B14" s="168" t="s">
        <v>3</v>
      </c>
      <c r="C14" s="102">
        <f>SUM(C7:C13)</f>
        <v>17303</v>
      </c>
      <c r="D14" s="114">
        <f>SUM(D7:D13)</f>
        <v>0</v>
      </c>
      <c r="E14" s="115">
        <f>SUM(E5:E13)</f>
        <v>0</v>
      </c>
      <c r="F14" s="105">
        <f>SUM(F6:F13)</f>
        <v>25</v>
      </c>
      <c r="G14" s="162"/>
      <c r="H14" s="169"/>
      <c r="I14" s="170"/>
      <c r="J14" s="217" t="str">
        <f>+'25'!J14</f>
        <v>TW 22 RC HW</v>
      </c>
      <c r="K14" s="242"/>
      <c r="L14" s="242"/>
      <c r="M14" s="120">
        <f>+K14+'25'!M14+L14</f>
        <v>387590</v>
      </c>
      <c r="Q14" s="152">
        <f>480-Q13</f>
        <v>-960</v>
      </c>
      <c r="R14" s="179">
        <f>+R13/Q13</f>
        <v>1200</v>
      </c>
      <c r="S14" s="179">
        <f>+S13/Q13</f>
        <v>936</v>
      </c>
    </row>
    <row r="15" spans="1:19" ht="13.5" customHeight="1" thickBot="1">
      <c r="A15" s="793" t="s">
        <v>431</v>
      </c>
      <c r="B15" s="168"/>
      <c r="C15" s="116">
        <f>C14/($C$23+$D$23+$E$23)</f>
        <v>1.0139466744799297</v>
      </c>
      <c r="D15" s="117">
        <f>D14/($C$23+$D$23+$E$23)</f>
        <v>0</v>
      </c>
      <c r="E15" s="118">
        <f>E14/($C$23+$D$23+$E$23)</f>
        <v>0</v>
      </c>
      <c r="F15" s="231"/>
      <c r="G15" s="232" t="s">
        <v>13</v>
      </c>
      <c r="H15" s="233" t="s">
        <v>391</v>
      </c>
      <c r="I15" s="796" t="s">
        <v>651</v>
      </c>
      <c r="J15" s="217" t="str">
        <f>+'25'!J15</f>
        <v>T 14,5 RC HW</v>
      </c>
      <c r="K15" s="242"/>
      <c r="L15" s="242"/>
      <c r="M15" s="120">
        <f>+K15+'25'!M15+L15</f>
        <v>27261</v>
      </c>
    </row>
    <row r="16" spans="1:19" ht="13.5" thickBot="1">
      <c r="A16" s="799"/>
      <c r="B16" s="218" t="s">
        <v>707</v>
      </c>
      <c r="C16" s="225">
        <v>17065</v>
      </c>
      <c r="D16" s="226"/>
      <c r="E16" s="227"/>
      <c r="F16" s="234">
        <v>7</v>
      </c>
      <c r="G16" s="583" t="s">
        <v>13</v>
      </c>
      <c r="H16" s="233" t="s">
        <v>452</v>
      </c>
      <c r="I16" s="797"/>
      <c r="J16" s="217" t="str">
        <f>+'25'!J16</f>
        <v>T 13 RC HW</v>
      </c>
      <c r="K16" s="242"/>
      <c r="L16" s="232"/>
      <c r="M16" s="120">
        <f>+K16+'25'!M16+L16</f>
        <v>54395</v>
      </c>
    </row>
    <row r="17" spans="1:14" ht="13.5" thickBot="1">
      <c r="A17" s="799"/>
      <c r="B17" s="218"/>
      <c r="C17" s="219"/>
      <c r="D17" s="220"/>
      <c r="E17" s="228"/>
      <c r="F17" s="231">
        <v>10</v>
      </c>
      <c r="G17" s="583" t="s">
        <v>13</v>
      </c>
      <c r="H17" s="236" t="s">
        <v>473</v>
      </c>
      <c r="I17" s="797"/>
      <c r="J17" s="217" t="str">
        <f>+'25'!J17</f>
        <v>T 15 RC HW</v>
      </c>
      <c r="K17" s="242">
        <f>+C34</f>
        <v>52279</v>
      </c>
      <c r="L17" s="232"/>
      <c r="M17" s="120">
        <f>+K17+'25'!M17+L17</f>
        <v>143315</v>
      </c>
    </row>
    <row r="18" spans="1:14" ht="26.25" thickBot="1">
      <c r="A18" s="799"/>
      <c r="B18" s="218"/>
      <c r="C18" s="219"/>
      <c r="D18" s="220"/>
      <c r="E18" s="228"/>
      <c r="F18" s="231"/>
      <c r="G18" s="240" t="s">
        <v>14</v>
      </c>
      <c r="H18" s="236" t="s">
        <v>695</v>
      </c>
      <c r="I18" s="797"/>
      <c r="J18" s="217">
        <f>+'25'!J18</f>
        <v>0</v>
      </c>
      <c r="K18" s="242"/>
      <c r="L18" s="242"/>
      <c r="M18" s="120">
        <f>+K18+'25'!M18+L18</f>
        <v>0</v>
      </c>
    </row>
    <row r="19" spans="1:14" ht="26.25" thickBot="1">
      <c r="A19" s="799"/>
      <c r="B19" s="218"/>
      <c r="C19" s="219"/>
      <c r="D19" s="220"/>
      <c r="E19" s="228"/>
      <c r="F19" s="238"/>
      <c r="G19" s="235"/>
      <c r="H19" s="236" t="s">
        <v>713</v>
      </c>
      <c r="I19" s="797"/>
      <c r="J19" s="217">
        <f>+'25'!J19</f>
        <v>0</v>
      </c>
      <c r="K19" s="242"/>
      <c r="L19" s="242"/>
      <c r="M19" s="120">
        <f>+K19+'25'!M19+L19</f>
        <v>0</v>
      </c>
    </row>
    <row r="20" spans="1:14" ht="13.5" thickBot="1">
      <c r="A20" s="799"/>
      <c r="B20" s="218"/>
      <c r="C20" s="219"/>
      <c r="D20" s="220"/>
      <c r="E20" s="228"/>
      <c r="F20" s="231"/>
      <c r="G20" s="235"/>
      <c r="H20" s="236"/>
      <c r="I20" s="797"/>
      <c r="J20" s="217">
        <f>+'25'!J20</f>
        <v>0</v>
      </c>
      <c r="K20" s="242"/>
      <c r="L20" s="243"/>
      <c r="M20" s="120">
        <f>+K20+'25'!M20+L20</f>
        <v>0</v>
      </c>
    </row>
    <row r="21" spans="1:14" ht="13.5" thickBot="1">
      <c r="A21" s="799"/>
      <c r="B21" s="218"/>
      <c r="C21" s="219"/>
      <c r="D21" s="220"/>
      <c r="E21" s="228"/>
      <c r="F21" s="234"/>
      <c r="G21" s="235"/>
      <c r="H21" s="236"/>
      <c r="I21" s="797"/>
      <c r="J21" s="217">
        <f>+'25'!J21</f>
        <v>0</v>
      </c>
      <c r="K21" s="242"/>
      <c r="L21" s="242"/>
      <c r="M21" s="120">
        <f>+K21+'25'!M21+L21</f>
        <v>0</v>
      </c>
    </row>
    <row r="22" spans="1:14" ht="13.5" thickBot="1">
      <c r="A22" s="799"/>
      <c r="B22" s="218"/>
      <c r="C22" s="219"/>
      <c r="D22" s="220"/>
      <c r="E22" s="228"/>
      <c r="F22" s="239"/>
      <c r="G22" s="235"/>
      <c r="H22" s="236"/>
      <c r="I22" s="798"/>
      <c r="J22" s="217">
        <f>+'25'!J22</f>
        <v>0</v>
      </c>
      <c r="K22" s="242"/>
      <c r="L22" s="242"/>
      <c r="M22" s="120">
        <f>+K22+'25'!M22+L22</f>
        <v>0</v>
      </c>
    </row>
    <row r="23" spans="1:14" ht="13.5" thickBot="1">
      <c r="A23" s="800"/>
      <c r="B23" s="168" t="s">
        <v>3</v>
      </c>
      <c r="C23" s="103">
        <f>SUM(C16:C22)</f>
        <v>17065</v>
      </c>
      <c r="D23" s="114">
        <f>SUM(D16:D22)</f>
        <v>0</v>
      </c>
      <c r="E23" s="115">
        <f>SUM(E18:E22)</f>
        <v>0</v>
      </c>
      <c r="F23" s="105">
        <f>SUM(F15:F22)</f>
        <v>17</v>
      </c>
      <c r="G23" s="162"/>
      <c r="H23" s="169"/>
      <c r="I23" s="172"/>
      <c r="J23" s="217">
        <f>+'25'!J23</f>
        <v>0</v>
      </c>
      <c r="K23" s="242"/>
      <c r="L23" s="242"/>
      <c r="M23" s="120">
        <f>+K23+'25'!M23+L23</f>
        <v>0</v>
      </c>
    </row>
    <row r="24" spans="1:14" ht="13.5" customHeight="1" thickBot="1">
      <c r="A24" s="793" t="s">
        <v>432</v>
      </c>
      <c r="B24" s="173"/>
      <c r="C24" s="116">
        <f>C23/($C$23+$D$23+$E$23)</f>
        <v>1</v>
      </c>
      <c r="D24" s="117">
        <f>D23/($C$23+$D$23+$E$23)</f>
        <v>0</v>
      </c>
      <c r="E24" s="118">
        <f>E23/($C$23+$D$23+$E$23)</f>
        <v>0</v>
      </c>
      <c r="F24" s="231"/>
      <c r="G24" s="232" t="s">
        <v>13</v>
      </c>
      <c r="H24" s="233" t="s">
        <v>391</v>
      </c>
      <c r="I24" s="796" t="s">
        <v>651</v>
      </c>
      <c r="J24" s="217">
        <f>+'25'!J24</f>
        <v>0</v>
      </c>
      <c r="K24" s="242"/>
      <c r="L24" s="242"/>
      <c r="M24" s="120">
        <f>+K24+'25'!M24+L24</f>
        <v>0</v>
      </c>
    </row>
    <row r="25" spans="1:14" ht="13.5" thickBot="1">
      <c r="A25" s="799"/>
      <c r="B25" s="218" t="s">
        <v>707</v>
      </c>
      <c r="C25" s="229">
        <v>17911</v>
      </c>
      <c r="D25" s="220"/>
      <c r="E25" s="228"/>
      <c r="F25" s="234">
        <v>5</v>
      </c>
      <c r="G25" s="583" t="s">
        <v>13</v>
      </c>
      <c r="H25" s="233" t="s">
        <v>452</v>
      </c>
      <c r="I25" s="797"/>
      <c r="J25" s="217">
        <f>+'25'!J25</f>
        <v>0</v>
      </c>
      <c r="K25" s="242"/>
      <c r="L25" s="242"/>
      <c r="M25" s="120">
        <f>+K25+'25'!M25+L25</f>
        <v>0</v>
      </c>
    </row>
    <row r="26" spans="1:14" ht="13.5" thickBot="1">
      <c r="A26" s="799"/>
      <c r="B26" s="218"/>
      <c r="C26" s="229"/>
      <c r="D26" s="220"/>
      <c r="E26" s="230"/>
      <c r="F26" s="231">
        <v>10</v>
      </c>
      <c r="G26" s="583" t="s">
        <v>13</v>
      </c>
      <c r="H26" s="236" t="s">
        <v>473</v>
      </c>
      <c r="I26" s="797"/>
      <c r="J26" s="217">
        <f>+'25'!J26</f>
        <v>0</v>
      </c>
      <c r="K26" s="242"/>
      <c r="L26" s="242"/>
      <c r="M26" s="120">
        <f>+K26+'25'!M26+L26</f>
        <v>0</v>
      </c>
    </row>
    <row r="27" spans="1:14" ht="26.25" thickBot="1">
      <c r="A27" s="799"/>
      <c r="B27" s="218"/>
      <c r="C27" s="219"/>
      <c r="D27" s="220"/>
      <c r="E27" s="228"/>
      <c r="F27" s="231"/>
      <c r="G27" s="240" t="s">
        <v>14</v>
      </c>
      <c r="H27" s="236" t="s">
        <v>695</v>
      </c>
      <c r="I27" s="797"/>
      <c r="J27" s="217">
        <f>+'25'!J27</f>
        <v>0</v>
      </c>
      <c r="K27" s="242"/>
      <c r="L27" s="242"/>
      <c r="M27" s="120">
        <f>+K27+'25'!M27+L27</f>
        <v>0</v>
      </c>
    </row>
    <row r="28" spans="1:14" ht="26.25" thickBot="1">
      <c r="A28" s="799"/>
      <c r="B28" s="218"/>
      <c r="C28" s="219"/>
      <c r="D28" s="220"/>
      <c r="E28" s="228"/>
      <c r="F28" s="234"/>
      <c r="G28" s="235"/>
      <c r="H28" s="236" t="s">
        <v>712</v>
      </c>
      <c r="I28" s="797"/>
      <c r="J28" s="217">
        <f>+'25'!J28</f>
        <v>0</v>
      </c>
      <c r="K28" s="242"/>
      <c r="L28" s="242"/>
      <c r="M28" s="120">
        <f>+K28+'25'!M28+L28</f>
        <v>0</v>
      </c>
    </row>
    <row r="29" spans="1:14" ht="13.5" thickBot="1">
      <c r="A29" s="799"/>
      <c r="B29" s="218"/>
      <c r="C29" s="219"/>
      <c r="D29" s="220"/>
      <c r="E29" s="228"/>
      <c r="F29" s="239"/>
      <c r="G29" s="235"/>
      <c r="H29" s="236"/>
      <c r="I29" s="797"/>
      <c r="J29" s="217">
        <f>+'25'!J29</f>
        <v>0</v>
      </c>
      <c r="K29" s="242"/>
      <c r="L29" s="242"/>
      <c r="M29" s="120">
        <f>+K29+'25'!M29+L29</f>
        <v>0</v>
      </c>
    </row>
    <row r="30" spans="1:14" ht="13.5" thickBot="1">
      <c r="A30" s="799"/>
      <c r="B30" s="218"/>
      <c r="C30" s="229"/>
      <c r="D30" s="220"/>
      <c r="E30" s="228"/>
      <c r="F30" s="239"/>
      <c r="G30" s="235"/>
      <c r="H30" s="236"/>
      <c r="I30" s="797"/>
      <c r="J30" s="217">
        <f>+'25'!J30</f>
        <v>0</v>
      </c>
      <c r="K30" s="242"/>
      <c r="L30" s="242"/>
      <c r="M30" s="120">
        <f>+K30+'25'!M30+L30</f>
        <v>0</v>
      </c>
      <c r="N30" s="158"/>
    </row>
    <row r="31" spans="1:14" ht="13.5" thickBot="1">
      <c r="A31" s="799"/>
      <c r="B31" s="218"/>
      <c r="C31" s="229"/>
      <c r="D31" s="220"/>
      <c r="E31" s="228"/>
      <c r="F31" s="239"/>
      <c r="G31" s="240"/>
      <c r="H31" s="237"/>
      <c r="I31" s="798"/>
      <c r="J31" s="217">
        <f>+'25'!J31</f>
        <v>0</v>
      </c>
      <c r="K31" s="242"/>
      <c r="L31" s="242"/>
      <c r="M31" s="120">
        <f>+K31+'25'!M31+L31</f>
        <v>0</v>
      </c>
    </row>
    <row r="32" spans="1:14" ht="13.5" thickBot="1">
      <c r="A32" s="800"/>
      <c r="B32" s="168" t="s">
        <v>3</v>
      </c>
      <c r="C32" s="102">
        <f>SUM(C25:C31)</f>
        <v>17911</v>
      </c>
      <c r="D32" s="103">
        <f>SUM(D25:D31)</f>
        <v>0</v>
      </c>
      <c r="E32" s="104">
        <f>SUM(E25:E31)</f>
        <v>0</v>
      </c>
      <c r="F32" s="105">
        <f>SUM(F24:F31)</f>
        <v>15</v>
      </c>
      <c r="G32" s="174"/>
      <c r="H32" s="175"/>
      <c r="I32" s="172"/>
      <c r="J32" s="217">
        <f>+'25'!J32</f>
        <v>0</v>
      </c>
      <c r="K32" s="244"/>
      <c r="L32" s="246"/>
      <c r="M32" s="120">
        <f>+K32+'25'!M32+L32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801" t="s">
        <v>70</v>
      </c>
      <c r="B34" s="802"/>
      <c r="C34" s="110">
        <f>C14+C23+C32</f>
        <v>52279</v>
      </c>
      <c r="D34" s="110">
        <f>D14+D23+D32</f>
        <v>0</v>
      </c>
      <c r="E34" s="110">
        <f>E14+E23+E32</f>
        <v>0</v>
      </c>
      <c r="F34" s="111">
        <f>F14+F23+F32</f>
        <v>57</v>
      </c>
      <c r="H34" s="181"/>
      <c r="I34" s="181"/>
      <c r="J34" s="126" t="s">
        <v>29</v>
      </c>
      <c r="K34" s="127">
        <f>SUM(K7:K32)</f>
        <v>52279</v>
      </c>
      <c r="L34" s="215">
        <f>SUM(L7:L32)</f>
        <v>0</v>
      </c>
      <c r="M34" s="123">
        <f>SUM(M7:M32)</f>
        <v>1189979</v>
      </c>
      <c r="N34" s="158"/>
    </row>
    <row r="35" spans="1:14" ht="13.5" thickBot="1">
      <c r="A35" s="182"/>
      <c r="B35" s="183"/>
      <c r="C35" s="107">
        <f>C34/($C$34+$D$34+$E$34)</f>
        <v>1</v>
      </c>
      <c r="D35" s="107">
        <f>D34/($C$34+$D$34+$E$34)</f>
        <v>0</v>
      </c>
      <c r="E35" s="112">
        <f>E34/($C$34+$D$34+$E$34)</f>
        <v>0</v>
      </c>
      <c r="K35" s="158"/>
      <c r="L35" s="792" t="s">
        <v>187</v>
      </c>
      <c r="M35" s="792"/>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90" t="s">
        <v>71</v>
      </c>
      <c r="B37" s="791"/>
      <c r="C37" s="165" t="s">
        <v>72</v>
      </c>
      <c r="D37" s="186" t="s">
        <v>73</v>
      </c>
      <c r="E37" s="187" t="s">
        <v>74</v>
      </c>
      <c r="F37" s="365"/>
      <c r="G37" s="367"/>
      <c r="H37" s="189" t="s">
        <v>75</v>
      </c>
      <c r="I37" s="247">
        <f>(15*1440)/1440*G42*2.75*1440/1000000</f>
        <v>55.598399999999998</v>
      </c>
      <c r="J37" s="128">
        <f>+I37+'25'!J37</f>
        <v>1289.7768163383778</v>
      </c>
      <c r="K37" s="129" t="s">
        <v>76</v>
      </c>
      <c r="L37" s="426"/>
      <c r="M37" s="427"/>
    </row>
    <row r="38" spans="1:14" ht="17.45" customHeight="1">
      <c r="A38" s="786" t="s">
        <v>13</v>
      </c>
      <c r="B38" s="787"/>
      <c r="C38" s="167">
        <f>SUMIF($G$7:$G$31,"Process",$F$7:$F$31)</f>
        <v>47</v>
      </c>
      <c r="D38" s="121">
        <f>+C38+'25'!D38</f>
        <v>1668</v>
      </c>
      <c r="E38" s="146">
        <f t="shared" ref="E38:E51" si="2">D38/60</f>
        <v>27.8</v>
      </c>
      <c r="F38" s="365">
        <v>1200</v>
      </c>
      <c r="G38" s="365">
        <v>936</v>
      </c>
      <c r="H38" s="190" t="s">
        <v>77</v>
      </c>
      <c r="I38" s="547">
        <f>17.468+17.632+17.344</f>
        <v>52.444000000000003</v>
      </c>
      <c r="J38" s="130">
        <f>+I38+'25'!J38</f>
        <v>1216.5582999999999</v>
      </c>
      <c r="K38" s="131" t="s">
        <v>76</v>
      </c>
      <c r="L38" s="428"/>
      <c r="M38" s="429"/>
    </row>
    <row r="39" spans="1:14" ht="17.45" customHeight="1">
      <c r="A39" s="782" t="s">
        <v>14</v>
      </c>
      <c r="B39" s="783"/>
      <c r="C39" s="167">
        <f>SUMIF($G$7:$G$31,"Cleaning",$F$7:$F$31)</f>
        <v>10</v>
      </c>
      <c r="D39" s="121">
        <f>+C39+'25'!D39</f>
        <v>225</v>
      </c>
      <c r="E39" s="146">
        <f t="shared" si="2"/>
        <v>3.75</v>
      </c>
      <c r="F39" s="365">
        <v>1200</v>
      </c>
      <c r="G39" s="365">
        <v>936</v>
      </c>
      <c r="H39" s="190" t="s">
        <v>78</v>
      </c>
      <c r="I39" s="145"/>
      <c r="J39" s="132">
        <f>J37/G4</f>
        <v>49.606800628399142</v>
      </c>
      <c r="K39" s="133" t="s">
        <v>76</v>
      </c>
      <c r="L39" s="428"/>
      <c r="M39" s="429"/>
    </row>
    <row r="40" spans="1:14" ht="17.45" customHeight="1">
      <c r="A40" s="782" t="s">
        <v>79</v>
      </c>
      <c r="B40" s="783"/>
      <c r="C40" s="167">
        <f>SUMIF($G$7:$G$31,"Mechanical",$F$7:$F$31)</f>
        <v>0</v>
      </c>
      <c r="D40" s="121">
        <f>+C40+'25'!D40</f>
        <v>120</v>
      </c>
      <c r="E40" s="146">
        <f t="shared" si="2"/>
        <v>2</v>
      </c>
      <c r="F40" s="365">
        <v>1200</v>
      </c>
      <c r="G40" s="365">
        <v>936</v>
      </c>
      <c r="H40" s="190" t="s">
        <v>80</v>
      </c>
      <c r="I40" s="121">
        <f>(K34+L34)/1000</f>
        <v>52.279000000000003</v>
      </c>
      <c r="J40" s="134">
        <f>+I40+'25'!J40</f>
        <v>1189.979</v>
      </c>
      <c r="K40" s="133" t="s">
        <v>76</v>
      </c>
      <c r="L40" s="428"/>
      <c r="M40" s="429"/>
    </row>
    <row r="41" spans="1:14" ht="17.45" customHeight="1">
      <c r="A41" s="782" t="s">
        <v>81</v>
      </c>
      <c r="B41" s="783"/>
      <c r="C41" s="167">
        <f>SUMIF($G$7:$G$31,"Electrical",$F$7:$F$31)</f>
        <v>0</v>
      </c>
      <c r="D41" s="121">
        <f>+C41+'25'!D41</f>
        <v>80</v>
      </c>
      <c r="E41" s="146">
        <f t="shared" si="2"/>
        <v>1.3333333333333333</v>
      </c>
      <c r="F41" s="365"/>
      <c r="G41" s="365"/>
      <c r="H41" s="190" t="s">
        <v>82</v>
      </c>
      <c r="I41" s="145"/>
      <c r="J41" s="132">
        <f>J40/G4</f>
        <v>45.768423076923078</v>
      </c>
      <c r="K41" s="133" t="s">
        <v>76</v>
      </c>
      <c r="L41" s="428"/>
      <c r="M41" s="429"/>
    </row>
    <row r="42" spans="1:14" ht="17.45" customHeight="1">
      <c r="A42" s="782" t="s">
        <v>17</v>
      </c>
      <c r="B42" s="783"/>
      <c r="C42" s="167">
        <f>SUMIF($G$7:$G$31,"Instrument",$F$7:$F$31)</f>
        <v>0</v>
      </c>
      <c r="D42" s="121">
        <f>+C42+'25'!D42</f>
        <v>0</v>
      </c>
      <c r="E42" s="146">
        <f t="shared" si="2"/>
        <v>0</v>
      </c>
      <c r="F42" s="365">
        <f>+(F38*480+F39*480+F40*480)/1440</f>
        <v>1200</v>
      </c>
      <c r="G42" s="365">
        <f>+(G38*480+G39*480+G40*480)/1440</f>
        <v>936</v>
      </c>
      <c r="H42" s="190" t="s">
        <v>83</v>
      </c>
      <c r="I42" s="249" t="s">
        <v>651</v>
      </c>
      <c r="J42" s="135"/>
      <c r="K42" s="133" t="s">
        <v>84</v>
      </c>
      <c r="L42" s="428"/>
      <c r="M42" s="429"/>
    </row>
    <row r="43" spans="1:14" ht="17.45" customHeight="1">
      <c r="A43" s="782" t="s">
        <v>85</v>
      </c>
      <c r="B43" s="783"/>
      <c r="C43" s="167">
        <f>SUMIF($G$7:$G$31,"Water",$F$7:$F$31)</f>
        <v>0</v>
      </c>
      <c r="D43" s="121">
        <f>+C43+'25'!D43</f>
        <v>0</v>
      </c>
      <c r="E43" s="146">
        <f t="shared" si="2"/>
        <v>0</v>
      </c>
      <c r="F43" s="365"/>
      <c r="G43" s="366"/>
      <c r="H43" s="191" t="s">
        <v>86</v>
      </c>
      <c r="I43" s="121">
        <f>+Report1!AH34</f>
        <v>71.3</v>
      </c>
      <c r="J43" s="136">
        <f>+I43+'25'!J43</f>
        <v>1694.0000000000002</v>
      </c>
      <c r="K43" s="133" t="s">
        <v>76</v>
      </c>
      <c r="L43" s="430">
        <f>+Report1!AN34</f>
        <v>0</v>
      </c>
      <c r="M43" s="431">
        <f>+L43+'25'!M43</f>
        <v>0</v>
      </c>
    </row>
    <row r="44" spans="1:14" ht="17.45" customHeight="1">
      <c r="A44" s="782" t="s">
        <v>18</v>
      </c>
      <c r="B44" s="783"/>
      <c r="C44" s="167">
        <f>SUMIF($G$7:$G$31,"PLN",$F$7:$F$31)</f>
        <v>0</v>
      </c>
      <c r="D44" s="121">
        <f>+C44+'25'!D44</f>
        <v>0</v>
      </c>
      <c r="E44" s="146">
        <f t="shared" si="2"/>
        <v>0</v>
      </c>
      <c r="F44" s="365"/>
      <c r="G44" s="366"/>
      <c r="H44" s="191" t="s">
        <v>87</v>
      </c>
      <c r="I44" s="121">
        <f>I43/I38</f>
        <v>1.3595454198764394</v>
      </c>
      <c r="J44" s="137">
        <f>J43/J38</f>
        <v>1.3924527907951476</v>
      </c>
      <c r="K44" s="133" t="s">
        <v>76</v>
      </c>
      <c r="L44" s="432">
        <f>+L43/I38</f>
        <v>0</v>
      </c>
      <c r="M44" s="433">
        <f>+M43/J38</f>
        <v>0</v>
      </c>
    </row>
    <row r="45" spans="1:14" ht="17.45" customHeight="1">
      <c r="A45" s="782" t="s">
        <v>19</v>
      </c>
      <c r="B45" s="783"/>
      <c r="C45" s="167">
        <f>SUMIF($G$7:$G$31,"Boiler",$F$7:$F$31)</f>
        <v>0</v>
      </c>
      <c r="D45" s="121">
        <f>+C45+'25'!D45</f>
        <v>0</v>
      </c>
      <c r="E45" s="146">
        <f t="shared" si="2"/>
        <v>0</v>
      </c>
      <c r="F45" s="365"/>
      <c r="G45" s="368"/>
      <c r="H45" s="191" t="s">
        <v>88</v>
      </c>
      <c r="I45" s="121">
        <f>I43/I40</f>
        <v>1.3638363396392432</v>
      </c>
      <c r="J45" s="137">
        <f>J43/J40</f>
        <v>1.4235545333152939</v>
      </c>
      <c r="K45" s="133" t="s">
        <v>76</v>
      </c>
      <c r="L45" s="432">
        <f>+L43/I40</f>
        <v>0</v>
      </c>
      <c r="M45" s="433">
        <f>+M43/J40</f>
        <v>0</v>
      </c>
    </row>
    <row r="46" spans="1:14" ht="17.45" customHeight="1">
      <c r="A46" s="782" t="s">
        <v>89</v>
      </c>
      <c r="B46" s="783"/>
      <c r="C46" s="167">
        <f>SUMIF($G$7:$G$31,"Gas",$F$7:$F$31)</f>
        <v>0</v>
      </c>
      <c r="D46" s="121">
        <f>+C46+'25'!D46</f>
        <v>0</v>
      </c>
      <c r="E46" s="146">
        <f t="shared" si="2"/>
        <v>0</v>
      </c>
      <c r="F46" s="365"/>
      <c r="G46" s="366"/>
      <c r="H46" s="191" t="s">
        <v>90</v>
      </c>
      <c r="I46" s="143">
        <f>+SUMIF(Listrik!P33,"&gt;0")</f>
        <v>42238.599999999991</v>
      </c>
      <c r="J46" s="138">
        <f>+I46+'25'!J46</f>
        <v>1013327.2999999999</v>
      </c>
      <c r="K46" s="133" t="s">
        <v>91</v>
      </c>
      <c r="L46" s="432">
        <f>+Listrik!AF33</f>
        <v>0</v>
      </c>
      <c r="M46" s="434">
        <f>+L46+'25'!M46</f>
        <v>0</v>
      </c>
    </row>
    <row r="47" spans="1:14" ht="17.45" customHeight="1">
      <c r="A47" s="782" t="s">
        <v>92</v>
      </c>
      <c r="B47" s="783"/>
      <c r="C47" s="167">
        <f>SUMIF($G$7:$G$31,"Gas",$F$7:$F$31)</f>
        <v>0</v>
      </c>
      <c r="D47" s="121">
        <f>+C47+'25'!D47</f>
        <v>0</v>
      </c>
      <c r="E47" s="146">
        <f t="shared" si="2"/>
        <v>0</v>
      </c>
      <c r="F47" s="365"/>
      <c r="G47" s="366"/>
      <c r="H47" s="191" t="s">
        <v>93</v>
      </c>
      <c r="I47" s="121">
        <f>I46/I38</f>
        <v>805.40385935474012</v>
      </c>
      <c r="J47" s="138">
        <f>J46/J38</f>
        <v>832.94594266464662</v>
      </c>
      <c r="K47" s="133" t="s">
        <v>25</v>
      </c>
      <c r="L47" s="432">
        <f>+L46/I38</f>
        <v>0</v>
      </c>
      <c r="M47" s="433">
        <f>+M46/J38</f>
        <v>0</v>
      </c>
    </row>
    <row r="48" spans="1:14" ht="17.45" customHeight="1">
      <c r="A48" s="782" t="s">
        <v>15</v>
      </c>
      <c r="B48" s="783"/>
      <c r="C48" s="167">
        <f>SUMIF($G$7:$G$31,"Start Up",$F$7:$F$31)</f>
        <v>0</v>
      </c>
      <c r="D48" s="121">
        <f>+C48+'25'!D48</f>
        <v>0</v>
      </c>
      <c r="E48" s="146">
        <f t="shared" si="2"/>
        <v>0</v>
      </c>
      <c r="F48" s="365"/>
      <c r="G48" s="366"/>
      <c r="H48" s="191" t="s">
        <v>94</v>
      </c>
      <c r="I48" s="121">
        <f>I46/I40</f>
        <v>807.94582910920235</v>
      </c>
      <c r="J48" s="138">
        <f>J46/J40</f>
        <v>851.55057358155057</v>
      </c>
      <c r="K48" s="133" t="s">
        <v>25</v>
      </c>
      <c r="L48" s="432">
        <f>+L46/I38</f>
        <v>0</v>
      </c>
      <c r="M48" s="433">
        <f>+M46/J40</f>
        <v>0</v>
      </c>
    </row>
    <row r="49" spans="1:13" ht="17.45" customHeight="1">
      <c r="A49" s="782" t="s">
        <v>21</v>
      </c>
      <c r="B49" s="783"/>
      <c r="C49" s="167">
        <f>SUMIF($G$7:$G$31,"Others",$F$7:$F$31)</f>
        <v>0</v>
      </c>
      <c r="D49" s="121">
        <f>+C49+'25'!D49</f>
        <v>924</v>
      </c>
      <c r="E49" s="146">
        <f t="shared" si="2"/>
        <v>15.4</v>
      </c>
      <c r="F49" s="188"/>
      <c r="H49" s="191" t="s">
        <v>95</v>
      </c>
      <c r="I49" s="121">
        <f>+Report1!AB34</f>
        <v>5195.5551474257882</v>
      </c>
      <c r="J49" s="138">
        <f>+I49+'25'!J49</f>
        <v>115202.14660023886</v>
      </c>
      <c r="K49" s="133" t="s">
        <v>96</v>
      </c>
      <c r="L49" s="428"/>
      <c r="M49" s="429"/>
    </row>
    <row r="50" spans="1:13" ht="17.45" customHeight="1">
      <c r="A50" s="782" t="s">
        <v>20</v>
      </c>
      <c r="B50" s="783"/>
      <c r="C50" s="167">
        <f>SUMIF($G$7:$G$31,"Steam",$F$7:$F$31)</f>
        <v>0</v>
      </c>
      <c r="D50" s="121">
        <f>+C50+'25'!D50</f>
        <v>0</v>
      </c>
      <c r="E50" s="146">
        <f t="shared" si="2"/>
        <v>0</v>
      </c>
      <c r="F50" s="188"/>
      <c r="H50" s="191" t="s">
        <v>97</v>
      </c>
      <c r="I50" s="143">
        <f>I49/I38</f>
        <v>99.068628392681489</v>
      </c>
      <c r="J50" s="136">
        <f>J49/J38</f>
        <v>94.695130188367358</v>
      </c>
      <c r="K50" s="133" t="s">
        <v>96</v>
      </c>
      <c r="L50" s="428"/>
      <c r="M50" s="429"/>
    </row>
    <row r="51" spans="1:13" ht="17.45" customHeight="1" thickBot="1">
      <c r="A51" s="784" t="s">
        <v>98</v>
      </c>
      <c r="B51" s="785"/>
      <c r="C51" s="167">
        <f>SUMIF($G$7:$G$31,"Planned shut",$F$7:$F$31)</f>
        <v>0</v>
      </c>
      <c r="D51" s="121">
        <f>+C51+'25'!D51</f>
        <v>0</v>
      </c>
      <c r="E51" s="146">
        <f t="shared" si="2"/>
        <v>0</v>
      </c>
      <c r="F51" s="188"/>
      <c r="H51" s="193" t="s">
        <v>99</v>
      </c>
      <c r="I51" s="144">
        <f>I49/I40</f>
        <v>99.381303150897836</v>
      </c>
      <c r="J51" s="139">
        <f>J49/J40</f>
        <v>96.810234970733816</v>
      </c>
      <c r="K51" s="140" t="s">
        <v>96</v>
      </c>
      <c r="L51" s="428"/>
      <c r="M51" s="429"/>
    </row>
    <row r="52" spans="1:13" ht="13.5" thickBot="1">
      <c r="A52" s="786" t="s">
        <v>29</v>
      </c>
      <c r="B52" s="787"/>
      <c r="C52" s="147">
        <f>SUM(C38:C51)</f>
        <v>57</v>
      </c>
      <c r="D52" s="147">
        <f>SUM(D38:D51)</f>
        <v>3017</v>
      </c>
      <c r="E52" s="148">
        <f>SUM(E38:E51)</f>
        <v>50.283333333333331</v>
      </c>
      <c r="F52" s="188"/>
      <c r="H52" s="194"/>
      <c r="I52" s="195"/>
      <c r="J52" s="141"/>
      <c r="K52" s="142"/>
      <c r="L52" s="435"/>
      <c r="M52" s="436"/>
    </row>
    <row r="53" spans="1:13" ht="13.5" thickBot="1">
      <c r="A53" s="788"/>
      <c r="B53" s="789"/>
      <c r="C53" s="149">
        <f>C52/(24*60)</f>
        <v>3.9583333333333331E-2</v>
      </c>
      <c r="D53" s="149">
        <f>D52/(24*60*G4)</f>
        <v>8.0582264957264962E-2</v>
      </c>
      <c r="E53" s="150">
        <f>E52/(G4*24)</f>
        <v>8.0582264957264949E-2</v>
      </c>
      <c r="F53" s="188"/>
    </row>
    <row r="54" spans="1:13">
      <c r="E54" s="196"/>
      <c r="F54" s="188"/>
    </row>
    <row r="55" spans="1:13">
      <c r="E55" s="196"/>
    </row>
    <row r="56" spans="1:13">
      <c r="A56" s="197" t="s">
        <v>100</v>
      </c>
      <c r="B56" s="198"/>
      <c r="C56" s="199"/>
      <c r="D56" s="199"/>
      <c r="E56" s="199"/>
      <c r="F56" s="200"/>
      <c r="G56" s="199"/>
      <c r="H56" s="201"/>
      <c r="I56" s="202" t="s">
        <v>101</v>
      </c>
      <c r="J56" s="203">
        <f>+D34+'25'!J56</f>
        <v>2884</v>
      </c>
      <c r="K56" s="204">
        <f>J56/(J40+J56/1000)/1000</f>
        <v>2.4177126794946275E-3</v>
      </c>
    </row>
    <row r="57" spans="1:13">
      <c r="A57" s="179"/>
      <c r="I57" s="202" t="s">
        <v>102</v>
      </c>
      <c r="J57" s="203">
        <f>+E34+'25'!J57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I24:I31"/>
    <mergeCell ref="A7:A14"/>
    <mergeCell ref="A41:B41"/>
    <mergeCell ref="I7:I13"/>
    <mergeCell ref="A15:A23"/>
    <mergeCell ref="I15:I22"/>
    <mergeCell ref="A24:A32"/>
    <mergeCell ref="A34:B34"/>
    <mergeCell ref="A37:B37"/>
    <mergeCell ref="A38:B38"/>
    <mergeCell ref="A39:B39"/>
    <mergeCell ref="A40:B40"/>
    <mergeCell ref="L35:M35"/>
    <mergeCell ref="A46:B46"/>
    <mergeCell ref="A52:B52"/>
    <mergeCell ref="A53:B53"/>
    <mergeCell ref="A47:B47"/>
    <mergeCell ref="A48:B48"/>
    <mergeCell ref="A49:B49"/>
    <mergeCell ref="A50:B50"/>
    <mergeCell ref="A51:B51"/>
    <mergeCell ref="A43:B43"/>
    <mergeCell ref="A44:B44"/>
    <mergeCell ref="A45:B45"/>
    <mergeCell ref="A42:B42"/>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S61"/>
  <sheetViews>
    <sheetView zoomScale="80" zoomScaleNormal="80" workbookViewId="0">
      <selection activeCell="A7" sqref="A7:B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1.7109375" style="152" bestFit="1" customWidth="1"/>
    <col min="11" max="11" width="12.5703125" style="152" bestFit="1" customWidth="1"/>
    <col min="12" max="12" width="8.28515625" style="152" customWidth="1"/>
    <col min="13" max="13" width="14.4257812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25</v>
      </c>
      <c r="H4" s="157" t="str">
        <f>+'1'!H4</f>
        <v>.03.26</v>
      </c>
      <c r="J4" s="152">
        <f>549.6+524.8+512</f>
        <v>1586.4</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699</v>
      </c>
      <c r="O6" s="152">
        <v>1200</v>
      </c>
      <c r="P6" s="152">
        <f>+O6-(O6*0.22)</f>
        <v>936</v>
      </c>
      <c r="Q6" s="152">
        <v>480</v>
      </c>
      <c r="R6" s="152">
        <f t="shared" ref="R6:R8" si="0">+O6*Q6</f>
        <v>576000</v>
      </c>
      <c r="S6" s="152">
        <f t="shared" ref="S6:S8" si="1">+P6*Q6</f>
        <v>449280</v>
      </c>
    </row>
    <row r="7" spans="1:19" ht="13.5" customHeight="1" thickBot="1">
      <c r="A7" s="793" t="s">
        <v>430</v>
      </c>
      <c r="B7" s="218" t="s">
        <v>707</v>
      </c>
      <c r="C7" s="219">
        <v>15906</v>
      </c>
      <c r="D7" s="220"/>
      <c r="E7" s="221"/>
      <c r="F7" s="231"/>
      <c r="G7" s="232" t="s">
        <v>13</v>
      </c>
      <c r="H7" s="233" t="s">
        <v>391</v>
      </c>
      <c r="I7" s="796" t="s">
        <v>651</v>
      </c>
      <c r="J7" s="217" t="str">
        <f>+'24'!J7</f>
        <v>T 14 RC HW</v>
      </c>
      <c r="K7" s="241"/>
      <c r="L7" s="245"/>
      <c r="M7" s="120">
        <f>+K7+'24'!M7+L7</f>
        <v>240535</v>
      </c>
      <c r="O7" s="152">
        <v>1200</v>
      </c>
      <c r="P7" s="152">
        <f>+O7-(O7*0.22)</f>
        <v>936</v>
      </c>
      <c r="Q7" s="152">
        <v>480</v>
      </c>
      <c r="R7" s="152">
        <f t="shared" si="0"/>
        <v>576000</v>
      </c>
      <c r="S7" s="152">
        <f t="shared" si="1"/>
        <v>449280</v>
      </c>
    </row>
    <row r="8" spans="1:19" ht="13.5" thickBot="1">
      <c r="A8" s="794"/>
      <c r="B8" s="218"/>
      <c r="C8" s="219"/>
      <c r="D8" s="220"/>
      <c r="E8" s="222"/>
      <c r="F8" s="234">
        <v>12</v>
      </c>
      <c r="G8" s="583" t="s">
        <v>13</v>
      </c>
      <c r="H8" s="233" t="s">
        <v>474</v>
      </c>
      <c r="I8" s="797"/>
      <c r="J8" s="217" t="str">
        <f>+'24'!J8</f>
        <v>T 15,5 RC HW</v>
      </c>
      <c r="K8" s="242"/>
      <c r="L8" s="242"/>
      <c r="M8" s="120">
        <f>+K8+'24'!M8+L8</f>
        <v>139937</v>
      </c>
      <c r="O8" s="152">
        <v>1200</v>
      </c>
      <c r="P8" s="152">
        <f>+O8-(O8*0.22)</f>
        <v>936</v>
      </c>
      <c r="Q8" s="152">
        <v>480</v>
      </c>
      <c r="R8" s="152">
        <f t="shared" si="0"/>
        <v>576000</v>
      </c>
      <c r="S8" s="152">
        <f t="shared" si="1"/>
        <v>449280</v>
      </c>
    </row>
    <row r="9" spans="1:19" ht="13.5" thickBot="1">
      <c r="A9" s="794"/>
      <c r="B9" s="218"/>
      <c r="C9" s="219"/>
      <c r="D9" s="220"/>
      <c r="E9" s="223"/>
      <c r="F9" s="231">
        <f>25-12</f>
        <v>13</v>
      </c>
      <c r="G9" s="583" t="s">
        <v>13</v>
      </c>
      <c r="H9" s="236" t="s">
        <v>456</v>
      </c>
      <c r="I9" s="797"/>
      <c r="J9" s="217" t="str">
        <f>+'24'!J9</f>
        <v>T 13,5 RC HW</v>
      </c>
      <c r="K9" s="242"/>
      <c r="L9" s="242"/>
      <c r="M9" s="120">
        <f>+K9+'24'!M9+L9</f>
        <v>31497</v>
      </c>
    </row>
    <row r="10" spans="1:19" ht="26.25" thickBot="1">
      <c r="A10" s="794"/>
      <c r="B10" s="218"/>
      <c r="C10" s="219"/>
      <c r="D10" s="220"/>
      <c r="E10" s="222"/>
      <c r="F10" s="231"/>
      <c r="G10" s="240" t="s">
        <v>14</v>
      </c>
      <c r="H10" s="236" t="s">
        <v>709</v>
      </c>
      <c r="I10" s="797"/>
      <c r="J10" s="217" t="str">
        <f>+'24'!J10</f>
        <v>T 20 RC HW</v>
      </c>
      <c r="K10" s="242"/>
      <c r="L10" s="242"/>
      <c r="M10" s="120">
        <f>+K10+'24'!M10+L10</f>
        <v>35769</v>
      </c>
    </row>
    <row r="11" spans="1:19" ht="51.75" thickBot="1">
      <c r="A11" s="794"/>
      <c r="B11" s="218"/>
      <c r="C11" s="219"/>
      <c r="D11" s="220"/>
      <c r="E11" s="222"/>
      <c r="F11" s="231"/>
      <c r="G11" s="235"/>
      <c r="H11" s="236" t="s">
        <v>710</v>
      </c>
      <c r="I11" s="797"/>
      <c r="J11" s="217" t="str">
        <f>+'24'!J11</f>
        <v>T 17 RC HW</v>
      </c>
      <c r="K11" s="242"/>
      <c r="L11" s="242"/>
      <c r="M11" s="120">
        <f>+K11+'24'!M11+L11</f>
        <v>18517</v>
      </c>
    </row>
    <row r="12" spans="1:19" ht="13.5" thickBot="1">
      <c r="A12" s="794"/>
      <c r="B12" s="218"/>
      <c r="C12" s="219"/>
      <c r="D12" s="220"/>
      <c r="E12" s="222"/>
      <c r="F12" s="231"/>
      <c r="G12" s="235"/>
      <c r="H12" s="236"/>
      <c r="I12" s="797"/>
      <c r="J12" s="217" t="str">
        <f>+'24'!J12</f>
        <v>T 16 RC HW</v>
      </c>
      <c r="K12" s="242"/>
      <c r="L12" s="242"/>
      <c r="M12" s="120">
        <f>+K12+'24'!M12+L12</f>
        <v>38417</v>
      </c>
    </row>
    <row r="13" spans="1:19" ht="13.5" thickBot="1">
      <c r="A13" s="794"/>
      <c r="B13" s="218"/>
      <c r="C13" s="219"/>
      <c r="D13" s="219"/>
      <c r="E13" s="222"/>
      <c r="F13" s="231"/>
      <c r="G13" s="235"/>
      <c r="H13" s="236"/>
      <c r="I13" s="798"/>
      <c r="J13" s="217" t="str">
        <f>+'24'!J13</f>
        <v>N 15,5 RC HW</v>
      </c>
      <c r="K13" s="242"/>
      <c r="L13" s="242"/>
      <c r="M13" s="120">
        <f>+K13+'24'!M13+L13</f>
        <v>72746</v>
      </c>
      <c r="Q13" s="179">
        <f>SUM(Q6:Q12)</f>
        <v>1440</v>
      </c>
      <c r="R13" s="179">
        <f>SUM(R6:R12)</f>
        <v>1728000</v>
      </c>
      <c r="S13" s="179">
        <f>SUM(S6:S12)</f>
        <v>1347840</v>
      </c>
    </row>
    <row r="14" spans="1:19" ht="13.5" thickBot="1">
      <c r="A14" s="795"/>
      <c r="B14" s="168" t="s">
        <v>3</v>
      </c>
      <c r="C14" s="102">
        <f>SUM(C7:C13)</f>
        <v>15906</v>
      </c>
      <c r="D14" s="114">
        <f>SUM(D7:D13)</f>
        <v>0</v>
      </c>
      <c r="E14" s="115">
        <f>SUM(E5:E13)</f>
        <v>0</v>
      </c>
      <c r="F14" s="105">
        <f>SUM(F6:F13)</f>
        <v>25</v>
      </c>
      <c r="G14" s="162"/>
      <c r="H14" s="169"/>
      <c r="I14" s="170"/>
      <c r="J14" s="217" t="str">
        <f>+'24'!J14</f>
        <v>TW 22 RC HW</v>
      </c>
      <c r="K14" s="242"/>
      <c r="L14" s="242"/>
      <c r="M14" s="120">
        <f>+K14+'24'!M14+L14</f>
        <v>387590</v>
      </c>
      <c r="Q14" s="152">
        <f>480-Q13</f>
        <v>-960</v>
      </c>
      <c r="R14" s="179">
        <f>+R13/Q13</f>
        <v>1200</v>
      </c>
      <c r="S14" s="179">
        <f>+S13/Q13</f>
        <v>936</v>
      </c>
    </row>
    <row r="15" spans="1:19" ht="13.5" customHeight="1" thickBot="1">
      <c r="A15" s="793" t="s">
        <v>431</v>
      </c>
      <c r="B15" s="168"/>
      <c r="C15" s="116">
        <f>C14/($C$23+$D$23+$E$23)</f>
        <v>0.85691197069281333</v>
      </c>
      <c r="D15" s="117">
        <f>D14/($C$23+$D$23+$E$23)</f>
        <v>0</v>
      </c>
      <c r="E15" s="118">
        <f>E14/($C$23+$D$23+$E$23)</f>
        <v>0</v>
      </c>
      <c r="F15" s="231"/>
      <c r="G15" s="232" t="s">
        <v>13</v>
      </c>
      <c r="H15" s="233" t="s">
        <v>391</v>
      </c>
      <c r="I15" s="796" t="s">
        <v>651</v>
      </c>
      <c r="J15" s="217" t="str">
        <f>+'24'!J15</f>
        <v>T 14,5 RC HW</v>
      </c>
      <c r="K15" s="242"/>
      <c r="L15" s="242"/>
      <c r="M15" s="120">
        <f>+K15+'24'!M15+L15</f>
        <v>27261</v>
      </c>
    </row>
    <row r="16" spans="1:19" ht="13.5" thickBot="1">
      <c r="A16" s="799"/>
      <c r="B16" s="218" t="s">
        <v>707</v>
      </c>
      <c r="C16" s="225">
        <v>18562</v>
      </c>
      <c r="D16" s="226"/>
      <c r="E16" s="227"/>
      <c r="F16" s="234">
        <v>6</v>
      </c>
      <c r="G16" s="583" t="s">
        <v>13</v>
      </c>
      <c r="H16" s="233" t="s">
        <v>474</v>
      </c>
      <c r="I16" s="797"/>
      <c r="J16" s="217" t="str">
        <f>+'24'!J16</f>
        <v>T 13 RC HW</v>
      </c>
      <c r="K16" s="242"/>
      <c r="L16" s="232"/>
      <c r="M16" s="120">
        <f>+K16+'24'!M16+L16</f>
        <v>54395</v>
      </c>
    </row>
    <row r="17" spans="1:14" ht="13.5" thickBot="1">
      <c r="A17" s="799"/>
      <c r="B17" s="218"/>
      <c r="C17" s="219"/>
      <c r="D17" s="220"/>
      <c r="E17" s="228"/>
      <c r="F17" s="231">
        <v>10</v>
      </c>
      <c r="G17" s="583" t="s">
        <v>13</v>
      </c>
      <c r="H17" s="236" t="s">
        <v>456</v>
      </c>
      <c r="I17" s="797"/>
      <c r="J17" s="217" t="str">
        <f>+'24'!J17</f>
        <v>T 15 RC HW</v>
      </c>
      <c r="K17" s="242">
        <f>+C34</f>
        <v>53160</v>
      </c>
      <c r="L17" s="232"/>
      <c r="M17" s="120">
        <f>+K17+'24'!M17+L17</f>
        <v>91036</v>
      </c>
    </row>
    <row r="18" spans="1:14" ht="26.25" thickBot="1">
      <c r="A18" s="799"/>
      <c r="B18" s="218"/>
      <c r="C18" s="219"/>
      <c r="D18" s="220"/>
      <c r="E18" s="228"/>
      <c r="F18" s="231"/>
      <c r="G18" s="240" t="s">
        <v>14</v>
      </c>
      <c r="H18" s="236" t="s">
        <v>695</v>
      </c>
      <c r="I18" s="797"/>
      <c r="J18" s="217">
        <f>+'24'!J18</f>
        <v>0</v>
      </c>
      <c r="K18" s="242"/>
      <c r="L18" s="242"/>
      <c r="M18" s="120">
        <f>+K18+'24'!M18+L18</f>
        <v>0</v>
      </c>
    </row>
    <row r="19" spans="1:14" ht="13.5" thickBot="1">
      <c r="A19" s="799"/>
      <c r="B19" s="218"/>
      <c r="C19" s="219"/>
      <c r="D19" s="220"/>
      <c r="E19" s="228"/>
      <c r="F19" s="238"/>
      <c r="G19" s="235"/>
      <c r="H19" s="236"/>
      <c r="I19" s="797"/>
      <c r="J19" s="217">
        <f>+'24'!J19</f>
        <v>0</v>
      </c>
      <c r="K19" s="242"/>
      <c r="L19" s="242"/>
      <c r="M19" s="120">
        <f>+K19+'24'!M19+L19</f>
        <v>0</v>
      </c>
    </row>
    <row r="20" spans="1:14" ht="13.5" thickBot="1">
      <c r="A20" s="799"/>
      <c r="B20" s="218"/>
      <c r="C20" s="219"/>
      <c r="D20" s="220"/>
      <c r="E20" s="228"/>
      <c r="F20" s="231"/>
      <c r="G20" s="235"/>
      <c r="H20" s="236"/>
      <c r="I20" s="797"/>
      <c r="J20" s="217">
        <f>+'24'!J20</f>
        <v>0</v>
      </c>
      <c r="K20" s="242"/>
      <c r="L20" s="243"/>
      <c r="M20" s="120">
        <f>+K20+'24'!M20+L20</f>
        <v>0</v>
      </c>
    </row>
    <row r="21" spans="1:14" ht="13.5" thickBot="1">
      <c r="A21" s="799"/>
      <c r="B21" s="218"/>
      <c r="C21" s="219"/>
      <c r="D21" s="220"/>
      <c r="E21" s="228"/>
      <c r="F21" s="234"/>
      <c r="G21" s="235"/>
      <c r="H21" s="236"/>
      <c r="I21" s="797"/>
      <c r="J21" s="217">
        <f>+'24'!J21</f>
        <v>0</v>
      </c>
      <c r="K21" s="242"/>
      <c r="L21" s="242"/>
      <c r="M21" s="120">
        <f>+K21+'24'!M21+L21</f>
        <v>0</v>
      </c>
    </row>
    <row r="22" spans="1:14" ht="13.5" thickBot="1">
      <c r="A22" s="799"/>
      <c r="B22" s="218"/>
      <c r="C22" s="219"/>
      <c r="D22" s="220"/>
      <c r="E22" s="228"/>
      <c r="F22" s="239"/>
      <c r="G22" s="235"/>
      <c r="H22" s="236"/>
      <c r="I22" s="798"/>
      <c r="J22" s="217">
        <f>+'24'!J22</f>
        <v>0</v>
      </c>
      <c r="K22" s="242"/>
      <c r="L22" s="242"/>
      <c r="M22" s="120">
        <f>+K22+'24'!M22+L22</f>
        <v>0</v>
      </c>
    </row>
    <row r="23" spans="1:14" ht="13.5" thickBot="1">
      <c r="A23" s="800"/>
      <c r="B23" s="168" t="s">
        <v>3</v>
      </c>
      <c r="C23" s="103">
        <f>SUM(C16:C22)</f>
        <v>18562</v>
      </c>
      <c r="D23" s="114">
        <f>SUM(D16:D22)</f>
        <v>0</v>
      </c>
      <c r="E23" s="115">
        <f>SUM(E18:E22)</f>
        <v>0</v>
      </c>
      <c r="F23" s="105">
        <f>SUM(F15:F22)</f>
        <v>16</v>
      </c>
      <c r="G23" s="162"/>
      <c r="H23" s="169"/>
      <c r="I23" s="172"/>
      <c r="J23" s="217">
        <f>+'24'!J23</f>
        <v>0</v>
      </c>
      <c r="K23" s="242"/>
      <c r="L23" s="242"/>
      <c r="M23" s="120">
        <f>+K23+'24'!M23+L23</f>
        <v>0</v>
      </c>
    </row>
    <row r="24" spans="1:14" ht="13.5" customHeight="1" thickBot="1">
      <c r="A24" s="793" t="s">
        <v>432</v>
      </c>
      <c r="B24" s="173"/>
      <c r="C24" s="116">
        <f>C23/($C$23+$D$23+$E$23)</f>
        <v>1</v>
      </c>
      <c r="D24" s="117">
        <f>D23/($C$23+$D$23+$E$23)</f>
        <v>0</v>
      </c>
      <c r="E24" s="118">
        <f>E23/($C$23+$D$23+$E$23)</f>
        <v>0</v>
      </c>
      <c r="F24" s="231"/>
      <c r="G24" s="232" t="s">
        <v>13</v>
      </c>
      <c r="H24" s="233" t="s">
        <v>391</v>
      </c>
      <c r="I24" s="796" t="s">
        <v>651</v>
      </c>
      <c r="J24" s="217">
        <f>+'24'!J24</f>
        <v>0</v>
      </c>
      <c r="K24" s="242"/>
      <c r="L24" s="242"/>
      <c r="M24" s="120">
        <f>+K24+'24'!M24+L24</f>
        <v>0</v>
      </c>
    </row>
    <row r="25" spans="1:14" ht="13.5" thickBot="1">
      <c r="A25" s="799"/>
      <c r="B25" s="218" t="s">
        <v>707</v>
      </c>
      <c r="C25" s="229">
        <v>18692</v>
      </c>
      <c r="D25" s="220"/>
      <c r="E25" s="228"/>
      <c r="F25" s="234">
        <v>5</v>
      </c>
      <c r="G25" s="583" t="s">
        <v>13</v>
      </c>
      <c r="H25" s="233" t="s">
        <v>452</v>
      </c>
      <c r="I25" s="797"/>
      <c r="J25" s="217">
        <f>+'24'!J25</f>
        <v>0</v>
      </c>
      <c r="K25" s="242"/>
      <c r="L25" s="242"/>
      <c r="M25" s="120">
        <f>+K25+'24'!M25+L25</f>
        <v>0</v>
      </c>
    </row>
    <row r="26" spans="1:14" ht="13.5" thickBot="1">
      <c r="A26" s="799"/>
      <c r="B26" s="218"/>
      <c r="C26" s="229"/>
      <c r="D26" s="220"/>
      <c r="E26" s="230"/>
      <c r="F26" s="231">
        <v>10</v>
      </c>
      <c r="G26" s="583" t="s">
        <v>13</v>
      </c>
      <c r="H26" s="236" t="s">
        <v>421</v>
      </c>
      <c r="I26" s="797"/>
      <c r="J26" s="217">
        <f>+'24'!J26</f>
        <v>0</v>
      </c>
      <c r="K26" s="242"/>
      <c r="L26" s="242"/>
      <c r="M26" s="120">
        <f>+K26+'24'!M26+L26</f>
        <v>0</v>
      </c>
    </row>
    <row r="27" spans="1:14" ht="26.25" thickBot="1">
      <c r="A27" s="799"/>
      <c r="B27" s="218"/>
      <c r="C27" s="219"/>
      <c r="D27" s="220"/>
      <c r="E27" s="228"/>
      <c r="F27" s="231"/>
      <c r="G27" s="240" t="s">
        <v>14</v>
      </c>
      <c r="H27" s="236" t="s">
        <v>697</v>
      </c>
      <c r="I27" s="797"/>
      <c r="J27" s="217">
        <f>+'24'!J27</f>
        <v>0</v>
      </c>
      <c r="K27" s="242"/>
      <c r="L27" s="242"/>
      <c r="M27" s="120">
        <f>+K27+'24'!M27+L27</f>
        <v>0</v>
      </c>
    </row>
    <row r="28" spans="1:14" ht="13.5" thickBot="1">
      <c r="A28" s="799"/>
      <c r="B28" s="218"/>
      <c r="C28" s="219"/>
      <c r="D28" s="220"/>
      <c r="E28" s="228"/>
      <c r="F28" s="234"/>
      <c r="G28" s="235"/>
      <c r="H28" s="236"/>
      <c r="I28" s="797"/>
      <c r="J28" s="217">
        <f>+'24'!J28</f>
        <v>0</v>
      </c>
      <c r="K28" s="242"/>
      <c r="L28" s="242"/>
      <c r="M28" s="120">
        <f>+K28+'24'!M28+L28</f>
        <v>0</v>
      </c>
    </row>
    <row r="29" spans="1:14" ht="13.5" thickBot="1">
      <c r="A29" s="799"/>
      <c r="B29" s="218"/>
      <c r="C29" s="219"/>
      <c r="D29" s="220"/>
      <c r="E29" s="228"/>
      <c r="F29" s="239"/>
      <c r="G29" s="235"/>
      <c r="H29" s="236"/>
      <c r="I29" s="797"/>
      <c r="J29" s="217">
        <f>+'24'!J29</f>
        <v>0</v>
      </c>
      <c r="K29" s="242"/>
      <c r="L29" s="242"/>
      <c r="M29" s="120">
        <f>+K29+'24'!M29+L29</f>
        <v>0</v>
      </c>
    </row>
    <row r="30" spans="1:14" ht="13.5" thickBot="1">
      <c r="A30" s="799"/>
      <c r="B30" s="218"/>
      <c r="C30" s="229"/>
      <c r="D30" s="220"/>
      <c r="E30" s="228"/>
      <c r="F30" s="239"/>
      <c r="G30" s="235"/>
      <c r="H30" s="236"/>
      <c r="I30" s="797"/>
      <c r="J30" s="217">
        <f>+'24'!J30</f>
        <v>0</v>
      </c>
      <c r="K30" s="242"/>
      <c r="L30" s="242"/>
      <c r="M30" s="120">
        <f>+K30+'24'!M30+L30</f>
        <v>0</v>
      </c>
      <c r="N30" s="158"/>
    </row>
    <row r="31" spans="1:14" ht="13.5" thickBot="1">
      <c r="A31" s="799"/>
      <c r="B31" s="218"/>
      <c r="C31" s="229"/>
      <c r="D31" s="220"/>
      <c r="E31" s="228"/>
      <c r="F31" s="239"/>
      <c r="G31" s="240"/>
      <c r="H31" s="237"/>
      <c r="I31" s="798"/>
      <c r="J31" s="217">
        <f>+'24'!J31</f>
        <v>0</v>
      </c>
      <c r="K31" s="242"/>
      <c r="L31" s="242"/>
      <c r="M31" s="120">
        <f>+K31+'24'!M31+L31</f>
        <v>0</v>
      </c>
    </row>
    <row r="32" spans="1:14" ht="13.5" thickBot="1">
      <c r="A32" s="800"/>
      <c r="B32" s="168" t="s">
        <v>3</v>
      </c>
      <c r="C32" s="102">
        <f>SUM(C25:C31)</f>
        <v>18692</v>
      </c>
      <c r="D32" s="103">
        <f>SUM(D25:D31)</f>
        <v>0</v>
      </c>
      <c r="E32" s="104">
        <f>SUM(E25:E31)</f>
        <v>0</v>
      </c>
      <c r="F32" s="105">
        <f>SUM(F24:F31)</f>
        <v>15</v>
      </c>
      <c r="G32" s="174"/>
      <c r="H32" s="175"/>
      <c r="I32" s="172"/>
      <c r="J32" s="217">
        <f>+'24'!J32</f>
        <v>0</v>
      </c>
      <c r="K32" s="242"/>
      <c r="L32" s="246"/>
      <c r="M32" s="120">
        <f>+K32+'24'!M32+L32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801" t="s">
        <v>70</v>
      </c>
      <c r="B34" s="802"/>
      <c r="C34" s="110">
        <f>C14+C23+C32</f>
        <v>53160</v>
      </c>
      <c r="D34" s="110">
        <f>D14+D23+D32</f>
        <v>0</v>
      </c>
      <c r="E34" s="110">
        <f>E14+E23+E32</f>
        <v>0</v>
      </c>
      <c r="F34" s="111">
        <f>F14+F23+F32</f>
        <v>56</v>
      </c>
      <c r="H34" s="181"/>
      <c r="I34" s="181"/>
      <c r="J34" s="126" t="s">
        <v>29</v>
      </c>
      <c r="K34" s="127">
        <f>SUM(K7:K32)</f>
        <v>53160</v>
      </c>
      <c r="L34" s="215">
        <f>SUM(L7:L32)</f>
        <v>0</v>
      </c>
      <c r="M34" s="123">
        <f>SUM(M7:M32)</f>
        <v>1137700</v>
      </c>
      <c r="N34" s="158"/>
    </row>
    <row r="35" spans="1:14" ht="13.5" thickBot="1">
      <c r="A35" s="182"/>
      <c r="B35" s="183"/>
      <c r="C35" s="107">
        <f>C34/($C$34+$D$34+$E$34)</f>
        <v>1</v>
      </c>
      <c r="D35" s="107">
        <f>D34/($C$34+$D$34+$E$34)</f>
        <v>0</v>
      </c>
      <c r="E35" s="112">
        <f>E34/($C$34+$D$34+$E$34)</f>
        <v>0</v>
      </c>
      <c r="K35" s="158"/>
      <c r="L35" s="792" t="s">
        <v>187</v>
      </c>
      <c r="M35" s="792"/>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90" t="s">
        <v>71</v>
      </c>
      <c r="B37" s="791"/>
      <c r="C37" s="165" t="s">
        <v>72</v>
      </c>
      <c r="D37" s="186" t="s">
        <v>73</v>
      </c>
      <c r="E37" s="187" t="s">
        <v>74</v>
      </c>
      <c r="F37" s="365"/>
      <c r="G37" s="367"/>
      <c r="H37" s="189" t="s">
        <v>75</v>
      </c>
      <c r="I37" s="247">
        <f>(15*1440)/1440*G42*2.75*1440/1000000</f>
        <v>55.598399999999998</v>
      </c>
      <c r="J37" s="128">
        <f>+I37+'24'!J37</f>
        <v>1234.1784163383777</v>
      </c>
      <c r="K37" s="129" t="s">
        <v>76</v>
      </c>
      <c r="L37" s="426"/>
      <c r="M37" s="427"/>
    </row>
    <row r="38" spans="1:14" ht="17.45" customHeight="1">
      <c r="A38" s="786" t="s">
        <v>13</v>
      </c>
      <c r="B38" s="787"/>
      <c r="C38" s="167">
        <f>SUMIF($G$7:$G$31,"Process",$F$7:$F$31)</f>
        <v>56</v>
      </c>
      <c r="D38" s="121">
        <f>+C38+'24'!D38</f>
        <v>1621</v>
      </c>
      <c r="E38" s="146">
        <f t="shared" ref="E38:E51" si="2">D38/60</f>
        <v>27.016666666666666</v>
      </c>
      <c r="F38" s="365">
        <v>1200</v>
      </c>
      <c r="G38" s="365">
        <v>936</v>
      </c>
      <c r="H38" s="190" t="s">
        <v>77</v>
      </c>
      <c r="I38" s="547">
        <f>17.283+17.652+18.865</f>
        <v>53.8</v>
      </c>
      <c r="J38" s="130">
        <f>+I38+'24'!J38</f>
        <v>1164.1143</v>
      </c>
      <c r="K38" s="131" t="s">
        <v>76</v>
      </c>
      <c r="L38" s="428"/>
      <c r="M38" s="429"/>
      <c r="N38" s="548"/>
    </row>
    <row r="39" spans="1:14" ht="17.45" customHeight="1">
      <c r="A39" s="782" t="s">
        <v>14</v>
      </c>
      <c r="B39" s="783"/>
      <c r="C39" s="167">
        <f>SUMIF($G$7:$G$31,"Cleaning",$F$7:$F$31)</f>
        <v>0</v>
      </c>
      <c r="D39" s="121">
        <f>+C39+'24'!D39</f>
        <v>215</v>
      </c>
      <c r="E39" s="146">
        <f t="shared" si="2"/>
        <v>3.5833333333333335</v>
      </c>
      <c r="F39" s="365">
        <v>1200</v>
      </c>
      <c r="G39" s="365">
        <v>936</v>
      </c>
      <c r="H39" s="190" t="s">
        <v>78</v>
      </c>
      <c r="I39" s="145"/>
      <c r="J39" s="132">
        <f>J37/G4</f>
        <v>49.367136653535105</v>
      </c>
      <c r="K39" s="133" t="s">
        <v>76</v>
      </c>
      <c r="L39" s="428"/>
      <c r="M39" s="429"/>
    </row>
    <row r="40" spans="1:14" ht="17.45" customHeight="1">
      <c r="A40" s="782" t="s">
        <v>79</v>
      </c>
      <c r="B40" s="783"/>
      <c r="C40" s="167">
        <f>SUMIF($G$7:$G$31,"Mechanical",$F$7:$F$31)</f>
        <v>0</v>
      </c>
      <c r="D40" s="121">
        <f>+C40+'24'!D40</f>
        <v>120</v>
      </c>
      <c r="E40" s="146">
        <f t="shared" si="2"/>
        <v>2</v>
      </c>
      <c r="F40" s="365">
        <v>1200</v>
      </c>
      <c r="G40" s="365">
        <v>936</v>
      </c>
      <c r="H40" s="190" t="s">
        <v>80</v>
      </c>
      <c r="I40" s="121">
        <f>(K34+L34)/1000</f>
        <v>53.16</v>
      </c>
      <c r="J40" s="134">
        <f>+I40+'24'!J40</f>
        <v>1137.7</v>
      </c>
      <c r="K40" s="133" t="s">
        <v>76</v>
      </c>
      <c r="L40" s="428"/>
      <c r="M40" s="429"/>
    </row>
    <row r="41" spans="1:14" ht="17.45" customHeight="1">
      <c r="A41" s="782" t="s">
        <v>81</v>
      </c>
      <c r="B41" s="783"/>
      <c r="C41" s="167">
        <f>SUMIF($G$7:$G$31,"Electrical",$F$7:$F$31)</f>
        <v>0</v>
      </c>
      <c r="D41" s="121">
        <f>+C41+'24'!D41</f>
        <v>80</v>
      </c>
      <c r="E41" s="146">
        <f t="shared" si="2"/>
        <v>1.3333333333333333</v>
      </c>
      <c r="F41" s="365"/>
      <c r="G41" s="365"/>
      <c r="H41" s="190" t="s">
        <v>82</v>
      </c>
      <c r="I41" s="145"/>
      <c r="J41" s="132">
        <f>J40/G4</f>
        <v>45.508000000000003</v>
      </c>
      <c r="K41" s="133" t="s">
        <v>76</v>
      </c>
      <c r="L41" s="428"/>
      <c r="M41" s="429"/>
    </row>
    <row r="42" spans="1:14" ht="17.45" customHeight="1">
      <c r="A42" s="782" t="s">
        <v>17</v>
      </c>
      <c r="B42" s="783"/>
      <c r="C42" s="167">
        <f>SUMIF($G$7:$G$31,"Instrument",$F$7:$F$31)</f>
        <v>0</v>
      </c>
      <c r="D42" s="121">
        <f>+C42+'24'!D42</f>
        <v>0</v>
      </c>
      <c r="E42" s="146">
        <f t="shared" si="2"/>
        <v>0</v>
      </c>
      <c r="F42" s="365">
        <f>+(F38*480+F39*480+F40*480)/1440</f>
        <v>1200</v>
      </c>
      <c r="G42" s="365">
        <f>+(G38*480+G39*480+G40*480)/1440</f>
        <v>936</v>
      </c>
      <c r="H42" s="190" t="s">
        <v>83</v>
      </c>
      <c r="I42" s="249" t="s">
        <v>651</v>
      </c>
      <c r="J42" s="135"/>
      <c r="K42" s="133" t="s">
        <v>84</v>
      </c>
      <c r="L42" s="428"/>
      <c r="M42" s="429"/>
    </row>
    <row r="43" spans="1:14" ht="17.45" customHeight="1">
      <c r="A43" s="782" t="s">
        <v>202</v>
      </c>
      <c r="B43" s="783"/>
      <c r="C43" s="167">
        <f>SUMIF($G$7:$G$31,"Change Grade",$F$7:$F$31)</f>
        <v>0</v>
      </c>
      <c r="D43" s="121">
        <f>+C43+'24'!D43</f>
        <v>0</v>
      </c>
      <c r="E43" s="146">
        <f t="shared" si="2"/>
        <v>0</v>
      </c>
      <c r="F43" s="365"/>
      <c r="G43" s="366"/>
      <c r="H43" s="191" t="s">
        <v>86</v>
      </c>
      <c r="I43" s="121">
        <f>+Report1!AH33</f>
        <v>71.2</v>
      </c>
      <c r="J43" s="136">
        <f>+I43+'24'!J43</f>
        <v>1622.7000000000003</v>
      </c>
      <c r="K43" s="133" t="s">
        <v>76</v>
      </c>
      <c r="L43" s="430">
        <f>+Report1!AN33</f>
        <v>0</v>
      </c>
      <c r="M43" s="431">
        <f>+L43+'24'!M43</f>
        <v>0</v>
      </c>
    </row>
    <row r="44" spans="1:14" ht="17.45" customHeight="1">
      <c r="A44" s="782" t="s">
        <v>18</v>
      </c>
      <c r="B44" s="783"/>
      <c r="C44" s="167">
        <f>SUMIF($G$7:$G$31,"PLN",$F$7:$F$31)</f>
        <v>0</v>
      </c>
      <c r="D44" s="121">
        <f>+C44+'24'!D44</f>
        <v>0</v>
      </c>
      <c r="E44" s="146">
        <f t="shared" si="2"/>
        <v>0</v>
      </c>
      <c r="F44" s="365"/>
      <c r="G44" s="366"/>
      <c r="H44" s="191" t="s">
        <v>87</v>
      </c>
      <c r="I44" s="121">
        <f>I43/I38</f>
        <v>1.3234200743494424</v>
      </c>
      <c r="J44" s="137">
        <f>J43/J38</f>
        <v>1.3939352862515308</v>
      </c>
      <c r="K44" s="133" t="s">
        <v>76</v>
      </c>
      <c r="L44" s="432">
        <f>+L43/I38</f>
        <v>0</v>
      </c>
      <c r="M44" s="433">
        <f>+M43/J38</f>
        <v>0</v>
      </c>
    </row>
    <row r="45" spans="1:14" ht="17.45" customHeight="1">
      <c r="A45" s="782" t="s">
        <v>19</v>
      </c>
      <c r="B45" s="783"/>
      <c r="C45" s="167">
        <f>SUMIF($G$7:$G$31,"Boiler",$F$7:$F$31)</f>
        <v>0</v>
      </c>
      <c r="D45" s="121">
        <f>+C45+'24'!D45</f>
        <v>0</v>
      </c>
      <c r="E45" s="146">
        <f t="shared" si="2"/>
        <v>0</v>
      </c>
      <c r="F45" s="365"/>
      <c r="G45" s="368"/>
      <c r="H45" s="191" t="s">
        <v>88</v>
      </c>
      <c r="I45" s="121">
        <f>I43/I40</f>
        <v>1.3393528969149737</v>
      </c>
      <c r="J45" s="137">
        <f>J43/J40</f>
        <v>1.4262986727608336</v>
      </c>
      <c r="K45" s="133" t="s">
        <v>76</v>
      </c>
      <c r="L45" s="432">
        <f>+L43/I40</f>
        <v>0</v>
      </c>
      <c r="M45" s="433">
        <f>+M43/J40</f>
        <v>0</v>
      </c>
    </row>
    <row r="46" spans="1:14" ht="17.45" customHeight="1">
      <c r="A46" s="782" t="s">
        <v>89</v>
      </c>
      <c r="B46" s="783"/>
      <c r="C46" s="167">
        <f>SUMIF($G$7:$G$31,"Gas",$F$7:$F$31)</f>
        <v>0</v>
      </c>
      <c r="D46" s="121">
        <f>+C46+'24'!D46</f>
        <v>0</v>
      </c>
      <c r="E46" s="146">
        <f t="shared" si="2"/>
        <v>0</v>
      </c>
      <c r="F46" s="365"/>
      <c r="G46" s="366"/>
      <c r="H46" s="191" t="s">
        <v>90</v>
      </c>
      <c r="I46" s="143">
        <f>+SUMIF(Listrik!P32,"&gt;0")</f>
        <v>42534.020000000084</v>
      </c>
      <c r="J46" s="138">
        <f>+I46+'24'!J46</f>
        <v>971088.7</v>
      </c>
      <c r="K46" s="133" t="s">
        <v>91</v>
      </c>
      <c r="L46" s="432">
        <f>+Listrik!AF32</f>
        <v>0</v>
      </c>
      <c r="M46" s="434">
        <f>+L46+'24'!M46</f>
        <v>0</v>
      </c>
    </row>
    <row r="47" spans="1:14" ht="17.45" customHeight="1">
      <c r="A47" s="782" t="s">
        <v>92</v>
      </c>
      <c r="B47" s="783"/>
      <c r="C47" s="167">
        <f>SUMIF($G$7:$G$31,"Gas",$F$7:$F$31)</f>
        <v>0</v>
      </c>
      <c r="D47" s="121">
        <f>+C47+'24'!D47</f>
        <v>0</v>
      </c>
      <c r="E47" s="146">
        <f t="shared" si="2"/>
        <v>0</v>
      </c>
      <c r="F47" s="365"/>
      <c r="G47" s="366"/>
      <c r="H47" s="191" t="s">
        <v>93</v>
      </c>
      <c r="I47" s="121">
        <f>I46/I38</f>
        <v>790.59516728624692</v>
      </c>
      <c r="J47" s="138">
        <f>J46/J38</f>
        <v>834.18672891484971</v>
      </c>
      <c r="K47" s="133" t="s">
        <v>25</v>
      </c>
      <c r="L47" s="432">
        <f>+L46/I38</f>
        <v>0</v>
      </c>
      <c r="M47" s="433">
        <f>+M46/J38</f>
        <v>0</v>
      </c>
    </row>
    <row r="48" spans="1:14" ht="17.45" customHeight="1">
      <c r="A48" s="782" t="s">
        <v>15</v>
      </c>
      <c r="B48" s="783"/>
      <c r="C48" s="167">
        <f>SUMIF($G$7:$G$31,"Start Up",$F$7:$F$31)</f>
        <v>0</v>
      </c>
      <c r="D48" s="121">
        <f>+C48+'24'!D48</f>
        <v>0</v>
      </c>
      <c r="E48" s="146">
        <f t="shared" si="2"/>
        <v>0</v>
      </c>
      <c r="F48" s="365"/>
      <c r="G48" s="366"/>
      <c r="H48" s="191" t="s">
        <v>94</v>
      </c>
      <c r="I48" s="121">
        <f>I46/I40</f>
        <v>800.11324303988124</v>
      </c>
      <c r="J48" s="138">
        <f>J46/J40</f>
        <v>853.55427617122257</v>
      </c>
      <c r="K48" s="133" t="s">
        <v>25</v>
      </c>
      <c r="L48" s="432">
        <f>+L46/I38</f>
        <v>0</v>
      </c>
      <c r="M48" s="433">
        <f>+M46/J40</f>
        <v>0</v>
      </c>
    </row>
    <row r="49" spans="1:13" ht="17.45" customHeight="1">
      <c r="A49" s="782" t="s">
        <v>21</v>
      </c>
      <c r="B49" s="783"/>
      <c r="C49" s="167">
        <f>SUMIF($G$7:$G$31,"Others",$F$7:$F$31)</f>
        <v>0</v>
      </c>
      <c r="D49" s="121">
        <f>+C49+'24'!D49</f>
        <v>924</v>
      </c>
      <c r="E49" s="146">
        <f t="shared" si="2"/>
        <v>15.4</v>
      </c>
      <c r="F49" s="188"/>
      <c r="H49" s="191" t="s">
        <v>95</v>
      </c>
      <c r="I49" s="121">
        <f>+Report1!AB33</f>
        <v>5163.7208801850766</v>
      </c>
      <c r="J49" s="138">
        <f>+I49+'24'!J49</f>
        <v>110006.59145281308</v>
      </c>
      <c r="K49" s="133" t="s">
        <v>96</v>
      </c>
      <c r="L49" s="428"/>
      <c r="M49" s="429"/>
    </row>
    <row r="50" spans="1:13" ht="17.45" customHeight="1">
      <c r="A50" s="782" t="s">
        <v>20</v>
      </c>
      <c r="B50" s="783"/>
      <c r="C50" s="167">
        <f>SUMIF($G$7:$G$31,"Steam",$F$7:$F$31)</f>
        <v>0</v>
      </c>
      <c r="D50" s="121">
        <f>+C50+'24'!D50</f>
        <v>0</v>
      </c>
      <c r="E50" s="146">
        <f t="shared" si="2"/>
        <v>0</v>
      </c>
      <c r="F50" s="188"/>
      <c r="H50" s="191" t="s">
        <v>97</v>
      </c>
      <c r="I50" s="143">
        <f>I49/I38</f>
        <v>95.979942010875035</v>
      </c>
      <c r="J50" s="136">
        <f>J49/J38</f>
        <v>94.498101649308055</v>
      </c>
      <c r="K50" s="133" t="s">
        <v>96</v>
      </c>
      <c r="L50" s="428"/>
      <c r="M50" s="429"/>
    </row>
    <row r="51" spans="1:13" ht="17.45" customHeight="1" thickBot="1">
      <c r="A51" s="784" t="s">
        <v>98</v>
      </c>
      <c r="B51" s="785"/>
      <c r="C51" s="167">
        <f>SUMIF($G$7:$G$31,"Planned shut",$F$7:$F$31)</f>
        <v>0</v>
      </c>
      <c r="D51" s="121">
        <f>+C51+'24'!D51</f>
        <v>0</v>
      </c>
      <c r="E51" s="146">
        <f t="shared" si="2"/>
        <v>0</v>
      </c>
      <c r="F51" s="188"/>
      <c r="H51" s="193" t="s">
        <v>99</v>
      </c>
      <c r="I51" s="144">
        <f>I49/I40</f>
        <v>97.135456737868267</v>
      </c>
      <c r="J51" s="139">
        <f>J49/J40</f>
        <v>96.692090579953486</v>
      </c>
      <c r="K51" s="140" t="s">
        <v>96</v>
      </c>
      <c r="L51" s="428"/>
      <c r="M51" s="429"/>
    </row>
    <row r="52" spans="1:13" ht="13.5" thickBot="1">
      <c r="A52" s="786" t="s">
        <v>29</v>
      </c>
      <c r="B52" s="787"/>
      <c r="C52" s="147">
        <f>SUM(C38:C51)</f>
        <v>56</v>
      </c>
      <c r="D52" s="147">
        <f>SUM(D38:D51)</f>
        <v>2960</v>
      </c>
      <c r="E52" s="148">
        <f>SUM(E38:E51)</f>
        <v>49.333333333333329</v>
      </c>
      <c r="F52" s="188"/>
      <c r="H52" s="194"/>
      <c r="I52" s="195"/>
      <c r="J52" s="141"/>
      <c r="K52" s="142"/>
      <c r="L52" s="435"/>
      <c r="M52" s="436"/>
    </row>
    <row r="53" spans="1:13" ht="13.5" thickBot="1">
      <c r="A53" s="788"/>
      <c r="B53" s="789"/>
      <c r="C53" s="149">
        <f>C52/(24*60)</f>
        <v>3.888888888888889E-2</v>
      </c>
      <c r="D53" s="149">
        <f>D52/(24*60*G4)</f>
        <v>8.2222222222222224E-2</v>
      </c>
      <c r="E53" s="150">
        <f>E52/(G4*24)</f>
        <v>8.222222222222221E-2</v>
      </c>
      <c r="F53" s="188"/>
    </row>
    <row r="54" spans="1:13">
      <c r="E54" s="196"/>
      <c r="F54" s="188"/>
    </row>
    <row r="55" spans="1:13">
      <c r="E55" s="196"/>
    </row>
    <row r="56" spans="1:13">
      <c r="A56" s="197" t="s">
        <v>100</v>
      </c>
      <c r="B56" s="198"/>
      <c r="C56" s="199"/>
      <c r="D56" s="199"/>
      <c r="E56" s="199"/>
      <c r="F56" s="200"/>
      <c r="G56" s="199"/>
      <c r="H56" s="201"/>
      <c r="I56" s="202" t="s">
        <v>101</v>
      </c>
      <c r="J56" s="203">
        <f>+D34+'24'!J56</f>
        <v>2884</v>
      </c>
      <c r="K56" s="204">
        <f>J56/(J40+J56/1000)/1000</f>
        <v>2.5285292446676436E-3</v>
      </c>
    </row>
    <row r="57" spans="1:13">
      <c r="A57" s="179"/>
      <c r="I57" s="202" t="s">
        <v>102</v>
      </c>
      <c r="J57" s="203">
        <f>+E34+'24'!J57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1"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Y61"/>
  <sheetViews>
    <sheetView zoomScale="80" zoomScaleNormal="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8.85546875" style="152" customWidth="1"/>
    <col min="11" max="11" width="12.5703125" style="152" bestFit="1" customWidth="1"/>
    <col min="12" max="12" width="8.28515625" style="152" customWidth="1"/>
    <col min="13" max="13" width="15.140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24</v>
      </c>
      <c r="H4" s="157" t="str">
        <f>+'1'!H4</f>
        <v>.03.26</v>
      </c>
      <c r="J4" s="152">
        <f>570.3+504.7+528.7</f>
        <v>1603.7</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666</v>
      </c>
      <c r="O6" s="152">
        <v>1250</v>
      </c>
      <c r="P6" s="152">
        <f>+O6-(O6*0.22)</f>
        <v>975</v>
      </c>
      <c r="Q6" s="152">
        <v>180</v>
      </c>
      <c r="R6" s="152">
        <f t="shared" ref="R6:R8" si="0">+O6*Q6</f>
        <v>225000</v>
      </c>
      <c r="S6" s="152">
        <f t="shared" ref="S6:S8" si="1">+P6*Q6</f>
        <v>175500</v>
      </c>
    </row>
    <row r="7" spans="1:19" ht="13.5" customHeight="1" thickBot="1">
      <c r="A7" s="793" t="s">
        <v>477</v>
      </c>
      <c r="B7" s="218" t="s">
        <v>673</v>
      </c>
      <c r="C7" s="219">
        <f>11559+817</f>
        <v>12376</v>
      </c>
      <c r="D7" s="220"/>
      <c r="E7" s="221"/>
      <c r="F7" s="231"/>
      <c r="G7" s="232" t="s">
        <v>13</v>
      </c>
      <c r="H7" s="233" t="s">
        <v>391</v>
      </c>
      <c r="I7" s="796" t="s">
        <v>701</v>
      </c>
      <c r="J7" s="217" t="str">
        <f>+'23'!J7</f>
        <v>T 14 RC HW</v>
      </c>
      <c r="K7" s="241"/>
      <c r="L7" s="245"/>
      <c r="M7" s="120">
        <f>+K7+'23'!M7+L7</f>
        <v>240535</v>
      </c>
      <c r="O7" s="152">
        <v>1300</v>
      </c>
      <c r="P7" s="152">
        <f>+O7-(O7*0.22)</f>
        <v>1014</v>
      </c>
      <c r="Q7" s="152">
        <v>120</v>
      </c>
      <c r="R7" s="152">
        <f t="shared" si="0"/>
        <v>156000</v>
      </c>
      <c r="S7" s="152">
        <f t="shared" si="1"/>
        <v>121680</v>
      </c>
    </row>
    <row r="8" spans="1:19" ht="13.5" thickBot="1">
      <c r="A8" s="794"/>
      <c r="B8" s="218" t="s">
        <v>707</v>
      </c>
      <c r="C8" s="219">
        <v>2269</v>
      </c>
      <c r="D8" s="220"/>
      <c r="E8" s="222"/>
      <c r="F8" s="234">
        <v>4</v>
      </c>
      <c r="G8" s="583" t="s">
        <v>13</v>
      </c>
      <c r="H8" s="233" t="s">
        <v>474</v>
      </c>
      <c r="I8" s="797"/>
      <c r="J8" s="217" t="str">
        <f>+'23'!J8</f>
        <v>T 15,5 RC HW</v>
      </c>
      <c r="K8" s="242"/>
      <c r="L8" s="242"/>
      <c r="M8" s="120">
        <f>+K8+'23'!M8+L8</f>
        <v>139937</v>
      </c>
      <c r="N8" s="152" t="s">
        <v>699</v>
      </c>
      <c r="O8" s="152">
        <v>1180</v>
      </c>
      <c r="P8" s="152">
        <f>+O8-(O8*0.22)</f>
        <v>920.4</v>
      </c>
      <c r="Q8" s="152">
        <v>180</v>
      </c>
      <c r="R8" s="152">
        <f t="shared" si="0"/>
        <v>212400</v>
      </c>
      <c r="S8" s="152">
        <f t="shared" si="1"/>
        <v>165672</v>
      </c>
    </row>
    <row r="9" spans="1:19" ht="13.5" thickBot="1">
      <c r="A9" s="794"/>
      <c r="B9" s="218"/>
      <c r="C9" s="219"/>
      <c r="D9" s="220"/>
      <c r="E9" s="223"/>
      <c r="F9" s="231">
        <v>10</v>
      </c>
      <c r="G9" s="583" t="s">
        <v>13</v>
      </c>
      <c r="H9" s="236" t="s">
        <v>473</v>
      </c>
      <c r="I9" s="797"/>
      <c r="J9" s="217" t="str">
        <f>+'23'!J9</f>
        <v>T 13,5 RC HW</v>
      </c>
      <c r="K9" s="242"/>
      <c r="L9" s="242"/>
      <c r="M9" s="120">
        <f>+K9+'23'!M9+L9</f>
        <v>31497</v>
      </c>
    </row>
    <row r="10" spans="1:19" ht="26.25" thickBot="1">
      <c r="A10" s="794"/>
      <c r="B10" s="218"/>
      <c r="C10" s="219"/>
      <c r="D10" s="220"/>
      <c r="E10" s="222"/>
      <c r="F10" s="231">
        <v>8</v>
      </c>
      <c r="G10" s="240" t="s">
        <v>14</v>
      </c>
      <c r="H10" s="236" t="s">
        <v>704</v>
      </c>
      <c r="I10" s="797"/>
      <c r="J10" s="217" t="str">
        <f>+'23'!J10</f>
        <v>T 20 RC HW</v>
      </c>
      <c r="K10" s="242"/>
      <c r="L10" s="242"/>
      <c r="M10" s="120">
        <f>+K10+'23'!M10+L10</f>
        <v>35769</v>
      </c>
    </row>
    <row r="11" spans="1:19" ht="39" thickBot="1">
      <c r="A11" s="794"/>
      <c r="B11" s="218"/>
      <c r="C11" s="219"/>
      <c r="D11" s="220"/>
      <c r="E11" s="222"/>
      <c r="F11" s="238"/>
      <c r="G11" s="235"/>
      <c r="H11" s="236" t="s">
        <v>696</v>
      </c>
      <c r="I11" s="797"/>
      <c r="J11" s="217" t="str">
        <f>+'23'!J11</f>
        <v>T 17 RC HW</v>
      </c>
      <c r="K11" s="242"/>
      <c r="L11" s="242"/>
      <c r="M11" s="120">
        <f>+K11+'23'!M11+L11</f>
        <v>18517</v>
      </c>
    </row>
    <row r="12" spans="1:19" ht="13.5" thickBot="1">
      <c r="A12" s="794"/>
      <c r="B12" s="218"/>
      <c r="C12" s="219"/>
      <c r="D12" s="220"/>
      <c r="E12" s="222"/>
      <c r="F12" s="231"/>
      <c r="G12" s="235"/>
      <c r="H12" s="236"/>
      <c r="I12" s="797"/>
      <c r="J12" s="217" t="str">
        <f>+'23'!J12</f>
        <v>T 16 RC HW</v>
      </c>
      <c r="K12" s="242"/>
      <c r="L12" s="242"/>
      <c r="M12" s="120">
        <f>+K12+'23'!M12+L12</f>
        <v>38417</v>
      </c>
    </row>
    <row r="13" spans="1:19" ht="13.5" thickBot="1">
      <c r="A13" s="794"/>
      <c r="B13" s="218"/>
      <c r="C13" s="219"/>
      <c r="D13" s="219"/>
      <c r="E13" s="222"/>
      <c r="F13" s="231"/>
      <c r="G13" s="235"/>
      <c r="H13" s="236"/>
      <c r="I13" s="798"/>
      <c r="J13" s="217" t="str">
        <f>+'23'!J13</f>
        <v>N 15,5 RC HW</v>
      </c>
      <c r="K13" s="242"/>
      <c r="L13" s="242"/>
      <c r="M13" s="120">
        <f>+K13+'23'!M13+L13</f>
        <v>72746</v>
      </c>
      <c r="Q13" s="179">
        <f>SUM(Q6:Q12)</f>
        <v>480</v>
      </c>
      <c r="R13" s="179">
        <f>SUM(R6:R12)</f>
        <v>593400</v>
      </c>
      <c r="S13" s="179">
        <f>SUM(S6:S12)</f>
        <v>462852</v>
      </c>
    </row>
    <row r="14" spans="1:19" ht="13.5" thickBot="1">
      <c r="A14" s="795"/>
      <c r="B14" s="168" t="s">
        <v>3</v>
      </c>
      <c r="C14" s="102">
        <f>SUM(C7:C13)</f>
        <v>14645</v>
      </c>
      <c r="D14" s="114">
        <f>SUM(D7:D13)</f>
        <v>0</v>
      </c>
      <c r="E14" s="115">
        <f>SUM(E5:E13)</f>
        <v>0</v>
      </c>
      <c r="F14" s="105">
        <f>SUM(F6:F13)</f>
        <v>22</v>
      </c>
      <c r="G14" s="162"/>
      <c r="H14" s="169"/>
      <c r="I14" s="170"/>
      <c r="J14" s="217" t="str">
        <f>+'23'!J14</f>
        <v>TW 22 RC HW</v>
      </c>
      <c r="K14" s="242"/>
      <c r="L14" s="242"/>
      <c r="M14" s="120">
        <f>+K14+'23'!M14+L14</f>
        <v>387590</v>
      </c>
      <c r="Q14" s="152">
        <f>480-Q13</f>
        <v>0</v>
      </c>
      <c r="R14" s="179">
        <f>+R13/Q13</f>
        <v>1236.25</v>
      </c>
      <c r="S14" s="179">
        <f>+S13/Q13</f>
        <v>964.27499999999998</v>
      </c>
    </row>
    <row r="15" spans="1:19" ht="13.5" customHeight="1" thickBot="1">
      <c r="A15" s="793" t="s">
        <v>431</v>
      </c>
      <c r="B15" s="168"/>
      <c r="C15" s="116">
        <f>C14/($C$23+$D$23+$E$23)</f>
        <v>0.78261101907764652</v>
      </c>
      <c r="D15" s="117">
        <f>D14/($C$23+$D$23+$E$23)</f>
        <v>0</v>
      </c>
      <c r="E15" s="118">
        <f>E14/($C$23+$D$23+$E$23)</f>
        <v>0</v>
      </c>
      <c r="F15" s="231"/>
      <c r="G15" s="232" t="s">
        <v>13</v>
      </c>
      <c r="H15" s="233" t="s">
        <v>391</v>
      </c>
      <c r="I15" s="796" t="s">
        <v>700</v>
      </c>
      <c r="J15" s="217" t="str">
        <f>+'23'!J15</f>
        <v>T 14,5 RC HW</v>
      </c>
      <c r="K15" s="242"/>
      <c r="L15" s="242"/>
      <c r="M15" s="120">
        <f>+K15+'23'!M15+L15</f>
        <v>27261</v>
      </c>
    </row>
    <row r="16" spans="1:19" ht="13.5" thickBot="1">
      <c r="A16" s="799"/>
      <c r="B16" s="218" t="s">
        <v>673</v>
      </c>
      <c r="C16" s="225">
        <v>807</v>
      </c>
      <c r="D16" s="226"/>
      <c r="E16" s="227"/>
      <c r="F16" s="234">
        <v>9</v>
      </c>
      <c r="G16" s="583" t="s">
        <v>13</v>
      </c>
      <c r="H16" s="233" t="s">
        <v>452</v>
      </c>
      <c r="I16" s="797"/>
      <c r="J16" s="217" t="str">
        <f>+'23'!J16</f>
        <v>T 13 RC HW</v>
      </c>
      <c r="K16" s="242">
        <f>+C7+C16</f>
        <v>13183</v>
      </c>
      <c r="L16" s="232"/>
      <c r="M16" s="120">
        <f>+K16+'23'!M16+L16</f>
        <v>54395</v>
      </c>
      <c r="N16" s="152" t="s">
        <v>699</v>
      </c>
      <c r="O16" s="152">
        <v>1180</v>
      </c>
      <c r="P16" s="152">
        <f>+O16-(O16*0.22)</f>
        <v>920.4</v>
      </c>
      <c r="Q16" s="152">
        <v>480</v>
      </c>
      <c r="R16" s="152">
        <f t="shared" ref="R16" si="2">+O16*Q16</f>
        <v>566400</v>
      </c>
      <c r="S16" s="152">
        <f t="shared" ref="S16" si="3">+P16*Q16</f>
        <v>441792</v>
      </c>
    </row>
    <row r="17" spans="1:25" ht="13.5" thickBot="1">
      <c r="A17" s="799"/>
      <c r="B17" s="218" t="s">
        <v>707</v>
      </c>
      <c r="C17" s="219">
        <v>17906</v>
      </c>
      <c r="D17" s="220"/>
      <c r="E17" s="228"/>
      <c r="F17" s="231">
        <v>10</v>
      </c>
      <c r="G17" s="583" t="s">
        <v>13</v>
      </c>
      <c r="H17" s="236" t="s">
        <v>473</v>
      </c>
      <c r="I17" s="797"/>
      <c r="J17" s="217" t="s">
        <v>707</v>
      </c>
      <c r="K17" s="242">
        <f>+C8+C17+C25</f>
        <v>37876</v>
      </c>
      <c r="L17" s="232"/>
      <c r="M17" s="120">
        <f>+K17+'23'!M17+L17</f>
        <v>37876</v>
      </c>
    </row>
    <row r="18" spans="1:25" ht="26.25" thickBot="1">
      <c r="A18" s="799"/>
      <c r="B18" s="218"/>
      <c r="C18" s="219"/>
      <c r="D18" s="220"/>
      <c r="E18" s="228"/>
      <c r="F18" s="231"/>
      <c r="G18" s="240" t="s">
        <v>14</v>
      </c>
      <c r="H18" s="236" t="s">
        <v>697</v>
      </c>
      <c r="I18" s="797"/>
      <c r="J18" s="217">
        <f>+'23'!J18</f>
        <v>0</v>
      </c>
      <c r="K18" s="242"/>
      <c r="L18" s="242"/>
      <c r="M18" s="120">
        <f>+K18+'23'!M18+L18</f>
        <v>0</v>
      </c>
    </row>
    <row r="19" spans="1:25" ht="13.5" thickBot="1">
      <c r="A19" s="799"/>
      <c r="B19" s="218"/>
      <c r="C19" s="219"/>
      <c r="D19" s="220"/>
      <c r="E19" s="228"/>
      <c r="F19" s="238"/>
      <c r="G19" s="235"/>
      <c r="H19" s="236" t="s">
        <v>698</v>
      </c>
      <c r="I19" s="797"/>
      <c r="J19" s="217">
        <f>+'23'!J19</f>
        <v>0</v>
      </c>
      <c r="K19" s="242"/>
      <c r="L19" s="242"/>
      <c r="M19" s="120">
        <f>+K19+'23'!M19+L19</f>
        <v>0</v>
      </c>
    </row>
    <row r="20" spans="1:25" ht="13.5" thickBot="1">
      <c r="A20" s="799"/>
      <c r="B20" s="218"/>
      <c r="C20" s="219"/>
      <c r="D20" s="220"/>
      <c r="E20" s="228"/>
      <c r="F20" s="231"/>
      <c r="G20" s="235"/>
      <c r="H20" s="236"/>
      <c r="I20" s="797"/>
      <c r="J20" s="217">
        <f>+'23'!J20</f>
        <v>0</v>
      </c>
      <c r="K20" s="242"/>
      <c r="L20" s="243"/>
      <c r="M20" s="120">
        <f>+K20+'23'!M20+L20</f>
        <v>0</v>
      </c>
    </row>
    <row r="21" spans="1:25" ht="13.5" thickBot="1">
      <c r="A21" s="799"/>
      <c r="B21" s="218"/>
      <c r="C21" s="219"/>
      <c r="D21" s="220"/>
      <c r="E21" s="228"/>
      <c r="F21" s="234"/>
      <c r="G21" s="235"/>
      <c r="H21" s="236"/>
      <c r="I21" s="797"/>
      <c r="J21" s="217">
        <f>+'23'!J21</f>
        <v>0</v>
      </c>
      <c r="K21" s="242"/>
      <c r="L21" s="242"/>
      <c r="M21" s="120">
        <f>+K21+'23'!M21+L21</f>
        <v>0</v>
      </c>
    </row>
    <row r="22" spans="1:25" ht="13.5" thickBot="1">
      <c r="A22" s="799"/>
      <c r="B22" s="218"/>
      <c r="C22" s="219"/>
      <c r="D22" s="220"/>
      <c r="E22" s="228"/>
      <c r="F22" s="239"/>
      <c r="G22" s="235"/>
      <c r="H22" s="236"/>
      <c r="I22" s="798"/>
      <c r="J22" s="217">
        <f>+'23'!J22</f>
        <v>0</v>
      </c>
      <c r="K22" s="242"/>
      <c r="L22" s="242"/>
      <c r="M22" s="120">
        <f>+K22+'23'!M22+L22</f>
        <v>0</v>
      </c>
    </row>
    <row r="23" spans="1:25" ht="14.25" customHeight="1" thickBot="1">
      <c r="A23" s="800"/>
      <c r="B23" s="168" t="s">
        <v>3</v>
      </c>
      <c r="C23" s="103">
        <f>SUM(C16:C22)</f>
        <v>18713</v>
      </c>
      <c r="D23" s="114">
        <f>SUM(D16:D22)</f>
        <v>0</v>
      </c>
      <c r="E23" s="115">
        <f>SUM(E18:E22)</f>
        <v>0</v>
      </c>
      <c r="F23" s="105">
        <f>SUM(F15:F22)</f>
        <v>19</v>
      </c>
      <c r="G23" s="162"/>
      <c r="H23" s="169"/>
      <c r="I23" s="172"/>
      <c r="J23" s="217">
        <f>+'23'!J23</f>
        <v>0</v>
      </c>
      <c r="K23" s="242"/>
      <c r="L23" s="242"/>
      <c r="M23" s="120">
        <f>+K23+'23'!M23+L23</f>
        <v>0</v>
      </c>
      <c r="Q23" s="179">
        <f>SUM(Q16:Q22)</f>
        <v>480</v>
      </c>
      <c r="R23" s="179">
        <f>SUM(R16:R22)</f>
        <v>566400</v>
      </c>
      <c r="S23" s="179">
        <f>SUM(S16:S22)</f>
        <v>441792</v>
      </c>
    </row>
    <row r="24" spans="1:25" ht="13.5" customHeight="1" thickBot="1">
      <c r="A24" s="793" t="s">
        <v>432</v>
      </c>
      <c r="B24" s="173"/>
      <c r="C24" s="116">
        <f>C23/($C$23+$D$23+$E$23)</f>
        <v>1</v>
      </c>
      <c r="D24" s="117">
        <f>D23/($C$23+$D$23+$E$23)</f>
        <v>0</v>
      </c>
      <c r="E24" s="118">
        <f>E23/($C$23+$D$23+$E$23)</f>
        <v>0</v>
      </c>
      <c r="F24" s="231"/>
      <c r="G24" s="232" t="s">
        <v>13</v>
      </c>
      <c r="H24" s="233" t="s">
        <v>391</v>
      </c>
      <c r="I24" s="796" t="s">
        <v>700</v>
      </c>
      <c r="J24" s="217">
        <f>+'23'!J24</f>
        <v>0</v>
      </c>
      <c r="K24" s="242"/>
      <c r="L24" s="242"/>
      <c r="M24" s="120">
        <f>+K24+'23'!M24+L24</f>
        <v>0</v>
      </c>
      <c r="Q24" s="152">
        <f>480-Q23</f>
        <v>0</v>
      </c>
      <c r="R24" s="179">
        <f>+R23/Q23</f>
        <v>1180</v>
      </c>
      <c r="S24" s="179">
        <f>+S23/Q23</f>
        <v>920.4</v>
      </c>
    </row>
    <row r="25" spans="1:25" ht="13.5" thickBot="1">
      <c r="A25" s="799"/>
      <c r="B25" s="218" t="s">
        <v>707</v>
      </c>
      <c r="C25" s="229">
        <v>17701</v>
      </c>
      <c r="D25" s="220"/>
      <c r="E25" s="228"/>
      <c r="F25" s="234">
        <v>8</v>
      </c>
      <c r="G25" s="583" t="s">
        <v>13</v>
      </c>
      <c r="H25" s="233" t="s">
        <v>705</v>
      </c>
      <c r="I25" s="797"/>
      <c r="J25" s="217">
        <f>+'23'!J25</f>
        <v>0</v>
      </c>
      <c r="K25" s="242"/>
      <c r="L25" s="242"/>
      <c r="M25" s="120">
        <f>+K25+'23'!M25+L25</f>
        <v>0</v>
      </c>
    </row>
    <row r="26" spans="1:25" ht="13.5" thickBot="1">
      <c r="A26" s="799"/>
      <c r="B26" s="218"/>
      <c r="C26" s="229"/>
      <c r="D26" s="220"/>
      <c r="E26" s="230"/>
      <c r="F26" s="231">
        <v>10</v>
      </c>
      <c r="G26" s="583" t="s">
        <v>13</v>
      </c>
      <c r="H26" s="236" t="s">
        <v>456</v>
      </c>
      <c r="I26" s="797"/>
      <c r="J26" s="217">
        <f>+'23'!J26</f>
        <v>0</v>
      </c>
      <c r="K26" s="242"/>
      <c r="L26" s="242"/>
      <c r="M26" s="120">
        <f>+K26+'23'!M26+L26</f>
        <v>0</v>
      </c>
      <c r="N26" s="152" t="s">
        <v>699</v>
      </c>
      <c r="O26" s="152">
        <v>1180</v>
      </c>
      <c r="P26" s="152">
        <f>+O26-(O26*0.22)</f>
        <v>920.4</v>
      </c>
      <c r="Q26" s="152">
        <v>480</v>
      </c>
      <c r="R26" s="152">
        <f t="shared" ref="R26" si="4">+O26*Q26</f>
        <v>566400</v>
      </c>
      <c r="S26" s="152">
        <f t="shared" ref="S26" si="5">+P26*Q26</f>
        <v>441792</v>
      </c>
      <c r="T26" s="152" t="s">
        <v>666</v>
      </c>
      <c r="U26" s="152">
        <v>1250</v>
      </c>
      <c r="V26" s="152">
        <v>975</v>
      </c>
      <c r="W26" s="152">
        <v>180</v>
      </c>
      <c r="X26" s="152">
        <f t="shared" ref="X26" si="6">+U26*W26</f>
        <v>225000</v>
      </c>
      <c r="Y26" s="152">
        <f t="shared" ref="Y26" si="7">+V26*W26</f>
        <v>175500</v>
      </c>
    </row>
    <row r="27" spans="1:25" ht="26.25" thickBot="1">
      <c r="A27" s="799"/>
      <c r="B27" s="218"/>
      <c r="C27" s="219"/>
      <c r="D27" s="220"/>
      <c r="E27" s="228"/>
      <c r="F27" s="231"/>
      <c r="G27" s="240" t="s">
        <v>14</v>
      </c>
      <c r="H27" s="236" t="s">
        <v>695</v>
      </c>
      <c r="I27" s="797"/>
      <c r="J27" s="217">
        <f>+'23'!J27</f>
        <v>0</v>
      </c>
      <c r="K27" s="242"/>
      <c r="L27" s="242"/>
      <c r="M27" s="120">
        <f>+K27+'23'!M27+L27</f>
        <v>0</v>
      </c>
      <c r="U27" s="152">
        <v>1300</v>
      </c>
      <c r="V27" s="152">
        <v>1014</v>
      </c>
      <c r="W27" s="152">
        <v>120</v>
      </c>
      <c r="X27" s="152">
        <f t="shared" ref="X27" si="8">+U27*W27</f>
        <v>156000</v>
      </c>
      <c r="Y27" s="152">
        <f t="shared" ref="Y27" si="9">+V27*W27</f>
        <v>121680</v>
      </c>
    </row>
    <row r="28" spans="1:25" ht="13.5" thickBot="1">
      <c r="A28" s="799"/>
      <c r="B28" s="218"/>
      <c r="C28" s="219"/>
      <c r="D28" s="220"/>
      <c r="E28" s="228"/>
      <c r="F28" s="234"/>
      <c r="G28" s="235"/>
      <c r="H28" s="236"/>
      <c r="I28" s="797"/>
      <c r="J28" s="217">
        <f>+'23'!J28</f>
        <v>0</v>
      </c>
      <c r="K28" s="242"/>
      <c r="L28" s="242"/>
      <c r="M28" s="120">
        <f>+K28+'23'!M28+L28</f>
        <v>0</v>
      </c>
    </row>
    <row r="29" spans="1:25" ht="13.5" thickBot="1">
      <c r="A29" s="799"/>
      <c r="B29" s="218"/>
      <c r="C29" s="219"/>
      <c r="D29" s="220"/>
      <c r="E29" s="228"/>
      <c r="F29" s="239"/>
      <c r="G29" s="235"/>
      <c r="H29" s="236"/>
      <c r="I29" s="797"/>
      <c r="J29" s="217">
        <f>+'23'!J29</f>
        <v>0</v>
      </c>
      <c r="K29" s="242"/>
      <c r="L29" s="242"/>
      <c r="M29" s="120">
        <f>+K29+'23'!M29+L29</f>
        <v>0</v>
      </c>
    </row>
    <row r="30" spans="1:25" ht="13.5" thickBot="1">
      <c r="A30" s="799"/>
      <c r="B30" s="218"/>
      <c r="C30" s="229"/>
      <c r="D30" s="220"/>
      <c r="E30" s="228"/>
      <c r="F30" s="239"/>
      <c r="G30" s="235"/>
      <c r="H30" s="236"/>
      <c r="I30" s="797"/>
      <c r="J30" s="217">
        <f>+'23'!J30</f>
        <v>0</v>
      </c>
      <c r="K30" s="242"/>
      <c r="L30" s="242"/>
      <c r="M30" s="120">
        <f>+K30+'23'!M30+L30</f>
        <v>0</v>
      </c>
    </row>
    <row r="31" spans="1:25" ht="13.5" thickBot="1">
      <c r="A31" s="799"/>
      <c r="B31" s="218"/>
      <c r="C31" s="229"/>
      <c r="D31" s="220"/>
      <c r="E31" s="228"/>
      <c r="F31" s="239"/>
      <c r="G31" s="240"/>
      <c r="H31" s="237"/>
      <c r="I31" s="798"/>
      <c r="J31" s="217">
        <f>+'23'!J31</f>
        <v>0</v>
      </c>
      <c r="K31" s="242"/>
      <c r="L31" s="242"/>
      <c r="M31" s="120">
        <f>+K31+'23'!M31+L31</f>
        <v>0</v>
      </c>
    </row>
    <row r="32" spans="1:25" ht="13.5" thickBot="1">
      <c r="A32" s="800"/>
      <c r="B32" s="168" t="s">
        <v>3</v>
      </c>
      <c r="C32" s="102">
        <f>SUM(C25:C31)</f>
        <v>17701</v>
      </c>
      <c r="D32" s="103">
        <f>SUM(D25:D31)</f>
        <v>0</v>
      </c>
      <c r="E32" s="104">
        <f>SUM(E25:E31)</f>
        <v>0</v>
      </c>
      <c r="F32" s="105">
        <f>SUM(F24:F31)</f>
        <v>18</v>
      </c>
      <c r="G32" s="174"/>
      <c r="H32" s="175"/>
      <c r="I32" s="172"/>
      <c r="J32" s="217">
        <f>+'23'!J32</f>
        <v>0</v>
      </c>
      <c r="K32" s="244"/>
      <c r="L32" s="246"/>
      <c r="M32" s="120">
        <f>+K32+'23'!M32+L32</f>
        <v>0</v>
      </c>
    </row>
    <row r="33" spans="1:25" ht="13.5" thickBot="1">
      <c r="A33" s="176"/>
      <c r="B33" s="177"/>
      <c r="C33" s="106">
        <f>C32/($C$32+$D$32+$E$32)</f>
        <v>1</v>
      </c>
      <c r="D33" s="107">
        <f>D32/($C$32+$D$32+$E$32)</f>
        <v>0</v>
      </c>
      <c r="E33" s="108">
        <f>E32/($C$32+$D$32+$E$32)</f>
        <v>0</v>
      </c>
      <c r="F33" s="109"/>
      <c r="G33" s="178"/>
      <c r="H33" s="179"/>
      <c r="I33" s="180"/>
      <c r="J33" s="124"/>
      <c r="K33" s="125"/>
      <c r="L33" s="216"/>
      <c r="M33" s="122"/>
      <c r="Q33" s="179">
        <f>SUM(Q26:Q32)</f>
        <v>480</v>
      </c>
      <c r="R33" s="179">
        <f>SUM(R26:R32)</f>
        <v>566400</v>
      </c>
      <c r="S33" s="179">
        <f>SUM(S26:S32)</f>
        <v>441792</v>
      </c>
      <c r="W33" s="179">
        <f>SUM(W26:W32)</f>
        <v>300</v>
      </c>
      <c r="X33" s="179">
        <f>SUM(X26:X32)</f>
        <v>381000</v>
      </c>
      <c r="Y33" s="179">
        <f>SUM(Y26:Y32)</f>
        <v>297180</v>
      </c>
    </row>
    <row r="34" spans="1:25" ht="13.5" thickBot="1">
      <c r="A34" s="801" t="s">
        <v>70</v>
      </c>
      <c r="B34" s="802"/>
      <c r="C34" s="110">
        <f>C14+C23+C32</f>
        <v>51059</v>
      </c>
      <c r="D34" s="110">
        <f>D14+D23+D32</f>
        <v>0</v>
      </c>
      <c r="E34" s="110">
        <f>E14+E23+E32</f>
        <v>0</v>
      </c>
      <c r="F34" s="111">
        <f>F14+F23+F32</f>
        <v>59</v>
      </c>
      <c r="H34" s="181"/>
      <c r="I34" s="181"/>
      <c r="J34" s="126" t="s">
        <v>29</v>
      </c>
      <c r="K34" s="127">
        <f>SUM(K7:K32)</f>
        <v>51059</v>
      </c>
      <c r="L34" s="215">
        <f>SUM(L7:L32)</f>
        <v>0</v>
      </c>
      <c r="M34" s="123">
        <f>SUM(M7:M32)</f>
        <v>1084540</v>
      </c>
      <c r="Q34" s="152">
        <f>480-Q33</f>
        <v>0</v>
      </c>
      <c r="R34" s="179">
        <f>+R33/Q33</f>
        <v>1180</v>
      </c>
      <c r="S34" s="179">
        <f>+S33/Q33</f>
        <v>920.4</v>
      </c>
      <c r="W34" s="152">
        <f>480-W33</f>
        <v>180</v>
      </c>
      <c r="X34" s="179">
        <f>+X33/W33</f>
        <v>1270</v>
      </c>
      <c r="Y34" s="179">
        <f>+Y33/W33</f>
        <v>990.6</v>
      </c>
    </row>
    <row r="35" spans="1:25" ht="13.5" thickBot="1">
      <c r="A35" s="182"/>
      <c r="B35" s="183"/>
      <c r="C35" s="107">
        <f>C34/($C$34+$D$34+$E$34)</f>
        <v>1</v>
      </c>
      <c r="D35" s="107">
        <f>D34/($C$34+$D$34+$E$34)</f>
        <v>0</v>
      </c>
      <c r="E35" s="112">
        <f>E34/($C$34+$D$34+$E$34)</f>
        <v>0</v>
      </c>
      <c r="K35" s="158"/>
      <c r="L35" s="792" t="s">
        <v>187</v>
      </c>
      <c r="M35" s="792"/>
    </row>
    <row r="36" spans="1:25" ht="13.5" thickBot="1">
      <c r="A36" s="181"/>
      <c r="B36" s="181"/>
      <c r="C36" s="158"/>
      <c r="D36" s="158"/>
      <c r="E36" s="158"/>
      <c r="G36" s="158"/>
      <c r="H36" s="184"/>
      <c r="I36" s="165" t="s">
        <v>41</v>
      </c>
      <c r="J36" s="165" t="s">
        <v>42</v>
      </c>
      <c r="K36" s="185"/>
      <c r="L36" s="165" t="s">
        <v>41</v>
      </c>
      <c r="M36" s="165" t="s">
        <v>42</v>
      </c>
      <c r="N36" s="152" t="s">
        <v>666</v>
      </c>
      <c r="O36" s="179">
        <v>1270</v>
      </c>
      <c r="P36" s="179">
        <v>990.6</v>
      </c>
      <c r="Q36" s="152">
        <v>300</v>
      </c>
    </row>
    <row r="37" spans="1:25" ht="17.45" customHeight="1" thickBot="1">
      <c r="A37" s="790" t="s">
        <v>71</v>
      </c>
      <c r="B37" s="791"/>
      <c r="C37" s="165" t="s">
        <v>72</v>
      </c>
      <c r="D37" s="186" t="s">
        <v>73</v>
      </c>
      <c r="E37" s="187" t="s">
        <v>74</v>
      </c>
      <c r="F37" s="365"/>
      <c r="G37" s="367"/>
      <c r="H37" s="189" t="s">
        <v>75</v>
      </c>
      <c r="I37" s="247">
        <f>(13*300+15*1140)/1440*G42*2.75*1440/1000000</f>
        <v>53.997693750000003</v>
      </c>
      <c r="J37" s="128">
        <f>+I37+'23'!J37</f>
        <v>1178.5800163383776</v>
      </c>
      <c r="K37" s="129" t="s">
        <v>76</v>
      </c>
      <c r="L37" s="426"/>
      <c r="M37" s="427"/>
      <c r="N37" s="152" t="s">
        <v>699</v>
      </c>
      <c r="O37" s="152">
        <v>1180</v>
      </c>
      <c r="P37" s="152">
        <v>920.4</v>
      </c>
      <c r="Q37" s="152">
        <f>480+480+180</f>
        <v>1140</v>
      </c>
    </row>
    <row r="38" spans="1:25" ht="17.45" customHeight="1">
      <c r="A38" s="786" t="s">
        <v>13</v>
      </c>
      <c r="B38" s="787"/>
      <c r="C38" s="167">
        <f>SUMIF($G$7:$G$31,"Process",$F$7:$F$31)</f>
        <v>51</v>
      </c>
      <c r="D38" s="121">
        <f>+C38+'23'!D38</f>
        <v>1565</v>
      </c>
      <c r="E38" s="146">
        <f t="shared" ref="E38:E51" si="10">D38/60</f>
        <v>26.083333333333332</v>
      </c>
      <c r="F38" s="365">
        <v>1236.25</v>
      </c>
      <c r="G38" s="365">
        <v>964.27499999999998</v>
      </c>
      <c r="H38" s="190" t="s">
        <v>77</v>
      </c>
      <c r="I38" s="547">
        <f>11.371+5.355+18.565+17.209</f>
        <v>52.5</v>
      </c>
      <c r="J38" s="130">
        <f>+I38+'23'!J38</f>
        <v>1110.3143</v>
      </c>
      <c r="K38" s="131" t="s">
        <v>76</v>
      </c>
      <c r="L38" s="428"/>
      <c r="M38" s="429"/>
      <c r="N38" s="548"/>
      <c r="Q38" s="152">
        <f>+Q36+Q37</f>
        <v>1440</v>
      </c>
    </row>
    <row r="39" spans="1:25" ht="17.45" customHeight="1">
      <c r="A39" s="782" t="s">
        <v>14</v>
      </c>
      <c r="B39" s="783"/>
      <c r="C39" s="167">
        <f>SUMIF($G$7:$G$31,"Cleaning",$F$7:$F$31)</f>
        <v>8</v>
      </c>
      <c r="D39" s="121">
        <f>+C39+'23'!D39</f>
        <v>215</v>
      </c>
      <c r="E39" s="146">
        <f t="shared" si="10"/>
        <v>3.5833333333333335</v>
      </c>
      <c r="F39" s="365">
        <v>1180</v>
      </c>
      <c r="G39" s="365">
        <v>920.4</v>
      </c>
      <c r="H39" s="190" t="s">
        <v>78</v>
      </c>
      <c r="I39" s="145"/>
      <c r="J39" s="132">
        <f>J37/G4</f>
        <v>49.107500680765732</v>
      </c>
      <c r="K39" s="133" t="s">
        <v>76</v>
      </c>
      <c r="L39" s="428"/>
      <c r="M39" s="429"/>
    </row>
    <row r="40" spans="1:25" ht="17.45" customHeight="1">
      <c r="A40" s="782" t="s">
        <v>79</v>
      </c>
      <c r="B40" s="783"/>
      <c r="C40" s="167">
        <f>SUMIF($G$7:$G$31,"Mechanical",$F$7:$F$31)</f>
        <v>0</v>
      </c>
      <c r="D40" s="121">
        <f>+C40+'23'!D40</f>
        <v>120</v>
      </c>
      <c r="E40" s="146">
        <f t="shared" si="10"/>
        <v>2</v>
      </c>
      <c r="F40" s="365">
        <v>1180</v>
      </c>
      <c r="G40" s="365">
        <v>920.4</v>
      </c>
      <c r="H40" s="190" t="s">
        <v>80</v>
      </c>
      <c r="I40" s="121">
        <f>(K34+L34)/1000</f>
        <v>51.058999999999997</v>
      </c>
      <c r="J40" s="134">
        <f>+I40+'23'!J40</f>
        <v>1084.54</v>
      </c>
      <c r="K40" s="133" t="s">
        <v>76</v>
      </c>
      <c r="L40" s="428"/>
      <c r="M40" s="429"/>
    </row>
    <row r="41" spans="1:25" ht="17.45" customHeight="1">
      <c r="A41" s="782" t="s">
        <v>81</v>
      </c>
      <c r="B41" s="783"/>
      <c r="C41" s="167">
        <f>SUMIF($G$7:$G$31,"Electrical",$F$7:$F$31)</f>
        <v>0</v>
      </c>
      <c r="D41" s="121">
        <f>+C41+'23'!D41</f>
        <v>80</v>
      </c>
      <c r="E41" s="146">
        <f t="shared" si="10"/>
        <v>1.3333333333333333</v>
      </c>
      <c r="F41" s="365"/>
      <c r="G41" s="365"/>
      <c r="H41" s="190" t="s">
        <v>82</v>
      </c>
      <c r="I41" s="145"/>
      <c r="J41" s="132">
        <f>J40/G4</f>
        <v>45.189166666666665</v>
      </c>
      <c r="K41" s="133" t="s">
        <v>76</v>
      </c>
      <c r="L41" s="428"/>
      <c r="M41" s="429"/>
    </row>
    <row r="42" spans="1:25" ht="17.45" customHeight="1">
      <c r="A42" s="782" t="s">
        <v>17</v>
      </c>
      <c r="B42" s="783"/>
      <c r="C42" s="167">
        <f>SUMIF($G$7:$G$31,"Instrument",$F$7:$F$31)</f>
        <v>0</v>
      </c>
      <c r="D42" s="121">
        <f>+C42+'23'!D42</f>
        <v>0</v>
      </c>
      <c r="E42" s="146">
        <f t="shared" si="10"/>
        <v>0</v>
      </c>
      <c r="F42" s="365">
        <f>+(F38*480+F39*480+F40*480)/1440</f>
        <v>1198.75</v>
      </c>
      <c r="G42" s="365">
        <f>+(G38*480+G39*480+G40*480)/1440</f>
        <v>935.02499999999998</v>
      </c>
      <c r="H42" s="190" t="s">
        <v>83</v>
      </c>
      <c r="I42" s="249" t="s">
        <v>702</v>
      </c>
      <c r="J42" s="135"/>
      <c r="K42" s="133" t="s">
        <v>84</v>
      </c>
      <c r="L42" s="428"/>
      <c r="M42" s="429"/>
    </row>
    <row r="43" spans="1:25" ht="17.45" customHeight="1">
      <c r="A43" s="782" t="s">
        <v>85</v>
      </c>
      <c r="B43" s="783"/>
      <c r="C43" s="167">
        <f>SUMIF($G$7:$G$31,"Water",$F$7:$F$31)</f>
        <v>0</v>
      </c>
      <c r="D43" s="121">
        <f>+C43+'23'!D43</f>
        <v>0</v>
      </c>
      <c r="E43" s="146">
        <f t="shared" si="10"/>
        <v>0</v>
      </c>
      <c r="F43" s="365"/>
      <c r="G43" s="366"/>
      <c r="H43" s="191" t="s">
        <v>86</v>
      </c>
      <c r="I43" s="121">
        <f>+Report1!AH32</f>
        <v>70.2</v>
      </c>
      <c r="J43" s="136">
        <f>+I43+'23'!J43</f>
        <v>1551.5000000000002</v>
      </c>
      <c r="K43" s="133" t="s">
        <v>76</v>
      </c>
      <c r="L43" s="430">
        <f>+Report1!AN32</f>
        <v>0</v>
      </c>
      <c r="M43" s="431">
        <f>+L43+'23'!M43</f>
        <v>0</v>
      </c>
    </row>
    <row r="44" spans="1:25" ht="17.45" customHeight="1">
      <c r="A44" s="782" t="s">
        <v>18</v>
      </c>
      <c r="B44" s="783"/>
      <c r="C44" s="167">
        <f>SUMIF($G$7:$G$31,"PLN",$F$7:$F$31)</f>
        <v>0</v>
      </c>
      <c r="D44" s="121">
        <f>+C44+'23'!D44</f>
        <v>0</v>
      </c>
      <c r="E44" s="146">
        <f t="shared" si="10"/>
        <v>0</v>
      </c>
      <c r="F44" s="365"/>
      <c r="G44" s="366"/>
      <c r="H44" s="191" t="s">
        <v>87</v>
      </c>
      <c r="I44" s="121">
        <f>I43/I38</f>
        <v>1.3371428571428572</v>
      </c>
      <c r="J44" s="137">
        <f>J43/J38</f>
        <v>1.3973520830993533</v>
      </c>
      <c r="K44" s="133" t="s">
        <v>76</v>
      </c>
      <c r="L44" s="432">
        <f>+L43/I38</f>
        <v>0</v>
      </c>
      <c r="M44" s="433">
        <f>+M43/J38</f>
        <v>0</v>
      </c>
    </row>
    <row r="45" spans="1:25" ht="17.45" customHeight="1">
      <c r="A45" s="782" t="s">
        <v>19</v>
      </c>
      <c r="B45" s="783"/>
      <c r="C45" s="167">
        <f>SUMIF($G$7:$G$31,"Boiler",$F$7:$F$31)</f>
        <v>0</v>
      </c>
      <c r="D45" s="121">
        <f>+C45+'23'!D45</f>
        <v>0</v>
      </c>
      <c r="E45" s="146">
        <f t="shared" si="10"/>
        <v>0</v>
      </c>
      <c r="F45" s="365"/>
      <c r="G45" s="368"/>
      <c r="H45" s="191" t="s">
        <v>88</v>
      </c>
      <c r="I45" s="121">
        <f>I43/I40</f>
        <v>1.3748800407371866</v>
      </c>
      <c r="J45" s="137">
        <f>J43/J40</f>
        <v>1.4305604219300352</v>
      </c>
      <c r="K45" s="133" t="s">
        <v>76</v>
      </c>
      <c r="L45" s="432">
        <f>+L43/I40</f>
        <v>0</v>
      </c>
      <c r="M45" s="433">
        <f>+M43/J40</f>
        <v>0</v>
      </c>
    </row>
    <row r="46" spans="1:25" ht="17.45" customHeight="1">
      <c r="A46" s="782" t="s">
        <v>89</v>
      </c>
      <c r="B46" s="783"/>
      <c r="C46" s="167">
        <f>SUMIF($G$7:$G$31,"Gas",$F$7:$F$31)</f>
        <v>0</v>
      </c>
      <c r="D46" s="121">
        <f>+C46+'23'!D46</f>
        <v>0</v>
      </c>
      <c r="E46" s="146">
        <f t="shared" si="10"/>
        <v>0</v>
      </c>
      <c r="F46" s="365"/>
      <c r="G46" s="366"/>
      <c r="H46" s="191" t="s">
        <v>90</v>
      </c>
      <c r="I46" s="143">
        <f>+SUMIF(Listrik!P31,"&gt;0")</f>
        <v>45067.659999999967</v>
      </c>
      <c r="J46" s="138">
        <f>+I46+'23'!J46</f>
        <v>928554.67999999982</v>
      </c>
      <c r="K46" s="133" t="s">
        <v>91</v>
      </c>
      <c r="L46" s="432">
        <f>+Listrik!AF31</f>
        <v>0</v>
      </c>
      <c r="M46" s="434">
        <f>+L46+'23'!M46</f>
        <v>0</v>
      </c>
    </row>
    <row r="47" spans="1:25" ht="17.45" customHeight="1">
      <c r="A47" s="782" t="s">
        <v>92</v>
      </c>
      <c r="B47" s="783"/>
      <c r="C47" s="167">
        <f>SUMIF($G$7:$G$31,"Gas",$F$7:$F$31)</f>
        <v>0</v>
      </c>
      <c r="D47" s="121">
        <f>+C47+'23'!D47</f>
        <v>0</v>
      </c>
      <c r="E47" s="146">
        <f t="shared" si="10"/>
        <v>0</v>
      </c>
      <c r="F47" s="365"/>
      <c r="G47" s="366"/>
      <c r="H47" s="191" t="s">
        <v>93</v>
      </c>
      <c r="I47" s="121">
        <f>I46/I38</f>
        <v>858.43161904761837</v>
      </c>
      <c r="J47" s="138">
        <f>J46/J38</f>
        <v>836.2989470639078</v>
      </c>
      <c r="K47" s="133" t="s">
        <v>25</v>
      </c>
      <c r="L47" s="432">
        <f>+L46/I38</f>
        <v>0</v>
      </c>
      <c r="M47" s="433">
        <f>+M46/J38</f>
        <v>0</v>
      </c>
    </row>
    <row r="48" spans="1:25" ht="17.45" customHeight="1">
      <c r="A48" s="782" t="s">
        <v>15</v>
      </c>
      <c r="B48" s="783"/>
      <c r="C48" s="167">
        <f>SUMIF($G$7:$G$31,"Start Up",$F$7:$F$31)</f>
        <v>0</v>
      </c>
      <c r="D48" s="121">
        <f>+C48+'23'!D48</f>
        <v>0</v>
      </c>
      <c r="E48" s="146">
        <f t="shared" si="10"/>
        <v>0</v>
      </c>
      <c r="F48" s="365"/>
      <c r="G48" s="366"/>
      <c r="H48" s="191" t="s">
        <v>94</v>
      </c>
      <c r="I48" s="121">
        <f>I46/I40</f>
        <v>882.65849311580655</v>
      </c>
      <c r="J48" s="138">
        <f>J46/J40</f>
        <v>856.17375108340855</v>
      </c>
      <c r="K48" s="133" t="s">
        <v>25</v>
      </c>
      <c r="L48" s="432">
        <f>+L46/I38</f>
        <v>0</v>
      </c>
      <c r="M48" s="433">
        <f>+M46/J40</f>
        <v>0</v>
      </c>
    </row>
    <row r="49" spans="1:13" ht="17.45" customHeight="1">
      <c r="A49" s="782" t="s">
        <v>21</v>
      </c>
      <c r="B49" s="783"/>
      <c r="C49" s="167">
        <f>SUMIF($G$7:$G$31,"Others",$F$7:$F$31)</f>
        <v>0</v>
      </c>
      <c r="D49" s="121">
        <f>+C49+'23'!D49</f>
        <v>924</v>
      </c>
      <c r="E49" s="146">
        <f t="shared" si="10"/>
        <v>15.4</v>
      </c>
      <c r="F49" s="188"/>
      <c r="H49" s="191" t="s">
        <v>95</v>
      </c>
      <c r="I49" s="121">
        <f>+Report1!AB32</f>
        <v>5041.7839984278962</v>
      </c>
      <c r="J49" s="138">
        <f>+I49+'23'!J49</f>
        <v>104842.870572628</v>
      </c>
      <c r="K49" s="133" t="s">
        <v>96</v>
      </c>
      <c r="L49" s="428"/>
      <c r="M49" s="429"/>
    </row>
    <row r="50" spans="1:13" ht="17.45" customHeight="1">
      <c r="A50" s="782" t="s">
        <v>20</v>
      </c>
      <c r="B50" s="783"/>
      <c r="C50" s="167">
        <f>SUMIF($G$7:$G$31,"Steam",$F$7:$F$31)</f>
        <v>0</v>
      </c>
      <c r="D50" s="121">
        <f>+C50+'23'!D50</f>
        <v>0</v>
      </c>
      <c r="E50" s="146">
        <f t="shared" si="10"/>
        <v>0</v>
      </c>
      <c r="F50" s="188"/>
      <c r="H50" s="191" t="s">
        <v>97</v>
      </c>
      <c r="I50" s="143">
        <f>I49/I38</f>
        <v>96.033980922436115</v>
      </c>
      <c r="J50" s="136">
        <f>J49/J38</f>
        <v>94.426299447487978</v>
      </c>
      <c r="K50" s="133" t="s">
        <v>96</v>
      </c>
      <c r="L50" s="428"/>
      <c r="M50" s="429"/>
    </row>
    <row r="51" spans="1:13" ht="17.45" customHeight="1" thickBot="1">
      <c r="A51" s="784" t="s">
        <v>98</v>
      </c>
      <c r="B51" s="785"/>
      <c r="C51" s="167">
        <f>SUMIF($G$7:$G$31,"Planned shut",$F$7:$F$31)</f>
        <v>0</v>
      </c>
      <c r="D51" s="121">
        <f>+C51+'23'!D51</f>
        <v>0</v>
      </c>
      <c r="E51" s="146">
        <f t="shared" si="10"/>
        <v>0</v>
      </c>
      <c r="F51" s="188"/>
      <c r="H51" s="193" t="s">
        <v>99</v>
      </c>
      <c r="I51" s="144">
        <f>I49/I40</f>
        <v>98.744276198670093</v>
      </c>
      <c r="J51" s="139">
        <f>J49/J40</f>
        <v>96.670358467763293</v>
      </c>
      <c r="K51" s="140" t="s">
        <v>96</v>
      </c>
      <c r="L51" s="428"/>
      <c r="M51" s="429"/>
    </row>
    <row r="52" spans="1:13" ht="13.5" thickBot="1">
      <c r="A52" s="786" t="s">
        <v>29</v>
      </c>
      <c r="B52" s="787"/>
      <c r="C52" s="147">
        <f>SUM(C38:C51)</f>
        <v>59</v>
      </c>
      <c r="D52" s="147">
        <f>SUM(D38:D51)</f>
        <v>2904</v>
      </c>
      <c r="E52" s="148">
        <f>SUM(E38:E51)</f>
        <v>48.4</v>
      </c>
      <c r="F52" s="188"/>
      <c r="H52" s="194"/>
      <c r="I52" s="195"/>
      <c r="J52" s="141"/>
      <c r="K52" s="142"/>
      <c r="L52" s="435"/>
      <c r="M52" s="436"/>
    </row>
    <row r="53" spans="1:13" ht="13.5" thickBot="1">
      <c r="A53" s="788"/>
      <c r="B53" s="789"/>
      <c r="C53" s="149">
        <f>C52/(24*60)</f>
        <v>4.0972222222222222E-2</v>
      </c>
      <c r="D53" s="149">
        <f>D52/(24*60*G4)</f>
        <v>8.4027777777777785E-2</v>
      </c>
      <c r="E53" s="150">
        <f>E52/(G4*24)</f>
        <v>8.4027777777777771E-2</v>
      </c>
      <c r="F53" s="188"/>
    </row>
    <row r="54" spans="1:13">
      <c r="E54" s="196"/>
      <c r="F54" s="188"/>
    </row>
    <row r="55" spans="1:13">
      <c r="E55" s="196"/>
    </row>
    <row r="56" spans="1:13">
      <c r="A56" s="197" t="s">
        <v>100</v>
      </c>
      <c r="B56" s="198"/>
      <c r="C56" s="199"/>
      <c r="D56" s="199"/>
      <c r="E56" s="199"/>
      <c r="F56" s="200"/>
      <c r="G56" s="199"/>
      <c r="H56" s="201"/>
      <c r="I56" s="202" t="s">
        <v>101</v>
      </c>
      <c r="J56" s="203">
        <f>+D34+'23'!J56</f>
        <v>2884</v>
      </c>
      <c r="K56" s="204">
        <f>J56/(J40+J56/1000)/1000</f>
        <v>2.6521393679006535E-3</v>
      </c>
    </row>
    <row r="57" spans="1:13">
      <c r="A57" s="179"/>
      <c r="I57" s="202" t="s">
        <v>102</v>
      </c>
      <c r="J57" s="203">
        <f>+E34+'23'!J57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1"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Z61"/>
  <sheetViews>
    <sheetView zoomScale="80" zoomScaleNormal="80" workbookViewId="0">
      <selection activeCell="G24" sqref="G24:H27"/>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1.7109375" style="152" bestFit="1" customWidth="1"/>
    <col min="11" max="11" width="12.5703125" style="152" bestFit="1" customWidth="1"/>
    <col min="12" max="12" width="8.28515625" style="152" customWidth="1"/>
    <col min="13" max="13" width="16.28515625" style="152"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23</v>
      </c>
      <c r="H4" s="157" t="str">
        <f>+'1'!H4</f>
        <v>.03.26</v>
      </c>
      <c r="J4" s="152">
        <f>517.3+489.2+454</f>
        <v>1460.5</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652</v>
      </c>
      <c r="O6" s="152">
        <v>1210</v>
      </c>
      <c r="P6" s="152">
        <f>+O6-(O6*0.22)</f>
        <v>943.8</v>
      </c>
      <c r="Q6" s="152">
        <f>480-Q5</f>
        <v>480</v>
      </c>
      <c r="R6" s="152">
        <f t="shared" ref="R6:R7" si="0">+O6*Q6</f>
        <v>580800</v>
      </c>
      <c r="S6" s="152">
        <f t="shared" ref="S6:S7" si="1">+P6*Q6</f>
        <v>453024</v>
      </c>
      <c r="U6" s="152" t="s">
        <v>652</v>
      </c>
      <c r="V6" s="152">
        <v>1210</v>
      </c>
      <c r="W6" s="152">
        <f>+V6-(V6*0.22)</f>
        <v>943.8</v>
      </c>
      <c r="X6" s="152">
        <f>480-X5</f>
        <v>480</v>
      </c>
      <c r="Y6" s="152">
        <f t="shared" ref="Y6" si="2">+V6*X6</f>
        <v>580800</v>
      </c>
      <c r="Z6" s="152">
        <f t="shared" ref="Z6" si="3">+W6*X6</f>
        <v>453024</v>
      </c>
    </row>
    <row r="7" spans="1:26" ht="13.5" customHeight="1" thickBot="1">
      <c r="A7" s="793" t="s">
        <v>477</v>
      </c>
      <c r="B7" s="218" t="s">
        <v>658</v>
      </c>
      <c r="C7" s="219">
        <v>4724</v>
      </c>
      <c r="D7" s="220"/>
      <c r="E7" s="221"/>
      <c r="F7" s="231"/>
      <c r="G7" s="232" t="s">
        <v>13</v>
      </c>
      <c r="H7" s="233" t="s">
        <v>391</v>
      </c>
      <c r="I7" s="796" t="s">
        <v>667</v>
      </c>
      <c r="J7" s="217" t="str">
        <f>+'22'!J7</f>
        <v>T 14 RC HW</v>
      </c>
      <c r="K7" s="241"/>
      <c r="L7" s="245"/>
      <c r="M7" s="120">
        <f>+K7+'22'!M7+L7</f>
        <v>240535</v>
      </c>
      <c r="Q7" s="152">
        <f>480-Q6</f>
        <v>0</v>
      </c>
      <c r="R7" s="152">
        <f t="shared" si="0"/>
        <v>0</v>
      </c>
      <c r="S7" s="152">
        <f t="shared" si="1"/>
        <v>0</v>
      </c>
      <c r="Y7" s="152">
        <f t="shared" ref="Y7:Y10" si="4">+V7*X7</f>
        <v>0</v>
      </c>
      <c r="Z7" s="152">
        <f t="shared" ref="Z7:Z10" si="5">+W7*X7</f>
        <v>0</v>
      </c>
    </row>
    <row r="8" spans="1:26" ht="13.5" thickBot="1">
      <c r="A8" s="794"/>
      <c r="B8" s="218" t="s">
        <v>673</v>
      </c>
      <c r="C8" s="219">
        <v>9882</v>
      </c>
      <c r="D8" s="220"/>
      <c r="E8" s="222"/>
      <c r="F8" s="234">
        <v>5</v>
      </c>
      <c r="G8" s="583" t="s">
        <v>13</v>
      </c>
      <c r="H8" s="233" t="s">
        <v>474</v>
      </c>
      <c r="I8" s="797"/>
      <c r="J8" s="217" t="str">
        <f>+'22'!J8</f>
        <v>T 15,5 RC HW</v>
      </c>
      <c r="K8" s="242"/>
      <c r="L8" s="242"/>
      <c r="M8" s="120">
        <f>+K8+'22'!M8+L8</f>
        <v>139937</v>
      </c>
      <c r="U8" s="152" t="s">
        <v>652</v>
      </c>
      <c r="V8" s="152">
        <v>1220</v>
      </c>
      <c r="W8" s="152">
        <v>951.6</v>
      </c>
      <c r="X8" s="152">
        <v>40</v>
      </c>
      <c r="Y8" s="152">
        <f t="shared" si="4"/>
        <v>48800</v>
      </c>
      <c r="Z8" s="152">
        <f t="shared" si="5"/>
        <v>38064</v>
      </c>
    </row>
    <row r="9" spans="1:26" ht="13.5" thickBot="1">
      <c r="A9" s="794"/>
      <c r="B9" s="218"/>
      <c r="C9" s="219"/>
      <c r="D9" s="220"/>
      <c r="E9" s="223"/>
      <c r="F9" s="231">
        <v>10</v>
      </c>
      <c r="G9" s="583" t="s">
        <v>13</v>
      </c>
      <c r="H9" s="236" t="s">
        <v>473</v>
      </c>
      <c r="I9" s="797"/>
      <c r="J9" s="217" t="str">
        <f>+'22'!J9</f>
        <v>T 13,5 RC HW</v>
      </c>
      <c r="K9" s="242"/>
      <c r="L9" s="242"/>
      <c r="M9" s="120">
        <f>+K9+'22'!M9+L9</f>
        <v>31497</v>
      </c>
      <c r="V9" s="152">
        <v>1250</v>
      </c>
      <c r="W9" s="152">
        <v>975</v>
      </c>
      <c r="X9" s="152">
        <v>440</v>
      </c>
      <c r="Y9" s="152">
        <f t="shared" si="4"/>
        <v>550000</v>
      </c>
      <c r="Z9" s="152">
        <f t="shared" si="5"/>
        <v>429000</v>
      </c>
    </row>
    <row r="10" spans="1:26" ht="26.25" thickBot="1">
      <c r="A10" s="794"/>
      <c r="B10" s="218"/>
      <c r="C10" s="219"/>
      <c r="D10" s="220"/>
      <c r="E10" s="222"/>
      <c r="F10" s="231">
        <v>8</v>
      </c>
      <c r="G10" s="240" t="s">
        <v>14</v>
      </c>
      <c r="H10" s="236" t="s">
        <v>661</v>
      </c>
      <c r="I10" s="797"/>
      <c r="J10" s="217" t="str">
        <f>+'22'!J10</f>
        <v>T 20 RC HW</v>
      </c>
      <c r="K10" s="242"/>
      <c r="L10" s="242"/>
      <c r="M10" s="120">
        <f>+K10+'22'!M10+L10</f>
        <v>35769</v>
      </c>
      <c r="U10" s="152" t="s">
        <v>652</v>
      </c>
      <c r="V10" s="152">
        <v>1250</v>
      </c>
      <c r="W10" s="152">
        <v>975</v>
      </c>
      <c r="X10" s="152">
        <v>400</v>
      </c>
      <c r="Y10" s="152">
        <f t="shared" si="4"/>
        <v>500000</v>
      </c>
      <c r="Z10" s="152">
        <f t="shared" si="5"/>
        <v>390000</v>
      </c>
    </row>
    <row r="11" spans="1:26" ht="13.5" thickBot="1">
      <c r="A11" s="794"/>
      <c r="B11" s="218"/>
      <c r="C11" s="219"/>
      <c r="D11" s="220"/>
      <c r="E11" s="222"/>
      <c r="F11" s="231"/>
      <c r="G11" s="235"/>
      <c r="H11" s="236"/>
      <c r="I11" s="797"/>
      <c r="J11" s="217" t="str">
        <f>+'22'!J11</f>
        <v>T 17 RC HW</v>
      </c>
      <c r="K11" s="242"/>
      <c r="L11" s="242"/>
      <c r="M11" s="120">
        <f>+K11+'22'!M11+L11</f>
        <v>18517</v>
      </c>
    </row>
    <row r="12" spans="1:26" ht="13.5" thickBot="1">
      <c r="A12" s="794"/>
      <c r="B12" s="218"/>
      <c r="C12" s="219"/>
      <c r="D12" s="220"/>
      <c r="E12" s="222"/>
      <c r="F12" s="231"/>
      <c r="G12" s="235"/>
      <c r="H12" s="236"/>
      <c r="I12" s="797"/>
      <c r="J12" s="217" t="str">
        <f>+'22'!J12</f>
        <v>T 16 RC HW</v>
      </c>
      <c r="K12" s="242"/>
      <c r="L12" s="242"/>
      <c r="M12" s="120">
        <f>+K12+'22'!M12+L12</f>
        <v>38417</v>
      </c>
    </row>
    <row r="13" spans="1:26" ht="13.5" thickBot="1">
      <c r="A13" s="794"/>
      <c r="B13" s="218"/>
      <c r="C13" s="219"/>
      <c r="D13" s="219"/>
      <c r="E13" s="222"/>
      <c r="F13" s="231"/>
      <c r="G13" s="235"/>
      <c r="H13" s="236"/>
      <c r="I13" s="798"/>
      <c r="J13" s="217" t="str">
        <f>+'22'!J13</f>
        <v>N 15,5 RC HW</v>
      </c>
      <c r="K13" s="242"/>
      <c r="L13" s="242"/>
      <c r="M13" s="120">
        <f>+K13+'22'!M13+L13</f>
        <v>72746</v>
      </c>
      <c r="Q13" s="179">
        <f>SUM(Q6:Q12)</f>
        <v>480</v>
      </c>
      <c r="R13" s="179">
        <f>SUM(R6:R12)</f>
        <v>580800</v>
      </c>
      <c r="S13" s="179">
        <f>SUM(S6:S12)</f>
        <v>453024</v>
      </c>
      <c r="X13" s="179">
        <f>SUM(X6:X12)</f>
        <v>1360</v>
      </c>
      <c r="Y13" s="179">
        <f>SUM(Y6:Y12)</f>
        <v>1679600</v>
      </c>
      <c r="Z13" s="179">
        <f>SUM(Z6:Z12)</f>
        <v>1310088</v>
      </c>
    </row>
    <row r="14" spans="1:26" ht="13.5" thickBot="1">
      <c r="A14" s="795"/>
      <c r="B14" s="168" t="s">
        <v>3</v>
      </c>
      <c r="C14" s="102">
        <f>SUM(C7:C13)</f>
        <v>14606</v>
      </c>
      <c r="D14" s="114">
        <f>SUM(D7:D13)</f>
        <v>0</v>
      </c>
      <c r="E14" s="115">
        <f>SUM(E5:E13)</f>
        <v>0</v>
      </c>
      <c r="F14" s="105">
        <f>SUM(F6:F13)</f>
        <v>23</v>
      </c>
      <c r="G14" s="162"/>
      <c r="H14" s="169"/>
      <c r="I14" s="170"/>
      <c r="J14" s="217" t="str">
        <f>+'22'!J14</f>
        <v>TW 22 RC HW</v>
      </c>
      <c r="K14" s="242"/>
      <c r="L14" s="242"/>
      <c r="M14" s="120">
        <f>+K14+'22'!M14+L14</f>
        <v>387590</v>
      </c>
      <c r="Q14" s="152">
        <f>480-Q13</f>
        <v>0</v>
      </c>
      <c r="R14" s="179">
        <f>+R13/Q13</f>
        <v>1210</v>
      </c>
      <c r="S14" s="179">
        <f>+S13/Q13</f>
        <v>943.8</v>
      </c>
      <c r="X14" s="152">
        <f>480-X13</f>
        <v>-880</v>
      </c>
      <c r="Y14" s="179">
        <f>+Y13/X13</f>
        <v>1235</v>
      </c>
      <c r="Z14" s="179">
        <f>+Z13/X13</f>
        <v>963.3</v>
      </c>
    </row>
    <row r="15" spans="1:26" ht="13.5" customHeight="1" thickBot="1">
      <c r="A15" s="793" t="s">
        <v>431</v>
      </c>
      <c r="B15" s="168"/>
      <c r="C15" s="116">
        <f>C14/($C$23+$D$23+$E$23)</f>
        <v>0.94998373983739837</v>
      </c>
      <c r="D15" s="117">
        <f>D14/($C$23+$D$23+$E$23)</f>
        <v>0</v>
      </c>
      <c r="E15" s="118">
        <f>E14/($C$23+$D$23+$E$23)</f>
        <v>0</v>
      </c>
      <c r="F15" s="231">
        <v>6</v>
      </c>
      <c r="G15" s="232" t="s">
        <v>13</v>
      </c>
      <c r="H15" s="233" t="s">
        <v>488</v>
      </c>
      <c r="I15" s="796" t="s">
        <v>668</v>
      </c>
      <c r="J15" s="217" t="str">
        <f>+'22'!J15</f>
        <v>T 14,5 RC HW</v>
      </c>
      <c r="K15" s="242">
        <f>+C7</f>
        <v>4724</v>
      </c>
      <c r="L15" s="242"/>
      <c r="M15" s="120">
        <f>+K15+'22'!M15+L15</f>
        <v>27261</v>
      </c>
    </row>
    <row r="16" spans="1:26" ht="13.5" thickBot="1">
      <c r="A16" s="799"/>
      <c r="B16" s="218" t="s">
        <v>673</v>
      </c>
      <c r="C16" s="225">
        <v>15375</v>
      </c>
      <c r="D16" s="226"/>
      <c r="E16" s="227"/>
      <c r="F16" s="234"/>
      <c r="G16" s="583" t="s">
        <v>13</v>
      </c>
      <c r="H16" s="233" t="s">
        <v>392</v>
      </c>
      <c r="I16" s="797"/>
      <c r="J16" s="217" t="s">
        <v>673</v>
      </c>
      <c r="K16" s="242">
        <f>+C8+C16+C25</f>
        <v>41212</v>
      </c>
      <c r="L16" s="232"/>
      <c r="M16" s="120">
        <f>+K16+'22'!M16+L16</f>
        <v>41212</v>
      </c>
      <c r="N16" s="152" t="s">
        <v>652</v>
      </c>
      <c r="O16" s="152">
        <v>1220</v>
      </c>
      <c r="P16" s="152">
        <f>+O16-(O16*0.22)</f>
        <v>951.6</v>
      </c>
      <c r="Q16" s="152">
        <v>40</v>
      </c>
      <c r="R16" s="152">
        <f t="shared" ref="R16:R17" si="6">+O16*Q16</f>
        <v>48800</v>
      </c>
      <c r="S16" s="152">
        <f t="shared" ref="S16:S17" si="7">+P16*Q16</f>
        <v>38064</v>
      </c>
    </row>
    <row r="17" spans="1:19" ht="13.5" thickBot="1">
      <c r="A17" s="799"/>
      <c r="B17" s="218"/>
      <c r="C17" s="219"/>
      <c r="D17" s="220"/>
      <c r="E17" s="228"/>
      <c r="F17" s="231">
        <f>28-6</f>
        <v>22</v>
      </c>
      <c r="G17" s="583" t="s">
        <v>13</v>
      </c>
      <c r="H17" s="236" t="s">
        <v>473</v>
      </c>
      <c r="I17" s="797"/>
      <c r="J17" s="217">
        <f>+'22'!J17</f>
        <v>0</v>
      </c>
      <c r="K17" s="242"/>
      <c r="L17" s="232"/>
      <c r="M17" s="120">
        <f>+K17+'22'!M17+L17</f>
        <v>0</v>
      </c>
      <c r="O17" s="152">
        <v>1250</v>
      </c>
      <c r="P17" s="152">
        <f>+O17-(O17*0.22)</f>
        <v>975</v>
      </c>
      <c r="Q17" s="152">
        <f>480-Q16</f>
        <v>440</v>
      </c>
      <c r="R17" s="152">
        <f t="shared" si="6"/>
        <v>550000</v>
      </c>
      <c r="S17" s="152">
        <f t="shared" si="7"/>
        <v>429000</v>
      </c>
    </row>
    <row r="18" spans="1:19" ht="39" thickBot="1">
      <c r="A18" s="799"/>
      <c r="B18" s="218"/>
      <c r="C18" s="219"/>
      <c r="D18" s="220"/>
      <c r="E18" s="228"/>
      <c r="F18" s="231"/>
      <c r="G18" s="240" t="s">
        <v>14</v>
      </c>
      <c r="H18" s="236" t="s">
        <v>664</v>
      </c>
      <c r="I18" s="797"/>
      <c r="J18" s="217">
        <f>+'22'!J18</f>
        <v>0</v>
      </c>
      <c r="K18" s="242"/>
      <c r="L18" s="242"/>
      <c r="M18" s="120">
        <f>+K18+'22'!M18+L18</f>
        <v>0</v>
      </c>
    </row>
    <row r="19" spans="1:19" ht="51.75" thickBot="1">
      <c r="A19" s="799"/>
      <c r="B19" s="218"/>
      <c r="C19" s="219"/>
      <c r="D19" s="220"/>
      <c r="E19" s="228"/>
      <c r="F19" s="238"/>
      <c r="G19" s="235"/>
      <c r="H19" s="236" t="s">
        <v>665</v>
      </c>
      <c r="I19" s="797"/>
      <c r="J19" s="217">
        <f>+'22'!J19</f>
        <v>0</v>
      </c>
      <c r="K19" s="242"/>
      <c r="L19" s="242"/>
      <c r="M19" s="120">
        <f>+K19+'22'!M19+L19</f>
        <v>0</v>
      </c>
    </row>
    <row r="20" spans="1:19" ht="13.5" thickBot="1">
      <c r="A20" s="799"/>
      <c r="B20" s="218"/>
      <c r="C20" s="219"/>
      <c r="D20" s="220"/>
      <c r="E20" s="228"/>
      <c r="F20" s="231"/>
      <c r="G20" s="235"/>
      <c r="H20" s="236"/>
      <c r="I20" s="797"/>
      <c r="J20" s="217">
        <f>+'22'!J20</f>
        <v>0</v>
      </c>
      <c r="K20" s="242"/>
      <c r="L20" s="243"/>
      <c r="M20" s="120">
        <f>+K20+'22'!M20+L20</f>
        <v>0</v>
      </c>
    </row>
    <row r="21" spans="1:19" ht="13.5" thickBot="1">
      <c r="A21" s="799"/>
      <c r="B21" s="218"/>
      <c r="C21" s="219"/>
      <c r="D21" s="220"/>
      <c r="E21" s="228"/>
      <c r="F21" s="234"/>
      <c r="G21" s="235"/>
      <c r="H21" s="236"/>
      <c r="I21" s="797"/>
      <c r="J21" s="217">
        <f>+'22'!J21</f>
        <v>0</v>
      </c>
      <c r="K21" s="242"/>
      <c r="L21" s="242"/>
      <c r="M21" s="120">
        <f>+K21+'22'!M21+L21</f>
        <v>0</v>
      </c>
    </row>
    <row r="22" spans="1:19" ht="13.5" thickBot="1">
      <c r="A22" s="799"/>
      <c r="B22" s="218"/>
      <c r="C22" s="219"/>
      <c r="D22" s="220"/>
      <c r="E22" s="228"/>
      <c r="F22" s="239"/>
      <c r="G22" s="235"/>
      <c r="H22" s="236"/>
      <c r="I22" s="798"/>
      <c r="J22" s="217">
        <f>+'22'!J22</f>
        <v>0</v>
      </c>
      <c r="K22" s="242"/>
      <c r="L22" s="242"/>
      <c r="M22" s="120">
        <f>+K22+'22'!M22+L22</f>
        <v>0</v>
      </c>
    </row>
    <row r="23" spans="1:19" ht="13.5" thickBot="1">
      <c r="A23" s="800"/>
      <c r="B23" s="168" t="s">
        <v>3</v>
      </c>
      <c r="C23" s="103">
        <f>SUM(C16:C22)</f>
        <v>15375</v>
      </c>
      <c r="D23" s="114">
        <f>SUM(D16:D22)</f>
        <v>0</v>
      </c>
      <c r="E23" s="115">
        <f>SUM(E18:E22)</f>
        <v>0</v>
      </c>
      <c r="F23" s="105">
        <f>SUM(F15:F22)</f>
        <v>28</v>
      </c>
      <c r="G23" s="162"/>
      <c r="H23" s="169"/>
      <c r="I23" s="172"/>
      <c r="J23" s="217">
        <f>+'22'!J23</f>
        <v>0</v>
      </c>
      <c r="K23" s="242"/>
      <c r="L23" s="242"/>
      <c r="M23" s="120">
        <f>+K23+'22'!M23+L23</f>
        <v>0</v>
      </c>
      <c r="Q23" s="179">
        <f>SUM(Q16:Q22)</f>
        <v>480</v>
      </c>
      <c r="R23" s="179">
        <f>SUM(R16:R22)</f>
        <v>598800</v>
      </c>
      <c r="S23" s="179">
        <f>SUM(S16:S22)</f>
        <v>467064</v>
      </c>
    </row>
    <row r="24" spans="1:19" ht="13.5" customHeight="1" thickBot="1">
      <c r="A24" s="793" t="s">
        <v>432</v>
      </c>
      <c r="B24" s="173"/>
      <c r="C24" s="116">
        <f>C23/($C$23+$D$23+$E$23)</f>
        <v>1</v>
      </c>
      <c r="D24" s="117">
        <f>D23/($C$23+$D$23+$E$23)</f>
        <v>0</v>
      </c>
      <c r="E24" s="118">
        <f>E23/($C$23+$D$23+$E$23)</f>
        <v>0</v>
      </c>
      <c r="F24" s="231"/>
      <c r="G24" s="232" t="s">
        <v>13</v>
      </c>
      <c r="H24" s="233" t="s">
        <v>391</v>
      </c>
      <c r="I24" s="796" t="s">
        <v>669</v>
      </c>
      <c r="J24" s="217">
        <f>+'22'!J24</f>
        <v>0</v>
      </c>
      <c r="K24" s="242"/>
      <c r="L24" s="242"/>
      <c r="M24" s="120">
        <f>+K24+'22'!M24+L24</f>
        <v>0</v>
      </c>
      <c r="Q24" s="152">
        <f>480-Q23</f>
        <v>0</v>
      </c>
      <c r="R24" s="179">
        <f>+R23/Q23</f>
        <v>1247.5</v>
      </c>
      <c r="S24" s="179">
        <f>+S23/Q23</f>
        <v>973.05</v>
      </c>
    </row>
    <row r="25" spans="1:19" ht="13.5" thickBot="1">
      <c r="A25" s="799"/>
      <c r="B25" s="218" t="s">
        <v>673</v>
      </c>
      <c r="C25" s="229">
        <v>15955</v>
      </c>
      <c r="D25" s="220"/>
      <c r="E25" s="228"/>
      <c r="F25" s="234">
        <v>5</v>
      </c>
      <c r="G25" s="583" t="s">
        <v>13</v>
      </c>
      <c r="H25" s="233" t="s">
        <v>452</v>
      </c>
      <c r="I25" s="797"/>
      <c r="J25" s="217">
        <f>+'22'!J25</f>
        <v>0</v>
      </c>
      <c r="K25" s="242"/>
      <c r="L25" s="242"/>
      <c r="M25" s="120">
        <f>+K25+'22'!M25+L25</f>
        <v>0</v>
      </c>
    </row>
    <row r="26" spans="1:19" ht="13.5" thickBot="1">
      <c r="A26" s="799"/>
      <c r="B26" s="218"/>
      <c r="C26" s="229"/>
      <c r="D26" s="220"/>
      <c r="E26" s="230"/>
      <c r="F26" s="231">
        <v>14</v>
      </c>
      <c r="G26" s="583" t="s">
        <v>13</v>
      </c>
      <c r="H26" s="236" t="s">
        <v>473</v>
      </c>
      <c r="I26" s="797"/>
      <c r="J26" s="217">
        <f>+'22'!J26</f>
        <v>0</v>
      </c>
      <c r="K26" s="242"/>
      <c r="L26" s="242"/>
      <c r="M26" s="120">
        <f>+K26+'22'!M26+L26</f>
        <v>0</v>
      </c>
      <c r="N26" s="152" t="s">
        <v>652</v>
      </c>
      <c r="O26" s="152">
        <v>1250</v>
      </c>
      <c r="P26" s="152">
        <f>+O26-(O26*0.22)</f>
        <v>975</v>
      </c>
      <c r="Q26" s="152">
        <f>60*6+40</f>
        <v>400</v>
      </c>
      <c r="R26" s="152">
        <f t="shared" ref="R26:R27" si="8">+O26*Q26</f>
        <v>500000</v>
      </c>
      <c r="S26" s="152">
        <f t="shared" ref="S26:S27" si="9">+P26*Q26</f>
        <v>390000</v>
      </c>
    </row>
    <row r="27" spans="1:19" ht="39" thickBot="1">
      <c r="A27" s="799"/>
      <c r="B27" s="218"/>
      <c r="C27" s="219"/>
      <c r="D27" s="220"/>
      <c r="E27" s="228"/>
      <c r="F27" s="231"/>
      <c r="G27" s="240" t="s">
        <v>14</v>
      </c>
      <c r="H27" s="236" t="s">
        <v>662</v>
      </c>
      <c r="I27" s="797"/>
      <c r="J27" s="217">
        <f>+'22'!J27</f>
        <v>0</v>
      </c>
      <c r="K27" s="242"/>
      <c r="L27" s="242"/>
      <c r="M27" s="120">
        <f>+K27+'22'!M27+L27</f>
        <v>0</v>
      </c>
      <c r="N27" s="152" t="s">
        <v>666</v>
      </c>
      <c r="O27" s="152">
        <v>1250</v>
      </c>
      <c r="P27" s="152">
        <f>+O27-(O27*0.22)</f>
        <v>975</v>
      </c>
      <c r="Q27" s="152">
        <f>480-Q26</f>
        <v>80</v>
      </c>
      <c r="R27" s="152">
        <f t="shared" si="8"/>
        <v>100000</v>
      </c>
      <c r="S27" s="152">
        <f t="shared" si="9"/>
        <v>78000</v>
      </c>
    </row>
    <row r="28" spans="1:19" ht="13.5" thickBot="1">
      <c r="A28" s="799"/>
      <c r="B28" s="218"/>
      <c r="C28" s="219"/>
      <c r="D28" s="220"/>
      <c r="E28" s="228"/>
      <c r="F28" s="234"/>
      <c r="G28" s="235"/>
      <c r="H28" s="236" t="s">
        <v>663</v>
      </c>
      <c r="I28" s="797"/>
      <c r="J28" s="217">
        <f>+'22'!J28</f>
        <v>0</v>
      </c>
      <c r="K28" s="242"/>
      <c r="L28" s="242"/>
      <c r="M28" s="120">
        <f>+K28+'22'!M28+L28</f>
        <v>0</v>
      </c>
    </row>
    <row r="29" spans="1:19" ht="13.5" thickBot="1">
      <c r="A29" s="799"/>
      <c r="B29" s="218"/>
      <c r="C29" s="219"/>
      <c r="D29" s="220"/>
      <c r="E29" s="228"/>
      <c r="F29" s="239"/>
      <c r="G29" s="235"/>
      <c r="H29" s="236"/>
      <c r="I29" s="797"/>
      <c r="J29" s="217">
        <f>+'22'!J29</f>
        <v>0</v>
      </c>
      <c r="K29" s="242"/>
      <c r="L29" s="242"/>
      <c r="M29" s="120">
        <f>+K29+'22'!M29+L29</f>
        <v>0</v>
      </c>
    </row>
    <row r="30" spans="1:19" ht="13.5" thickBot="1">
      <c r="A30" s="799"/>
      <c r="B30" s="218"/>
      <c r="C30" s="229"/>
      <c r="D30" s="220"/>
      <c r="E30" s="228"/>
      <c r="F30" s="239"/>
      <c r="G30" s="235"/>
      <c r="H30" s="236"/>
      <c r="I30" s="797"/>
      <c r="J30" s="217">
        <f>+'22'!J30</f>
        <v>0</v>
      </c>
      <c r="K30" s="242"/>
      <c r="L30" s="242"/>
      <c r="M30" s="120">
        <f>+K30+'22'!M30+L30</f>
        <v>0</v>
      </c>
    </row>
    <row r="31" spans="1:19" ht="13.5" thickBot="1">
      <c r="A31" s="799"/>
      <c r="B31" s="218"/>
      <c r="C31" s="229"/>
      <c r="D31" s="220"/>
      <c r="E31" s="228"/>
      <c r="F31" s="239"/>
      <c r="G31" s="240"/>
      <c r="H31" s="237"/>
      <c r="I31" s="798"/>
      <c r="J31" s="217">
        <f>+'22'!J31</f>
        <v>0</v>
      </c>
      <c r="K31" s="242"/>
      <c r="L31" s="242"/>
      <c r="M31" s="120">
        <f>+K31+'22'!M31+L31</f>
        <v>0</v>
      </c>
    </row>
    <row r="32" spans="1:19" ht="13.5" thickBot="1">
      <c r="A32" s="800"/>
      <c r="B32" s="168" t="s">
        <v>3</v>
      </c>
      <c r="C32" s="102">
        <f>SUM(C25:C31)</f>
        <v>15955</v>
      </c>
      <c r="D32" s="103">
        <f>SUM(D25:D31)</f>
        <v>0</v>
      </c>
      <c r="E32" s="104">
        <f>SUM(E25:E31)</f>
        <v>0</v>
      </c>
      <c r="F32" s="105">
        <f>SUM(F24:F31)</f>
        <v>19</v>
      </c>
      <c r="G32" s="174"/>
      <c r="H32" s="175"/>
      <c r="I32" s="172"/>
      <c r="J32" s="217">
        <f>+'22'!J32</f>
        <v>0</v>
      </c>
      <c r="K32" s="242"/>
      <c r="L32" s="246"/>
      <c r="M32" s="120">
        <f>+K32+'22'!M32+L32</f>
        <v>0</v>
      </c>
    </row>
    <row r="33" spans="1:19" ht="13.5" thickBot="1">
      <c r="A33" s="176"/>
      <c r="B33" s="177"/>
      <c r="C33" s="106">
        <f>C32/($C$32+$D$32+$E$32)</f>
        <v>1</v>
      </c>
      <c r="D33" s="107">
        <f>D32/($C$32+$D$32+$E$32)</f>
        <v>0</v>
      </c>
      <c r="E33" s="108">
        <f>E32/($C$32+$D$32+$E$32)</f>
        <v>0</v>
      </c>
      <c r="F33" s="109"/>
      <c r="G33" s="178"/>
      <c r="H33" s="179"/>
      <c r="I33" s="180"/>
      <c r="J33" s="124"/>
      <c r="K33" s="125"/>
      <c r="L33" s="216"/>
      <c r="M33" s="122"/>
      <c r="Q33" s="179">
        <f>SUM(Q26:Q32)</f>
        <v>480</v>
      </c>
      <c r="R33" s="179">
        <f>SUM(R26:R32)</f>
        <v>600000</v>
      </c>
      <c r="S33" s="179">
        <f>SUM(S26:S32)</f>
        <v>468000</v>
      </c>
    </row>
    <row r="34" spans="1:19" ht="13.5" thickBot="1">
      <c r="A34" s="801" t="s">
        <v>70</v>
      </c>
      <c r="B34" s="802"/>
      <c r="C34" s="110">
        <f>C14+C23+C32</f>
        <v>45936</v>
      </c>
      <c r="D34" s="110">
        <f>D14+D23+D32</f>
        <v>0</v>
      </c>
      <c r="E34" s="110">
        <f>E14+E23+E32</f>
        <v>0</v>
      </c>
      <c r="F34" s="111">
        <f>F14+F23+F32</f>
        <v>70</v>
      </c>
      <c r="H34" s="181"/>
      <c r="I34" s="181"/>
      <c r="J34" s="126" t="s">
        <v>29</v>
      </c>
      <c r="K34" s="127">
        <f>SUM(K7:K32)</f>
        <v>45936</v>
      </c>
      <c r="L34" s="215">
        <f>SUM(L7:L32)</f>
        <v>0</v>
      </c>
      <c r="M34" s="123">
        <f>SUM(M7:M32)</f>
        <v>1033481</v>
      </c>
      <c r="Q34" s="152">
        <f>480-Q33</f>
        <v>0</v>
      </c>
      <c r="R34" s="179">
        <f>+R33/Q33</f>
        <v>1250</v>
      </c>
      <c r="S34" s="179">
        <f>+S33/Q33</f>
        <v>975</v>
      </c>
    </row>
    <row r="35" spans="1:19" ht="13.5" thickBot="1">
      <c r="A35" s="182"/>
      <c r="B35" s="183"/>
      <c r="C35" s="107">
        <f>C34/($C$34+$D$34+$E$34)</f>
        <v>1</v>
      </c>
      <c r="D35" s="107">
        <f>D34/($C$34+$D$34+$E$34)</f>
        <v>0</v>
      </c>
      <c r="E35" s="112">
        <f>E34/($C$34+$D$34+$E$34)</f>
        <v>0</v>
      </c>
      <c r="K35" s="158"/>
      <c r="L35" s="792" t="s">
        <v>187</v>
      </c>
      <c r="M35" s="792"/>
    </row>
    <row r="36" spans="1:19" ht="13.5" thickBot="1">
      <c r="A36" s="181"/>
      <c r="B36" s="181"/>
      <c r="C36" s="158"/>
      <c r="D36" s="158"/>
      <c r="E36" s="158"/>
      <c r="G36" s="158"/>
      <c r="H36" s="184"/>
      <c r="I36" s="165" t="s">
        <v>41</v>
      </c>
      <c r="J36" s="165" t="s">
        <v>42</v>
      </c>
      <c r="K36" s="185"/>
      <c r="L36" s="165" t="s">
        <v>41</v>
      </c>
      <c r="M36" s="165" t="s">
        <v>42</v>
      </c>
      <c r="N36" s="152" t="s">
        <v>652</v>
      </c>
      <c r="O36" s="152">
        <v>1235</v>
      </c>
      <c r="P36" s="152">
        <v>963.3</v>
      </c>
      <c r="Q36" s="152">
        <v>1360</v>
      </c>
    </row>
    <row r="37" spans="1:19" ht="17.45" customHeight="1" thickBot="1">
      <c r="A37" s="790" t="s">
        <v>71</v>
      </c>
      <c r="B37" s="791"/>
      <c r="C37" s="165" t="s">
        <v>72</v>
      </c>
      <c r="D37" s="186" t="s">
        <v>73</v>
      </c>
      <c r="E37" s="187" t="s">
        <v>74</v>
      </c>
      <c r="F37" s="365"/>
      <c r="G37" s="367"/>
      <c r="H37" s="189" t="s">
        <v>75</v>
      </c>
      <c r="I37" s="247">
        <f>(14.5*1360+13*80)/1440*G42*2.75*1440/1000000</f>
        <v>55.031905500000001</v>
      </c>
      <c r="J37" s="128">
        <f>+I37+'22'!J37</f>
        <v>1124.5823225883776</v>
      </c>
      <c r="K37" s="129" t="s">
        <v>76</v>
      </c>
      <c r="L37" s="426"/>
      <c r="M37" s="427"/>
      <c r="N37" s="152" t="s">
        <v>666</v>
      </c>
      <c r="O37" s="152">
        <v>1250</v>
      </c>
      <c r="P37" s="152">
        <v>975</v>
      </c>
      <c r="Q37" s="152">
        <v>80</v>
      </c>
    </row>
    <row r="38" spans="1:19" ht="17.45" customHeight="1">
      <c r="A38" s="786" t="s">
        <v>13</v>
      </c>
      <c r="B38" s="787"/>
      <c r="C38" s="167">
        <f>SUMIF($G$7:$G$31,"Process",$F$7:$F$31)</f>
        <v>62</v>
      </c>
      <c r="D38" s="121">
        <f>+C38+'22'!D38</f>
        <v>1514</v>
      </c>
      <c r="E38" s="146">
        <f t="shared" ref="E38:E51" si="10">D38/60</f>
        <v>25.233333333333334</v>
      </c>
      <c r="F38" s="365">
        <v>1210</v>
      </c>
      <c r="G38" s="365">
        <v>943.8</v>
      </c>
      <c r="H38" s="190" t="s">
        <v>77</v>
      </c>
      <c r="I38" s="547">
        <f>16.032+15.539+15.911</f>
        <v>47.481999999999999</v>
      </c>
      <c r="J38" s="130">
        <f>+I38+'22'!J38</f>
        <v>1057.8143</v>
      </c>
      <c r="K38" s="131" t="s">
        <v>76</v>
      </c>
      <c r="L38" s="428"/>
      <c r="M38" s="429"/>
      <c r="Q38" s="152">
        <f>+Q36+Q37</f>
        <v>1440</v>
      </c>
    </row>
    <row r="39" spans="1:19" ht="17.45" customHeight="1">
      <c r="A39" s="782" t="s">
        <v>14</v>
      </c>
      <c r="B39" s="783"/>
      <c r="C39" s="167">
        <f>SUMIF($G$7:$G$31,"Cleaning",$F$7:$F$31)</f>
        <v>8</v>
      </c>
      <c r="D39" s="121">
        <f>+C39+'22'!D39</f>
        <v>207</v>
      </c>
      <c r="E39" s="146">
        <f t="shared" si="10"/>
        <v>3.45</v>
      </c>
      <c r="F39" s="365">
        <v>1247.5</v>
      </c>
      <c r="G39" s="365">
        <v>973.05</v>
      </c>
      <c r="H39" s="190" t="s">
        <v>78</v>
      </c>
      <c r="I39" s="145"/>
      <c r="J39" s="132">
        <f>J37/G4</f>
        <v>48.894883590799026</v>
      </c>
      <c r="K39" s="133" t="s">
        <v>76</v>
      </c>
      <c r="L39" s="428"/>
      <c r="M39" s="429"/>
    </row>
    <row r="40" spans="1:19" ht="17.45" customHeight="1">
      <c r="A40" s="782" t="s">
        <v>79</v>
      </c>
      <c r="B40" s="783"/>
      <c r="C40" s="167">
        <f>SUMIF($G$7:$G$31,"Mechanical",$F$7:$F$31)</f>
        <v>0</v>
      </c>
      <c r="D40" s="121">
        <f>+C40+'22'!D40</f>
        <v>120</v>
      </c>
      <c r="E40" s="146">
        <f t="shared" si="10"/>
        <v>2</v>
      </c>
      <c r="F40" s="365">
        <v>1250</v>
      </c>
      <c r="G40" s="365">
        <v>975</v>
      </c>
      <c r="H40" s="190" t="s">
        <v>80</v>
      </c>
      <c r="I40" s="121">
        <f>(K34+L34)/1000</f>
        <v>45.936</v>
      </c>
      <c r="J40" s="134">
        <f>+I40+'22'!J40</f>
        <v>1033.481</v>
      </c>
      <c r="K40" s="133" t="s">
        <v>76</v>
      </c>
      <c r="L40" s="428"/>
      <c r="M40" s="429"/>
    </row>
    <row r="41" spans="1:19" ht="17.45" customHeight="1">
      <c r="A41" s="782" t="s">
        <v>81</v>
      </c>
      <c r="B41" s="783"/>
      <c r="C41" s="167">
        <f>SUMIF($G$7:$G$31,"Electrical",$F$7:$F$31)</f>
        <v>0</v>
      </c>
      <c r="D41" s="121">
        <f>+C41+'22'!D41</f>
        <v>80</v>
      </c>
      <c r="E41" s="146">
        <f t="shared" si="10"/>
        <v>1.3333333333333333</v>
      </c>
      <c r="F41" s="365"/>
      <c r="G41" s="365"/>
      <c r="H41" s="190" t="s">
        <v>82</v>
      </c>
      <c r="I41" s="145"/>
      <c r="J41" s="132">
        <f>J40/G4</f>
        <v>44.933956521739127</v>
      </c>
      <c r="K41" s="133" t="s">
        <v>76</v>
      </c>
      <c r="L41" s="428"/>
      <c r="M41" s="429"/>
    </row>
    <row r="42" spans="1:19" ht="17.45" customHeight="1">
      <c r="A42" s="782" t="s">
        <v>17</v>
      </c>
      <c r="B42" s="783"/>
      <c r="C42" s="167">
        <f>SUMIF($G$7:$G$31,"Instrument",$F$7:$F$31)</f>
        <v>0</v>
      </c>
      <c r="D42" s="121">
        <f>+C42+'22'!D42</f>
        <v>0</v>
      </c>
      <c r="E42" s="146">
        <f t="shared" si="10"/>
        <v>0</v>
      </c>
      <c r="F42" s="365">
        <f>+(F38*480+F39*480+F40*480)/1440</f>
        <v>1235.8333333333333</v>
      </c>
      <c r="G42" s="365">
        <f>+(G38*480+G39*480+G40*480)/1440</f>
        <v>963.95</v>
      </c>
      <c r="H42" s="190" t="s">
        <v>83</v>
      </c>
      <c r="I42" s="249" t="s">
        <v>671</v>
      </c>
      <c r="J42" s="135"/>
      <c r="K42" s="133" t="s">
        <v>84</v>
      </c>
      <c r="L42" s="428"/>
      <c r="M42" s="429"/>
    </row>
    <row r="43" spans="1:19" ht="17.45" customHeight="1">
      <c r="A43" s="782" t="s">
        <v>202</v>
      </c>
      <c r="B43" s="783"/>
      <c r="C43" s="167">
        <f>SUMIF($G$7:$G$31,"Change Grade",$F$7:$F$31)</f>
        <v>0</v>
      </c>
      <c r="D43" s="121">
        <f>+C43+'22'!D43</f>
        <v>0</v>
      </c>
      <c r="E43" s="146">
        <f t="shared" si="10"/>
        <v>0</v>
      </c>
      <c r="F43" s="365"/>
      <c r="G43" s="366"/>
      <c r="H43" s="191" t="s">
        <v>86</v>
      </c>
      <c r="I43" s="121">
        <f>+Report1!AH31</f>
        <v>68.599999999999994</v>
      </c>
      <c r="J43" s="136">
        <f>+I43+'22'!J43</f>
        <v>1481.3000000000002</v>
      </c>
      <c r="K43" s="133" t="s">
        <v>76</v>
      </c>
      <c r="L43" s="430">
        <f>+Report1!AN31</f>
        <v>0</v>
      </c>
      <c r="M43" s="431">
        <f>+L43+'22'!M43</f>
        <v>0</v>
      </c>
    </row>
    <row r="44" spans="1:19" ht="17.45" customHeight="1">
      <c r="A44" s="782" t="s">
        <v>18</v>
      </c>
      <c r="B44" s="783"/>
      <c r="C44" s="167">
        <f>SUMIF($G$7:$G$31,"PLN",$F$7:$F$31)</f>
        <v>0</v>
      </c>
      <c r="D44" s="121">
        <f>+C44+'22'!D44</f>
        <v>0</v>
      </c>
      <c r="E44" s="146">
        <f t="shared" si="10"/>
        <v>0</v>
      </c>
      <c r="F44" s="365"/>
      <c r="G44" s="366"/>
      <c r="H44" s="191" t="s">
        <v>87</v>
      </c>
      <c r="I44" s="121">
        <f>I43/I38</f>
        <v>1.4447580135630342</v>
      </c>
      <c r="J44" s="137">
        <f>J43/J38</f>
        <v>1.400340305477058</v>
      </c>
      <c r="K44" s="133" t="s">
        <v>76</v>
      </c>
      <c r="L44" s="432">
        <f>+L43/I38</f>
        <v>0</v>
      </c>
      <c r="M44" s="433">
        <f>+M43/J38</f>
        <v>0</v>
      </c>
    </row>
    <row r="45" spans="1:19" ht="17.45" customHeight="1">
      <c r="A45" s="782" t="s">
        <v>19</v>
      </c>
      <c r="B45" s="783"/>
      <c r="C45" s="167">
        <f>SUMIF($G$7:$G$31,"Boiler",$F$7:$F$31)</f>
        <v>0</v>
      </c>
      <c r="D45" s="121">
        <f>+C45+'22'!D45</f>
        <v>0</v>
      </c>
      <c r="E45" s="146">
        <f t="shared" si="10"/>
        <v>0</v>
      </c>
      <c r="F45" s="365"/>
      <c r="G45" s="368"/>
      <c r="H45" s="191" t="s">
        <v>88</v>
      </c>
      <c r="I45" s="121">
        <f>I43/I40</f>
        <v>1.4933820968303726</v>
      </c>
      <c r="J45" s="137">
        <f>J43/J40</f>
        <v>1.4333113042232999</v>
      </c>
      <c r="K45" s="133" t="s">
        <v>76</v>
      </c>
      <c r="L45" s="432">
        <f>+L43/I40</f>
        <v>0</v>
      </c>
      <c r="M45" s="433">
        <f>+M43/J40</f>
        <v>0</v>
      </c>
    </row>
    <row r="46" spans="1:19" ht="17.45" customHeight="1">
      <c r="A46" s="782" t="s">
        <v>89</v>
      </c>
      <c r="B46" s="783"/>
      <c r="C46" s="167">
        <f>SUMIF($G$7:$G$31,"Gas",$F$7:$F$31)</f>
        <v>0</v>
      </c>
      <c r="D46" s="121">
        <f>+C46+'22'!D46</f>
        <v>0</v>
      </c>
      <c r="E46" s="146">
        <f t="shared" si="10"/>
        <v>0</v>
      </c>
      <c r="F46" s="365"/>
      <c r="G46" s="366"/>
      <c r="H46" s="191" t="s">
        <v>90</v>
      </c>
      <c r="I46" s="143">
        <f>+SUMIF(Listrik!P30,"&gt;0")</f>
        <v>43564.020000000011</v>
      </c>
      <c r="J46" s="138">
        <f>+I46+'22'!J46</f>
        <v>883487.0199999999</v>
      </c>
      <c r="K46" s="133" t="s">
        <v>91</v>
      </c>
      <c r="L46" s="432">
        <f>+Listrik!AF30</f>
        <v>0</v>
      </c>
      <c r="M46" s="434">
        <f>+L46+'22'!M46</f>
        <v>0</v>
      </c>
    </row>
    <row r="47" spans="1:19" ht="17.45" customHeight="1">
      <c r="A47" s="782" t="s">
        <v>92</v>
      </c>
      <c r="B47" s="783"/>
      <c r="C47" s="167">
        <f>SUMIF($G$7:$G$31,"Gas",$F$7:$F$31)</f>
        <v>0</v>
      </c>
      <c r="D47" s="121">
        <f>+C47+'22'!D47</f>
        <v>0</v>
      </c>
      <c r="E47" s="146">
        <f t="shared" si="10"/>
        <v>0</v>
      </c>
      <c r="F47" s="365"/>
      <c r="G47" s="366"/>
      <c r="H47" s="191" t="s">
        <v>93</v>
      </c>
      <c r="I47" s="121">
        <f>I46/I38</f>
        <v>917.48494166210378</v>
      </c>
      <c r="J47" s="138">
        <f>J46/J38</f>
        <v>835.20048840330469</v>
      </c>
      <c r="K47" s="133" t="s">
        <v>25</v>
      </c>
      <c r="L47" s="432">
        <f>+L46/I38</f>
        <v>0</v>
      </c>
      <c r="M47" s="433">
        <f>+M46/J38</f>
        <v>0</v>
      </c>
    </row>
    <row r="48" spans="1:19" ht="17.45" customHeight="1">
      <c r="A48" s="782" t="s">
        <v>15</v>
      </c>
      <c r="B48" s="783"/>
      <c r="C48" s="167">
        <f>SUMIF($G$7:$G$31,"Start Up",$F$7:$F$31)</f>
        <v>0</v>
      </c>
      <c r="D48" s="121">
        <f>+C48+'22'!D48</f>
        <v>0</v>
      </c>
      <c r="E48" s="146">
        <f t="shared" si="10"/>
        <v>0</v>
      </c>
      <c r="F48" s="365"/>
      <c r="G48" s="366"/>
      <c r="H48" s="191" t="s">
        <v>94</v>
      </c>
      <c r="I48" s="121">
        <f>I46/I40</f>
        <v>948.36337513061676</v>
      </c>
      <c r="J48" s="138">
        <f>J46/J40</f>
        <v>854.86527570414933</v>
      </c>
      <c r="K48" s="133" t="s">
        <v>25</v>
      </c>
      <c r="L48" s="432">
        <f>+L46/I38</f>
        <v>0</v>
      </c>
      <c r="M48" s="433">
        <f>+M46/J40</f>
        <v>0</v>
      </c>
    </row>
    <row r="49" spans="1:13" ht="17.45" customHeight="1">
      <c r="A49" s="782" t="s">
        <v>21</v>
      </c>
      <c r="B49" s="783"/>
      <c r="C49" s="167">
        <f>SUMIF($G$7:$G$31,"Others",$F$7:$F$31)</f>
        <v>0</v>
      </c>
      <c r="D49" s="121">
        <f>+C49+'22'!D49</f>
        <v>924</v>
      </c>
      <c r="E49" s="146">
        <f t="shared" si="10"/>
        <v>15.4</v>
      </c>
      <c r="F49" s="188"/>
      <c r="H49" s="191" t="s">
        <v>95</v>
      </c>
      <c r="I49" s="121">
        <f>+Report1!AB31</f>
        <v>5370.5047333179409</v>
      </c>
      <c r="J49" s="138">
        <f>+I49+'22'!J49</f>
        <v>99801.086574200104</v>
      </c>
      <c r="K49" s="133" t="s">
        <v>96</v>
      </c>
      <c r="L49" s="428"/>
      <c r="M49" s="429"/>
    </row>
    <row r="50" spans="1:13" ht="17.45" customHeight="1">
      <c r="A50" s="782" t="s">
        <v>20</v>
      </c>
      <c r="B50" s="783"/>
      <c r="C50" s="167">
        <f>SUMIF($G$7:$G$31,"Steam",$F$7:$F$31)</f>
        <v>0</v>
      </c>
      <c r="D50" s="121">
        <f>+C50+'22'!D50</f>
        <v>0</v>
      </c>
      <c r="E50" s="146">
        <f t="shared" si="10"/>
        <v>0</v>
      </c>
      <c r="F50" s="188"/>
      <c r="H50" s="191" t="s">
        <v>97</v>
      </c>
      <c r="I50" s="143">
        <f>I49/I38</f>
        <v>113.10611880961082</v>
      </c>
      <c r="J50" s="136">
        <f>J49/J38</f>
        <v>94.346509188049453</v>
      </c>
      <c r="K50" s="133" t="s">
        <v>96</v>
      </c>
      <c r="L50" s="428"/>
      <c r="M50" s="429"/>
    </row>
    <row r="51" spans="1:13" ht="17.45" customHeight="1" thickBot="1">
      <c r="A51" s="784" t="s">
        <v>98</v>
      </c>
      <c r="B51" s="785"/>
      <c r="C51" s="167">
        <f>SUMIF($G$7:$G$31,"Planned shut",$F$7:$F$31)</f>
        <v>0</v>
      </c>
      <c r="D51" s="121">
        <f>+C51+'22'!D51</f>
        <v>0</v>
      </c>
      <c r="E51" s="146">
        <f t="shared" si="10"/>
        <v>0</v>
      </c>
      <c r="F51" s="188"/>
      <c r="H51" s="193" t="s">
        <v>99</v>
      </c>
      <c r="I51" s="144">
        <f>I49/I40</f>
        <v>116.91276413527387</v>
      </c>
      <c r="J51" s="139">
        <f>J49/J40</f>
        <v>96.56789682074475</v>
      </c>
      <c r="K51" s="140" t="s">
        <v>96</v>
      </c>
      <c r="L51" s="428"/>
      <c r="M51" s="429"/>
    </row>
    <row r="52" spans="1:13" ht="13.5" thickBot="1">
      <c r="A52" s="786" t="s">
        <v>29</v>
      </c>
      <c r="B52" s="787"/>
      <c r="C52" s="147">
        <f>SUM(C38:C51)</f>
        <v>70</v>
      </c>
      <c r="D52" s="147">
        <f>SUM(D38:D51)</f>
        <v>2845</v>
      </c>
      <c r="E52" s="148">
        <f>SUM(E38:E51)</f>
        <v>47.416666666666664</v>
      </c>
      <c r="F52" s="188"/>
      <c r="H52" s="194"/>
      <c r="I52" s="195"/>
      <c r="J52" s="141"/>
      <c r="K52" s="142"/>
      <c r="L52" s="435"/>
      <c r="M52" s="436"/>
    </row>
    <row r="53" spans="1:13" ht="13.5" thickBot="1">
      <c r="A53" s="788"/>
      <c r="B53" s="789"/>
      <c r="C53" s="149">
        <f>C52/(24*60)</f>
        <v>4.8611111111111112E-2</v>
      </c>
      <c r="D53" s="149">
        <f>D52/(24*60*G4)</f>
        <v>8.5899758454106287E-2</v>
      </c>
      <c r="E53" s="150">
        <f>E52/(G4*24)</f>
        <v>8.5899758454106273E-2</v>
      </c>
      <c r="F53" s="188"/>
    </row>
    <row r="54" spans="1:13">
      <c r="E54" s="196"/>
      <c r="F54" s="188"/>
    </row>
    <row r="55" spans="1:13">
      <c r="E55" s="196"/>
    </row>
    <row r="56" spans="1:13">
      <c r="A56" s="197" t="s">
        <v>100</v>
      </c>
      <c r="B56" s="198"/>
      <c r="C56" s="199"/>
      <c r="D56" s="199"/>
      <c r="E56" s="199"/>
      <c r="F56" s="200"/>
      <c r="G56" s="199"/>
      <c r="H56" s="201"/>
      <c r="I56" s="202" t="s">
        <v>101</v>
      </c>
      <c r="J56" s="203">
        <f>+D34+'22'!J56</f>
        <v>2884</v>
      </c>
      <c r="K56" s="204">
        <f>J56/(J40+J56/1000)/1000</f>
        <v>2.7828033559604967E-3</v>
      </c>
    </row>
    <row r="57" spans="1:13">
      <c r="A57" s="179"/>
      <c r="I57" s="202" t="s">
        <v>102</v>
      </c>
      <c r="J57" s="203">
        <f>+E34+'22'!J57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1"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S61"/>
  <sheetViews>
    <sheetView zoomScale="80" zoomScaleNormal="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1.7109375" style="152" bestFit="1" customWidth="1"/>
    <col min="11" max="11" width="12.7109375" style="152" bestFit="1" customWidth="1"/>
    <col min="12" max="12" width="8.28515625" style="152" customWidth="1"/>
    <col min="13" max="13" width="14.425781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22</v>
      </c>
      <c r="H4" s="157" t="str">
        <f>+'1'!H4</f>
        <v>.03.26</v>
      </c>
      <c r="J4" s="152">
        <f>395.2+435.9+442.8</f>
        <v>1273.8999999999999</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413</v>
      </c>
      <c r="O6" s="152">
        <v>1200</v>
      </c>
      <c r="P6" s="152">
        <f>+O6-(O6*0.22)</f>
        <v>936</v>
      </c>
      <c r="Q6" s="152">
        <v>480</v>
      </c>
      <c r="R6" s="152">
        <f t="shared" ref="R6" si="0">+O6*Q6</f>
        <v>576000</v>
      </c>
      <c r="S6" s="152">
        <f t="shared" ref="S6" si="1">+P6*Q6</f>
        <v>449280</v>
      </c>
    </row>
    <row r="7" spans="1:19" ht="13.5" customHeight="1" thickBot="1">
      <c r="A7" s="793" t="s">
        <v>477</v>
      </c>
      <c r="B7" s="218" t="s">
        <v>433</v>
      </c>
      <c r="C7" s="219">
        <v>15570</v>
      </c>
      <c r="D7" s="220"/>
      <c r="E7" s="221"/>
      <c r="F7" s="231">
        <v>9</v>
      </c>
      <c r="G7" s="232" t="s">
        <v>13</v>
      </c>
      <c r="H7" s="233" t="s">
        <v>488</v>
      </c>
      <c r="I7" s="796" t="s">
        <v>651</v>
      </c>
      <c r="J7" s="217" t="str">
        <f>+'21'!J7</f>
        <v>T 14 RC HW</v>
      </c>
      <c r="K7" s="241">
        <f>+C7+C16</f>
        <v>25290</v>
      </c>
      <c r="L7" s="245"/>
      <c r="M7" s="120">
        <f>+K7+'21'!M7+L7</f>
        <v>240535</v>
      </c>
    </row>
    <row r="8" spans="1:19" ht="13.5" thickBot="1">
      <c r="A8" s="794"/>
      <c r="B8" s="218"/>
      <c r="C8" s="219"/>
      <c r="D8" s="220"/>
      <c r="E8" s="222"/>
      <c r="F8" s="234"/>
      <c r="G8" s="583" t="s">
        <v>13</v>
      </c>
      <c r="H8" s="233" t="s">
        <v>392</v>
      </c>
      <c r="I8" s="797"/>
      <c r="J8" s="217" t="str">
        <f>+'21'!J8</f>
        <v>T 15,5 RC HW</v>
      </c>
      <c r="K8" s="242"/>
      <c r="L8" s="242"/>
      <c r="M8" s="120">
        <f>+K8+'21'!M8+L8</f>
        <v>139937</v>
      </c>
    </row>
    <row r="9" spans="1:19" ht="13.5" thickBot="1">
      <c r="A9" s="794"/>
      <c r="B9" s="218"/>
      <c r="C9" s="219"/>
      <c r="D9" s="220"/>
      <c r="E9" s="223"/>
      <c r="F9" s="231">
        <f>23-9</f>
        <v>14</v>
      </c>
      <c r="G9" s="583" t="s">
        <v>13</v>
      </c>
      <c r="H9" s="236" t="s">
        <v>422</v>
      </c>
      <c r="I9" s="797"/>
      <c r="J9" s="217" t="str">
        <f>+'21'!J9</f>
        <v>T 13,5 RC HW</v>
      </c>
      <c r="K9" s="242"/>
      <c r="L9" s="242"/>
      <c r="M9" s="120">
        <f>+K9+'21'!M9+L9</f>
        <v>31497</v>
      </c>
    </row>
    <row r="10" spans="1:19" ht="13.5" thickBot="1">
      <c r="A10" s="794"/>
      <c r="B10" s="218"/>
      <c r="C10" s="219"/>
      <c r="D10" s="220"/>
      <c r="E10" s="222"/>
      <c r="F10" s="231"/>
      <c r="G10" s="240" t="s">
        <v>14</v>
      </c>
      <c r="H10" s="236" t="s">
        <v>638</v>
      </c>
      <c r="I10" s="797"/>
      <c r="J10" s="217" t="str">
        <f>+'21'!J10</f>
        <v>T 20 RC HW</v>
      </c>
      <c r="K10" s="242"/>
      <c r="L10" s="242"/>
      <c r="M10" s="120">
        <f>+K10+'21'!M10+L10</f>
        <v>35769</v>
      </c>
    </row>
    <row r="11" spans="1:19" ht="13.5" thickBot="1">
      <c r="A11" s="794"/>
      <c r="B11" s="218"/>
      <c r="C11" s="219"/>
      <c r="D11" s="220"/>
      <c r="E11" s="222"/>
      <c r="F11" s="231"/>
      <c r="G11" s="235"/>
      <c r="H11" s="236" t="s">
        <v>639</v>
      </c>
      <c r="I11" s="797"/>
      <c r="J11" s="217" t="str">
        <f>+'21'!J11</f>
        <v>T 17 RC HW</v>
      </c>
      <c r="K11" s="242"/>
      <c r="L11" s="242"/>
      <c r="M11" s="120">
        <f>+K11+'21'!M11+L11</f>
        <v>18517</v>
      </c>
    </row>
    <row r="12" spans="1:19" ht="13.5" thickBot="1">
      <c r="A12" s="794"/>
      <c r="B12" s="218"/>
      <c r="C12" s="219"/>
      <c r="D12" s="220"/>
      <c r="E12" s="222"/>
      <c r="F12" s="231"/>
      <c r="G12" s="235"/>
      <c r="H12" s="236"/>
      <c r="I12" s="797"/>
      <c r="J12" s="217" t="str">
        <f>+'21'!J12</f>
        <v>T 16 RC HW</v>
      </c>
      <c r="K12" s="242"/>
      <c r="L12" s="242"/>
      <c r="M12" s="120">
        <f>+K12+'21'!M12+L12</f>
        <v>38417</v>
      </c>
    </row>
    <row r="13" spans="1:19" ht="13.5" thickBot="1">
      <c r="A13" s="794"/>
      <c r="B13" s="218"/>
      <c r="C13" s="219"/>
      <c r="D13" s="219"/>
      <c r="E13" s="222"/>
      <c r="F13" s="231"/>
      <c r="G13" s="235"/>
      <c r="H13" s="236"/>
      <c r="I13" s="798"/>
      <c r="J13" s="217" t="str">
        <f>+'21'!J13</f>
        <v>N 15,5 RC HW</v>
      </c>
      <c r="K13" s="242"/>
      <c r="L13" s="242"/>
      <c r="M13" s="120">
        <f>+K13+'21'!M13+L13</f>
        <v>72746</v>
      </c>
      <c r="Q13" s="179">
        <f>SUM(Q6:Q12)</f>
        <v>480</v>
      </c>
      <c r="R13" s="179">
        <f>SUM(R6:R12)</f>
        <v>576000</v>
      </c>
      <c r="S13" s="179">
        <f>SUM(S6:S12)</f>
        <v>449280</v>
      </c>
    </row>
    <row r="14" spans="1:19" ht="13.5" thickBot="1">
      <c r="A14" s="795"/>
      <c r="B14" s="168" t="s">
        <v>3</v>
      </c>
      <c r="C14" s="102">
        <f>SUM(C7:C13)</f>
        <v>15570</v>
      </c>
      <c r="D14" s="114">
        <f>SUM(D7:D13)</f>
        <v>0</v>
      </c>
      <c r="E14" s="115">
        <f>SUM(E5:E13)</f>
        <v>0</v>
      </c>
      <c r="F14" s="105">
        <f>SUM(F6:F13)</f>
        <v>23</v>
      </c>
      <c r="G14" s="162"/>
      <c r="H14" s="169"/>
      <c r="I14" s="170"/>
      <c r="J14" s="217" t="str">
        <f>+'21'!J14</f>
        <v>TW 22 RC HW</v>
      </c>
      <c r="K14" s="242"/>
      <c r="L14" s="242"/>
      <c r="M14" s="120">
        <f>+K14+'21'!M14+L14</f>
        <v>387590</v>
      </c>
      <c r="Q14" s="152">
        <f>480-Q13</f>
        <v>0</v>
      </c>
      <c r="R14" s="179">
        <f>+R13/Q13</f>
        <v>1200</v>
      </c>
      <c r="S14" s="179">
        <f>+S13/Q13</f>
        <v>936</v>
      </c>
    </row>
    <row r="15" spans="1:19" ht="13.5" customHeight="1" thickBot="1">
      <c r="A15" s="793" t="s">
        <v>430</v>
      </c>
      <c r="B15" s="168"/>
      <c r="C15" s="116">
        <f>C14/($C$23+$D$23+$E$23)</f>
        <v>0.94260806393025787</v>
      </c>
      <c r="D15" s="117">
        <f>D14/($C$23+$D$23+$E$23)</f>
        <v>0</v>
      </c>
      <c r="E15" s="118">
        <f>E14/($C$23+$D$23+$E$23)</f>
        <v>0</v>
      </c>
      <c r="F15" s="231"/>
      <c r="G15" s="232" t="s">
        <v>13</v>
      </c>
      <c r="H15" s="233" t="s">
        <v>391</v>
      </c>
      <c r="I15" s="796" t="s">
        <v>651</v>
      </c>
      <c r="J15" s="217" t="s">
        <v>658</v>
      </c>
      <c r="K15" s="242">
        <f>+C17+C25</f>
        <v>22537</v>
      </c>
      <c r="L15" s="242"/>
      <c r="M15" s="120">
        <f>+K15+'21'!M15+L15</f>
        <v>22537</v>
      </c>
    </row>
    <row r="16" spans="1:19" ht="13.5" thickBot="1">
      <c r="A16" s="799"/>
      <c r="B16" s="218" t="s">
        <v>433</v>
      </c>
      <c r="C16" s="225">
        <v>9720</v>
      </c>
      <c r="D16" s="226"/>
      <c r="E16" s="227"/>
      <c r="F16" s="234">
        <v>2</v>
      </c>
      <c r="G16" s="583" t="s">
        <v>13</v>
      </c>
      <c r="H16" s="233" t="s">
        <v>487</v>
      </c>
      <c r="I16" s="797"/>
      <c r="J16" s="217">
        <f>+'21'!J16</f>
        <v>0</v>
      </c>
      <c r="K16" s="242"/>
      <c r="L16" s="232"/>
      <c r="M16" s="120">
        <f>+K16+'21'!M16+L16</f>
        <v>0</v>
      </c>
      <c r="N16" s="152" t="s">
        <v>413</v>
      </c>
      <c r="O16" s="152">
        <v>1200</v>
      </c>
      <c r="P16" s="152">
        <f>+O16-(O16*0.22)</f>
        <v>936</v>
      </c>
      <c r="Q16" s="152">
        <f>60*2+40</f>
        <v>160</v>
      </c>
      <c r="R16" s="152">
        <f t="shared" ref="R16:R17" si="2">+O16*Q16</f>
        <v>192000</v>
      </c>
      <c r="S16" s="152">
        <f t="shared" ref="S16:S17" si="3">+P16*Q16</f>
        <v>149760</v>
      </c>
    </row>
    <row r="17" spans="1:19" ht="13.5" thickBot="1">
      <c r="A17" s="799"/>
      <c r="B17" s="218" t="s">
        <v>658</v>
      </c>
      <c r="C17" s="219">
        <v>6798</v>
      </c>
      <c r="D17" s="220"/>
      <c r="E17" s="228"/>
      <c r="F17" s="231">
        <v>5</v>
      </c>
      <c r="G17" s="583" t="s">
        <v>13</v>
      </c>
      <c r="H17" s="236" t="s">
        <v>473</v>
      </c>
      <c r="I17" s="797"/>
      <c r="J17" s="217">
        <f>+'21'!J17</f>
        <v>0</v>
      </c>
      <c r="K17" s="242"/>
      <c r="L17" s="232"/>
      <c r="M17" s="120">
        <f>+K17+'21'!M17+L17</f>
        <v>0</v>
      </c>
      <c r="N17" s="152" t="s">
        <v>652</v>
      </c>
      <c r="O17" s="152">
        <v>1200</v>
      </c>
      <c r="P17" s="152">
        <f>+O17-(O17*0.22)</f>
        <v>936</v>
      </c>
      <c r="Q17" s="152">
        <f>480-Q16</f>
        <v>320</v>
      </c>
      <c r="R17" s="152">
        <f t="shared" si="2"/>
        <v>384000</v>
      </c>
      <c r="S17" s="152">
        <f t="shared" si="3"/>
        <v>299520</v>
      </c>
    </row>
    <row r="18" spans="1:19" ht="26.25" thickBot="1">
      <c r="A18" s="799"/>
      <c r="B18" s="218"/>
      <c r="C18" s="219"/>
      <c r="D18" s="220"/>
      <c r="E18" s="228"/>
      <c r="F18" s="231">
        <v>5</v>
      </c>
      <c r="G18" s="240" t="s">
        <v>14</v>
      </c>
      <c r="H18" s="236" t="s">
        <v>642</v>
      </c>
      <c r="I18" s="797"/>
      <c r="J18" s="217">
        <f>+'21'!J18</f>
        <v>0</v>
      </c>
      <c r="K18" s="242"/>
      <c r="L18" s="242"/>
      <c r="M18" s="120">
        <f>+K18+'21'!M18+L18</f>
        <v>0</v>
      </c>
    </row>
    <row r="19" spans="1:19" ht="13.5" thickBot="1">
      <c r="A19" s="799"/>
      <c r="B19" s="218"/>
      <c r="C19" s="219"/>
      <c r="D19" s="220"/>
      <c r="E19" s="228"/>
      <c r="F19" s="238"/>
      <c r="G19" s="235"/>
      <c r="H19" s="236" t="s">
        <v>649</v>
      </c>
      <c r="I19" s="797"/>
      <c r="J19" s="217">
        <f>+'21'!J19</f>
        <v>0</v>
      </c>
      <c r="K19" s="242"/>
      <c r="L19" s="242"/>
      <c r="M19" s="120">
        <f>+K19+'21'!M19+L19</f>
        <v>0</v>
      </c>
    </row>
    <row r="20" spans="1:19" ht="13.5" thickBot="1">
      <c r="A20" s="799"/>
      <c r="B20" s="218"/>
      <c r="C20" s="219"/>
      <c r="D20" s="220"/>
      <c r="E20" s="228"/>
      <c r="F20" s="231"/>
      <c r="G20" s="235"/>
      <c r="H20" s="236"/>
      <c r="I20" s="797"/>
      <c r="J20" s="217">
        <f>+'21'!J20</f>
        <v>0</v>
      </c>
      <c r="K20" s="242"/>
      <c r="L20" s="243"/>
      <c r="M20" s="120">
        <f>+K20+'21'!M20+L20</f>
        <v>0</v>
      </c>
    </row>
    <row r="21" spans="1:19" ht="13.5" thickBot="1">
      <c r="A21" s="799"/>
      <c r="B21" s="218"/>
      <c r="C21" s="219"/>
      <c r="D21" s="220"/>
      <c r="E21" s="228"/>
      <c r="F21" s="234"/>
      <c r="G21" s="235"/>
      <c r="H21" s="236"/>
      <c r="I21" s="797"/>
      <c r="J21" s="217">
        <f>+'21'!J21</f>
        <v>0</v>
      </c>
      <c r="K21" s="242"/>
      <c r="L21" s="242"/>
      <c r="M21" s="120">
        <f>+K21+'21'!M21+L21</f>
        <v>0</v>
      </c>
    </row>
    <row r="22" spans="1:19" ht="13.5" thickBot="1">
      <c r="A22" s="799"/>
      <c r="B22" s="218"/>
      <c r="C22" s="219"/>
      <c r="D22" s="220"/>
      <c r="E22" s="228"/>
      <c r="F22" s="239"/>
      <c r="G22" s="235"/>
      <c r="H22" s="236"/>
      <c r="I22" s="798"/>
      <c r="J22" s="217">
        <f>+'21'!J22</f>
        <v>0</v>
      </c>
      <c r="K22" s="242"/>
      <c r="L22" s="242"/>
      <c r="M22" s="120">
        <f>+K22+'21'!M22+L22</f>
        <v>0</v>
      </c>
    </row>
    <row r="23" spans="1:19" ht="13.5" thickBot="1">
      <c r="A23" s="800"/>
      <c r="B23" s="168" t="s">
        <v>3</v>
      </c>
      <c r="C23" s="103">
        <f>SUM(C16:C22)</f>
        <v>16518</v>
      </c>
      <c r="D23" s="114">
        <f>SUM(D16:D22)</f>
        <v>0</v>
      </c>
      <c r="E23" s="115">
        <f>SUM(E18:E22)</f>
        <v>0</v>
      </c>
      <c r="F23" s="105">
        <f>SUM(F15:F22)</f>
        <v>12</v>
      </c>
      <c r="G23" s="162"/>
      <c r="H23" s="169"/>
      <c r="I23" s="172"/>
      <c r="J23" s="217">
        <f>+'21'!J23</f>
        <v>0</v>
      </c>
      <c r="K23" s="242"/>
      <c r="L23" s="242"/>
      <c r="M23" s="120">
        <f>+K23+'21'!M23+L23</f>
        <v>0</v>
      </c>
      <c r="Q23" s="179">
        <f>SUM(Q16:Q22)</f>
        <v>480</v>
      </c>
      <c r="R23" s="179">
        <f>SUM(R16:R22)</f>
        <v>576000</v>
      </c>
      <c r="S23" s="179">
        <f>SUM(S16:S22)</f>
        <v>449280</v>
      </c>
    </row>
    <row r="24" spans="1:19" ht="13.5" customHeight="1" thickBot="1">
      <c r="A24" s="793" t="s">
        <v>432</v>
      </c>
      <c r="B24" s="173"/>
      <c r="C24" s="116">
        <f>C23/($C$23+$D$23+$E$23)</f>
        <v>1</v>
      </c>
      <c r="D24" s="117">
        <f>D23/($C$23+$D$23+$E$23)</f>
        <v>0</v>
      </c>
      <c r="E24" s="118">
        <f>E23/($C$23+$D$23+$E$23)</f>
        <v>0</v>
      </c>
      <c r="F24" s="231"/>
      <c r="G24" s="232" t="s">
        <v>13</v>
      </c>
      <c r="H24" s="233" t="s">
        <v>391</v>
      </c>
      <c r="I24" s="796" t="s">
        <v>651</v>
      </c>
      <c r="J24" s="217">
        <f>+'21'!J24</f>
        <v>0</v>
      </c>
      <c r="K24" s="242"/>
      <c r="L24" s="242"/>
      <c r="M24" s="120">
        <f>+K24+'21'!M24+L24</f>
        <v>0</v>
      </c>
      <c r="Q24" s="152">
        <f>480-Q23</f>
        <v>0</v>
      </c>
      <c r="R24" s="179">
        <f>+R23/Q23</f>
        <v>1200</v>
      </c>
      <c r="S24" s="179">
        <f>+S23/Q23</f>
        <v>936</v>
      </c>
    </row>
    <row r="25" spans="1:19" ht="13.5" customHeight="1" thickBot="1">
      <c r="A25" s="799"/>
      <c r="B25" s="218" t="s">
        <v>658</v>
      </c>
      <c r="C25" s="229">
        <v>15739</v>
      </c>
      <c r="D25" s="220"/>
      <c r="E25" s="228"/>
      <c r="F25" s="234">
        <v>8</v>
      </c>
      <c r="G25" s="583" t="s">
        <v>13</v>
      </c>
      <c r="H25" s="233" t="s">
        <v>474</v>
      </c>
      <c r="I25" s="797"/>
      <c r="J25" s="217">
        <f>+'21'!J25</f>
        <v>0</v>
      </c>
      <c r="K25" s="242"/>
      <c r="L25" s="242"/>
      <c r="M25" s="120">
        <f>+K25+'21'!M25+L25</f>
        <v>0</v>
      </c>
    </row>
    <row r="26" spans="1:19" ht="13.5" customHeight="1" thickBot="1">
      <c r="A26" s="799"/>
      <c r="B26" s="218"/>
      <c r="C26" s="229"/>
      <c r="D26" s="220"/>
      <c r="E26" s="230"/>
      <c r="F26" s="231">
        <v>10</v>
      </c>
      <c r="G26" s="583" t="s">
        <v>13</v>
      </c>
      <c r="H26" s="236" t="s">
        <v>456</v>
      </c>
      <c r="I26" s="797"/>
      <c r="J26" s="217">
        <f>+'21'!J26</f>
        <v>0</v>
      </c>
      <c r="K26" s="242"/>
      <c r="L26" s="242"/>
      <c r="M26" s="120">
        <f>+K26+'21'!M26+L26</f>
        <v>0</v>
      </c>
      <c r="N26" s="152" t="s">
        <v>652</v>
      </c>
      <c r="O26" s="152">
        <v>1200</v>
      </c>
      <c r="P26" s="152">
        <f>+O26-(O26*0.22)</f>
        <v>936</v>
      </c>
      <c r="Q26" s="152">
        <f>480-Q25</f>
        <v>480</v>
      </c>
      <c r="R26" s="152">
        <f t="shared" ref="R26:R27" si="4">+O26*Q26</f>
        <v>576000</v>
      </c>
      <c r="S26" s="152">
        <f t="shared" ref="S26:S27" si="5">+P26*Q26</f>
        <v>449280</v>
      </c>
    </row>
    <row r="27" spans="1:19" ht="26.25" thickBot="1">
      <c r="A27" s="799"/>
      <c r="B27" s="218"/>
      <c r="C27" s="219"/>
      <c r="D27" s="220"/>
      <c r="E27" s="228"/>
      <c r="F27" s="231"/>
      <c r="G27" s="240" t="s">
        <v>14</v>
      </c>
      <c r="H27" s="236" t="s">
        <v>647</v>
      </c>
      <c r="I27" s="797"/>
      <c r="J27" s="217">
        <f>+'21'!J27</f>
        <v>0</v>
      </c>
      <c r="K27" s="242"/>
      <c r="L27" s="242"/>
      <c r="M27" s="120">
        <f>+K27+'21'!M27+L27</f>
        <v>0</v>
      </c>
      <c r="Q27" s="152">
        <f>480-Q26</f>
        <v>0</v>
      </c>
      <c r="R27" s="152">
        <f t="shared" si="4"/>
        <v>0</v>
      </c>
      <c r="S27" s="152">
        <f t="shared" si="5"/>
        <v>0</v>
      </c>
    </row>
    <row r="28" spans="1:19" ht="13.5" customHeight="1" thickBot="1">
      <c r="A28" s="799"/>
      <c r="B28" s="218"/>
      <c r="C28" s="219"/>
      <c r="D28" s="220"/>
      <c r="E28" s="228"/>
      <c r="F28" s="234"/>
      <c r="G28" s="235"/>
      <c r="H28" s="236" t="s">
        <v>648</v>
      </c>
      <c r="I28" s="797"/>
      <c r="J28" s="217">
        <f>+'21'!J28</f>
        <v>0</v>
      </c>
      <c r="K28" s="242"/>
      <c r="L28" s="242"/>
      <c r="M28" s="120">
        <f>+K28+'21'!M28+L28</f>
        <v>0</v>
      </c>
    </row>
    <row r="29" spans="1:19" ht="13.5" customHeight="1" thickBot="1">
      <c r="A29" s="799"/>
      <c r="B29" s="218"/>
      <c r="C29" s="219"/>
      <c r="D29" s="220"/>
      <c r="E29" s="228"/>
      <c r="F29" s="239"/>
      <c r="G29" s="235"/>
      <c r="H29" s="236"/>
      <c r="I29" s="797"/>
      <c r="J29" s="217">
        <f>+'21'!J29</f>
        <v>0</v>
      </c>
      <c r="K29" s="242"/>
      <c r="L29" s="242"/>
      <c r="M29" s="120">
        <f>+K29+'21'!M29+L29</f>
        <v>0</v>
      </c>
    </row>
    <row r="30" spans="1:19" ht="13.5" customHeight="1" thickBot="1">
      <c r="A30" s="799"/>
      <c r="B30" s="218"/>
      <c r="C30" s="229"/>
      <c r="D30" s="220"/>
      <c r="E30" s="228"/>
      <c r="F30" s="239"/>
      <c r="G30" s="235"/>
      <c r="H30" s="236"/>
      <c r="I30" s="797"/>
      <c r="J30" s="217">
        <f>+'21'!J30</f>
        <v>0</v>
      </c>
      <c r="K30" s="242"/>
      <c r="L30" s="242"/>
      <c r="M30" s="120">
        <f>+K30+'21'!M30+L30</f>
        <v>0</v>
      </c>
    </row>
    <row r="31" spans="1:19" ht="13.5" customHeight="1" thickBot="1">
      <c r="A31" s="799"/>
      <c r="B31" s="218"/>
      <c r="C31" s="229"/>
      <c r="D31" s="220"/>
      <c r="E31" s="228"/>
      <c r="F31" s="239"/>
      <c r="G31" s="240"/>
      <c r="H31" s="237"/>
      <c r="I31" s="798"/>
      <c r="J31" s="217">
        <f>+'21'!J31</f>
        <v>0</v>
      </c>
      <c r="K31" s="242"/>
      <c r="L31" s="242"/>
      <c r="M31" s="120">
        <f>+K31+'21'!M31+L31</f>
        <v>0</v>
      </c>
    </row>
    <row r="32" spans="1:19" ht="13.5" customHeight="1" thickBot="1">
      <c r="A32" s="800"/>
      <c r="B32" s="168" t="s">
        <v>3</v>
      </c>
      <c r="C32" s="102">
        <f>SUM(C25:C31)</f>
        <v>15739</v>
      </c>
      <c r="D32" s="103">
        <f>SUM(D25:D31)</f>
        <v>0</v>
      </c>
      <c r="E32" s="104">
        <f>SUM(E25:E31)</f>
        <v>0</v>
      </c>
      <c r="F32" s="105">
        <f>SUM(F24:F31)</f>
        <v>18</v>
      </c>
      <c r="G32" s="174"/>
      <c r="H32" s="175"/>
      <c r="I32" s="172"/>
      <c r="J32" s="217">
        <f>+'21'!J32</f>
        <v>0</v>
      </c>
      <c r="K32" s="244"/>
      <c r="L32" s="246"/>
      <c r="M32" s="120">
        <f>+K32+'21'!M32+L32</f>
        <v>0</v>
      </c>
    </row>
    <row r="33" spans="1:19" ht="13.5" thickBot="1">
      <c r="A33" s="176"/>
      <c r="B33" s="177"/>
      <c r="C33" s="106">
        <f>C32/($C$32+$D$32+$E$32)</f>
        <v>1</v>
      </c>
      <c r="D33" s="107">
        <f>D32/($C$32+$D$32+$E$32)</f>
        <v>0</v>
      </c>
      <c r="E33" s="108">
        <f>E32/($C$32+$D$32+$E$32)</f>
        <v>0</v>
      </c>
      <c r="F33" s="109"/>
      <c r="G33" s="178"/>
      <c r="H33" s="179"/>
      <c r="I33" s="180"/>
      <c r="J33" s="124"/>
      <c r="K33" s="125"/>
      <c r="L33" s="216"/>
      <c r="M33" s="122"/>
      <c r="Q33" s="179">
        <f>SUM(Q26:Q32)</f>
        <v>480</v>
      </c>
      <c r="R33" s="179">
        <f>SUM(R26:R32)</f>
        <v>576000</v>
      </c>
      <c r="S33" s="179">
        <f>SUM(S26:S32)</f>
        <v>449280</v>
      </c>
    </row>
    <row r="34" spans="1:19" ht="13.5" thickBot="1">
      <c r="A34" s="801" t="s">
        <v>70</v>
      </c>
      <c r="B34" s="802"/>
      <c r="C34" s="110">
        <f>C14+C23+C32</f>
        <v>47827</v>
      </c>
      <c r="D34" s="110">
        <f>D14+D23+D32</f>
        <v>0</v>
      </c>
      <c r="E34" s="110">
        <f>E14+E23+E32</f>
        <v>0</v>
      </c>
      <c r="F34" s="111">
        <f>F14+F23+F32</f>
        <v>53</v>
      </c>
      <c r="H34" s="181"/>
      <c r="I34" s="181"/>
      <c r="J34" s="126" t="s">
        <v>29</v>
      </c>
      <c r="K34" s="127">
        <f>SUM(K7:K32)</f>
        <v>47827</v>
      </c>
      <c r="L34" s="215">
        <f>SUM(L7:L32)</f>
        <v>0</v>
      </c>
      <c r="M34" s="123">
        <f>SUM(M7:M32)</f>
        <v>987545</v>
      </c>
      <c r="Q34" s="152">
        <f>480-Q33</f>
        <v>0</v>
      </c>
      <c r="R34" s="179">
        <f>+R33/Q33</f>
        <v>1200</v>
      </c>
      <c r="S34" s="179">
        <f>+S33/Q33</f>
        <v>936</v>
      </c>
    </row>
    <row r="35" spans="1:19" ht="13.5" thickBot="1">
      <c r="A35" s="182"/>
      <c r="B35" s="183"/>
      <c r="C35" s="107">
        <f>C34/($C$34+$D$34+$E$34)</f>
        <v>1</v>
      </c>
      <c r="D35" s="107">
        <f>D34/($C$34+$D$34+$E$34)</f>
        <v>0</v>
      </c>
      <c r="E35" s="112">
        <f>E34/($C$34+$D$34+$E$34)</f>
        <v>0</v>
      </c>
      <c r="K35" s="158"/>
      <c r="L35" s="792" t="s">
        <v>187</v>
      </c>
      <c r="M35" s="792"/>
    </row>
    <row r="36" spans="1:19" ht="13.5" thickBot="1">
      <c r="A36" s="181"/>
      <c r="B36" s="181"/>
      <c r="C36" s="158"/>
      <c r="D36" s="158"/>
      <c r="E36" s="158"/>
      <c r="G36" s="158"/>
      <c r="H36" s="184"/>
      <c r="I36" s="165" t="s">
        <v>41</v>
      </c>
      <c r="J36" s="165" t="s">
        <v>42</v>
      </c>
      <c r="K36" s="185"/>
      <c r="L36" s="165" t="s">
        <v>41</v>
      </c>
      <c r="M36" s="165" t="s">
        <v>42</v>
      </c>
      <c r="N36" s="152" t="s">
        <v>413</v>
      </c>
      <c r="O36" s="152">
        <v>1200</v>
      </c>
      <c r="P36" s="152">
        <v>936</v>
      </c>
      <c r="Q36" s="152">
        <f>480+160</f>
        <v>640</v>
      </c>
    </row>
    <row r="37" spans="1:19" ht="17.45" customHeight="1" thickBot="1">
      <c r="A37" s="790" t="s">
        <v>71</v>
      </c>
      <c r="B37" s="791"/>
      <c r="C37" s="165" t="s">
        <v>72</v>
      </c>
      <c r="D37" s="186" t="s">
        <v>73</v>
      </c>
      <c r="E37" s="187" t="s">
        <v>74</v>
      </c>
      <c r="F37" s="365"/>
      <c r="G37" s="367"/>
      <c r="H37" s="189" t="s">
        <v>75</v>
      </c>
      <c r="I37" s="247">
        <f>(14*640+14.5*800)/1440*G42*2.75*1440/1000000</f>
        <v>52.921439999999997</v>
      </c>
      <c r="J37" s="128">
        <f>+I37+'21'!J37</f>
        <v>1069.5504170883776</v>
      </c>
      <c r="K37" s="129" t="s">
        <v>76</v>
      </c>
      <c r="L37" s="426"/>
      <c r="M37" s="427"/>
      <c r="N37" s="152" t="s">
        <v>652</v>
      </c>
      <c r="O37" s="152">
        <v>1200</v>
      </c>
      <c r="P37" s="152">
        <v>936</v>
      </c>
      <c r="Q37" s="152">
        <f>320+480</f>
        <v>800</v>
      </c>
    </row>
    <row r="38" spans="1:19" ht="17.45" customHeight="1">
      <c r="A38" s="786" t="s">
        <v>13</v>
      </c>
      <c r="B38" s="787"/>
      <c r="C38" s="167">
        <f>SUMIF($G$7:$G$31,"Process",$F$7:$F$31)</f>
        <v>48</v>
      </c>
      <c r="D38" s="121">
        <f>+C38+'21'!D38</f>
        <v>1452</v>
      </c>
      <c r="E38" s="146">
        <f t="shared" ref="E38:E51" si="6">D38/60</f>
        <v>24.2</v>
      </c>
      <c r="F38" s="365">
        <v>1200</v>
      </c>
      <c r="G38" s="365">
        <v>936</v>
      </c>
      <c r="H38" s="190" t="s">
        <v>77</v>
      </c>
      <c r="I38" s="547">
        <f>15.286+7.588+10.248+16.021</f>
        <v>49.143000000000001</v>
      </c>
      <c r="J38" s="130">
        <f>+I38+'21'!J38</f>
        <v>1010.3323</v>
      </c>
      <c r="K38" s="131" t="s">
        <v>76</v>
      </c>
      <c r="L38" s="428"/>
      <c r="M38" s="429"/>
      <c r="Q38" s="152">
        <f>+Q36+Q37</f>
        <v>1440</v>
      </c>
    </row>
    <row r="39" spans="1:19" ht="17.45" customHeight="1">
      <c r="A39" s="782" t="s">
        <v>14</v>
      </c>
      <c r="B39" s="783"/>
      <c r="C39" s="167">
        <f>SUMIF($G$7:$G$31,"Cleaning",$F$7:$F$31)</f>
        <v>5</v>
      </c>
      <c r="D39" s="121">
        <f>+C39+'21'!D39</f>
        <v>199</v>
      </c>
      <c r="E39" s="146">
        <f t="shared" si="6"/>
        <v>3.3166666666666669</v>
      </c>
      <c r="F39" s="365">
        <v>1200</v>
      </c>
      <c r="G39" s="365">
        <v>936</v>
      </c>
      <c r="H39" s="190" t="s">
        <v>78</v>
      </c>
      <c r="I39" s="145"/>
      <c r="J39" s="132">
        <f>J37/G4</f>
        <v>48.615928049471705</v>
      </c>
      <c r="K39" s="133" t="s">
        <v>76</v>
      </c>
      <c r="L39" s="428"/>
      <c r="M39" s="429"/>
    </row>
    <row r="40" spans="1:19" ht="17.45" customHeight="1">
      <c r="A40" s="782" t="s">
        <v>79</v>
      </c>
      <c r="B40" s="783"/>
      <c r="C40" s="167">
        <f>SUMIF($G$7:$G$31,"Mechanical",$F$7:$F$31)</f>
        <v>0</v>
      </c>
      <c r="D40" s="121">
        <f>+C40+'21'!D40</f>
        <v>120</v>
      </c>
      <c r="E40" s="146">
        <f t="shared" si="6"/>
        <v>2</v>
      </c>
      <c r="F40" s="365">
        <v>1200</v>
      </c>
      <c r="G40" s="365">
        <v>936</v>
      </c>
      <c r="H40" s="190" t="s">
        <v>80</v>
      </c>
      <c r="I40" s="121">
        <f>(K34+L34)/1000</f>
        <v>47.826999999999998</v>
      </c>
      <c r="J40" s="134">
        <f>+I40+'21'!J40</f>
        <v>987.54500000000007</v>
      </c>
      <c r="K40" s="133" t="s">
        <v>76</v>
      </c>
      <c r="L40" s="428"/>
      <c r="M40" s="429"/>
    </row>
    <row r="41" spans="1:19" ht="17.45" customHeight="1">
      <c r="A41" s="782" t="s">
        <v>81</v>
      </c>
      <c r="B41" s="783"/>
      <c r="C41" s="167">
        <f>SUMIF($G$7:$G$31,"Electrical",$F$7:$F$31)</f>
        <v>0</v>
      </c>
      <c r="D41" s="121">
        <f>+C41+'21'!D41</f>
        <v>80</v>
      </c>
      <c r="E41" s="146">
        <f t="shared" si="6"/>
        <v>1.3333333333333333</v>
      </c>
      <c r="F41" s="365"/>
      <c r="G41" s="365"/>
      <c r="H41" s="190" t="s">
        <v>82</v>
      </c>
      <c r="I41" s="145"/>
      <c r="J41" s="132">
        <f>J40/G4</f>
        <v>44.888409090909093</v>
      </c>
      <c r="K41" s="133" t="s">
        <v>76</v>
      </c>
      <c r="L41" s="428"/>
      <c r="M41" s="429"/>
    </row>
    <row r="42" spans="1:19" ht="17.45" customHeight="1">
      <c r="A42" s="782" t="s">
        <v>17</v>
      </c>
      <c r="B42" s="783"/>
      <c r="C42" s="167">
        <f>SUMIF($G$7:$G$31,"Instrument",$F$7:$F$31)</f>
        <v>0</v>
      </c>
      <c r="D42" s="121">
        <f>+C42+'21'!D42</f>
        <v>0</v>
      </c>
      <c r="E42" s="146">
        <f t="shared" si="6"/>
        <v>0</v>
      </c>
      <c r="F42" s="365">
        <f>+(F38*480+F39*480+F40*480)/1440</f>
        <v>1200</v>
      </c>
      <c r="G42" s="365">
        <f>+(G38*480+G39*480+G40*480)/1440</f>
        <v>936</v>
      </c>
      <c r="H42" s="190" t="s">
        <v>83</v>
      </c>
      <c r="I42" s="249" t="s">
        <v>651</v>
      </c>
      <c r="J42" s="135"/>
      <c r="K42" s="133" t="s">
        <v>84</v>
      </c>
      <c r="L42" s="428"/>
      <c r="M42" s="429"/>
    </row>
    <row r="43" spans="1:19" ht="17.45" customHeight="1">
      <c r="A43" s="782" t="s">
        <v>202</v>
      </c>
      <c r="B43" s="783"/>
      <c r="C43" s="167">
        <f>SUMIF($G$7:$G$31,"Change Grade",$F$7:$F$31)</f>
        <v>0</v>
      </c>
      <c r="D43" s="121">
        <f>+C43+'21'!D43</f>
        <v>0</v>
      </c>
      <c r="E43" s="146">
        <f t="shared" si="6"/>
        <v>0</v>
      </c>
      <c r="F43" s="365"/>
      <c r="G43" s="366"/>
      <c r="H43" s="191" t="s">
        <v>86</v>
      </c>
      <c r="I43" s="121">
        <f>+Report1!AH30</f>
        <v>69</v>
      </c>
      <c r="J43" s="136">
        <f>+I43+'21'!J43</f>
        <v>1412.7000000000003</v>
      </c>
      <c r="K43" s="133" t="s">
        <v>76</v>
      </c>
      <c r="L43" s="430">
        <f>+Report1!AN30</f>
        <v>0</v>
      </c>
      <c r="M43" s="431">
        <f>+L43+'21'!M43</f>
        <v>0</v>
      </c>
    </row>
    <row r="44" spans="1:19" ht="17.45" customHeight="1">
      <c r="A44" s="782" t="s">
        <v>18</v>
      </c>
      <c r="B44" s="783"/>
      <c r="C44" s="167">
        <f>SUMIF($G$7:$G$31,"PLN",$F$7:$F$31)</f>
        <v>0</v>
      </c>
      <c r="D44" s="121">
        <f>+C44+'21'!D44</f>
        <v>0</v>
      </c>
      <c r="E44" s="146">
        <f t="shared" si="6"/>
        <v>0</v>
      </c>
      <c r="F44" s="365"/>
      <c r="G44" s="366"/>
      <c r="H44" s="191" t="s">
        <v>87</v>
      </c>
      <c r="I44" s="121">
        <f>I43/I38</f>
        <v>1.4040656858555645</v>
      </c>
      <c r="J44" s="137">
        <f>J43/J38</f>
        <v>1.3982528322612275</v>
      </c>
      <c r="K44" s="133" t="s">
        <v>76</v>
      </c>
      <c r="L44" s="432">
        <f>+L43/I38</f>
        <v>0</v>
      </c>
      <c r="M44" s="433">
        <f>+M43/J38</f>
        <v>0</v>
      </c>
    </row>
    <row r="45" spans="1:19" ht="17.45" customHeight="1">
      <c r="A45" s="782" t="s">
        <v>19</v>
      </c>
      <c r="B45" s="783"/>
      <c r="C45" s="167">
        <f>SUMIF($G$7:$G$31,"Boiler",$F$7:$F$31)</f>
        <v>0</v>
      </c>
      <c r="D45" s="121">
        <f>+C45+'21'!D45</f>
        <v>0</v>
      </c>
      <c r="E45" s="146">
        <f t="shared" si="6"/>
        <v>0</v>
      </c>
      <c r="F45" s="365"/>
      <c r="G45" s="368"/>
      <c r="H45" s="191" t="s">
        <v>88</v>
      </c>
      <c r="I45" s="121">
        <f>I43/I40</f>
        <v>1.4426997302778766</v>
      </c>
      <c r="J45" s="137">
        <f>J43/J40</f>
        <v>1.4305170903604394</v>
      </c>
      <c r="K45" s="133" t="s">
        <v>76</v>
      </c>
      <c r="L45" s="432">
        <f>+L43/I40</f>
        <v>0</v>
      </c>
      <c r="M45" s="433">
        <f>+M43/J40</f>
        <v>0</v>
      </c>
    </row>
    <row r="46" spans="1:19" ht="17.45" customHeight="1">
      <c r="A46" s="782" t="s">
        <v>89</v>
      </c>
      <c r="B46" s="783"/>
      <c r="C46" s="167">
        <f>SUMIF($G$7:$G$31,"Gas",$F$7:$F$31)</f>
        <v>0</v>
      </c>
      <c r="D46" s="121">
        <f>+C46+'21'!D46</f>
        <v>0</v>
      </c>
      <c r="E46" s="146">
        <f t="shared" si="6"/>
        <v>0</v>
      </c>
      <c r="F46" s="365"/>
      <c r="G46" s="366"/>
      <c r="H46" s="191" t="s">
        <v>90</v>
      </c>
      <c r="I46" s="143">
        <f>+SUMIF(Listrik!P29,"&gt;0")</f>
        <v>42520.299999999967</v>
      </c>
      <c r="J46" s="138">
        <f>+I46+'21'!J46</f>
        <v>839922.99999999988</v>
      </c>
      <c r="K46" s="133" t="s">
        <v>91</v>
      </c>
      <c r="L46" s="432">
        <f>+Listrik!AF29</f>
        <v>0</v>
      </c>
      <c r="M46" s="434">
        <f>+L46+'21'!M46</f>
        <v>0</v>
      </c>
    </row>
    <row r="47" spans="1:19" ht="17.45" customHeight="1">
      <c r="A47" s="782" t="s">
        <v>92</v>
      </c>
      <c r="B47" s="783"/>
      <c r="C47" s="167">
        <f>SUMIF($G$7:$G$31,"Gas",$F$7:$F$31)</f>
        <v>0</v>
      </c>
      <c r="D47" s="121">
        <f>+C47+'21'!D47</f>
        <v>0</v>
      </c>
      <c r="E47" s="146">
        <f t="shared" si="6"/>
        <v>0</v>
      </c>
      <c r="F47" s="365"/>
      <c r="G47" s="366"/>
      <c r="H47" s="191" t="s">
        <v>93</v>
      </c>
      <c r="I47" s="121">
        <f>I46/I38</f>
        <v>865.23614756933773</v>
      </c>
      <c r="J47" s="138">
        <f>J46/J38</f>
        <v>831.33341376891531</v>
      </c>
      <c r="K47" s="133" t="s">
        <v>25</v>
      </c>
      <c r="L47" s="432">
        <f>+L46/I38</f>
        <v>0</v>
      </c>
      <c r="M47" s="433">
        <f>+M46/J38</f>
        <v>0</v>
      </c>
    </row>
    <row r="48" spans="1:19" ht="17.45" customHeight="1">
      <c r="A48" s="782" t="s">
        <v>15</v>
      </c>
      <c r="B48" s="783"/>
      <c r="C48" s="167">
        <f>SUMIF($G$7:$G$31,"Start Up",$F$7:$F$31)</f>
        <v>0</v>
      </c>
      <c r="D48" s="121">
        <f>+C48+'21'!D48</f>
        <v>0</v>
      </c>
      <c r="E48" s="146">
        <f t="shared" si="6"/>
        <v>0</v>
      </c>
      <c r="F48" s="365"/>
      <c r="G48" s="366"/>
      <c r="H48" s="191" t="s">
        <v>94</v>
      </c>
      <c r="I48" s="121">
        <f>I46/I40</f>
        <v>889.04384552658473</v>
      </c>
      <c r="J48" s="138">
        <f>J46/J40</f>
        <v>850.51617900956398</v>
      </c>
      <c r="K48" s="133" t="s">
        <v>25</v>
      </c>
      <c r="L48" s="432">
        <f>+L46/I38</f>
        <v>0</v>
      </c>
      <c r="M48" s="433">
        <f>+M46/J40</f>
        <v>0</v>
      </c>
    </row>
    <row r="49" spans="1:13" ht="17.45" customHeight="1">
      <c r="A49" s="782" t="s">
        <v>21</v>
      </c>
      <c r="B49" s="783"/>
      <c r="C49" s="167">
        <f>SUMIF($G$7:$G$31,"Others",$F$7:$F$31)</f>
        <v>0</v>
      </c>
      <c r="D49" s="121">
        <f>+C49+'21'!D49</f>
        <v>924</v>
      </c>
      <c r="E49" s="146">
        <f t="shared" si="6"/>
        <v>15.4</v>
      </c>
      <c r="F49" s="188"/>
      <c r="H49" s="191" t="s">
        <v>95</v>
      </c>
      <c r="I49" s="121">
        <f>+Report1!AB30</f>
        <v>5694.4038701290392</v>
      </c>
      <c r="J49" s="138">
        <f>+I49+'21'!J49</f>
        <v>94430.581840882165</v>
      </c>
      <c r="K49" s="133" t="s">
        <v>96</v>
      </c>
      <c r="L49" s="428"/>
      <c r="M49" s="429"/>
    </row>
    <row r="50" spans="1:13" ht="17.45" customHeight="1">
      <c r="A50" s="782" t="s">
        <v>20</v>
      </c>
      <c r="B50" s="783"/>
      <c r="C50" s="167">
        <f>SUMIF($G$7:$G$31,"Steam",$F$7:$F$31)</f>
        <v>0</v>
      </c>
      <c r="D50" s="121">
        <f>+C50+'21'!D50</f>
        <v>0</v>
      </c>
      <c r="E50" s="146">
        <f t="shared" si="6"/>
        <v>0</v>
      </c>
      <c r="F50" s="188"/>
      <c r="H50" s="191" t="s">
        <v>97</v>
      </c>
      <c r="I50" s="143">
        <f>I49/I38</f>
        <v>115.87416051378709</v>
      </c>
      <c r="J50" s="136">
        <f>J49/J38</f>
        <v>93.46487471585553</v>
      </c>
      <c r="K50" s="133" t="s">
        <v>96</v>
      </c>
      <c r="L50" s="428"/>
      <c r="M50" s="429"/>
    </row>
    <row r="51" spans="1:13" ht="17.45" customHeight="1" thickBot="1">
      <c r="A51" s="784" t="s">
        <v>98</v>
      </c>
      <c r="B51" s="785"/>
      <c r="C51" s="167">
        <f>SUMIF($G$7:$G$31,"Planned shut",$F$7:$F$31)</f>
        <v>0</v>
      </c>
      <c r="D51" s="121">
        <f>+C51+'21'!D51</f>
        <v>0</v>
      </c>
      <c r="E51" s="146">
        <f t="shared" si="6"/>
        <v>0</v>
      </c>
      <c r="F51" s="188"/>
      <c r="H51" s="193" t="s">
        <v>99</v>
      </c>
      <c r="I51" s="144">
        <f>I49/I40</f>
        <v>119.0625351815719</v>
      </c>
      <c r="J51" s="139">
        <f>J49/J40</f>
        <v>95.62154822401223</v>
      </c>
      <c r="K51" s="140" t="s">
        <v>96</v>
      </c>
      <c r="L51" s="428"/>
      <c r="M51" s="429"/>
    </row>
    <row r="52" spans="1:13" ht="13.5" thickBot="1">
      <c r="A52" s="786" t="s">
        <v>29</v>
      </c>
      <c r="B52" s="787"/>
      <c r="C52" s="147">
        <f>SUM(C38:C51)</f>
        <v>53</v>
      </c>
      <c r="D52" s="147">
        <f>SUM(D38:D51)</f>
        <v>2775</v>
      </c>
      <c r="E52" s="148">
        <f>SUM(E38:E51)</f>
        <v>46.25</v>
      </c>
      <c r="F52" s="188"/>
      <c r="H52" s="194"/>
      <c r="I52" s="195"/>
      <c r="J52" s="141"/>
      <c r="K52" s="142"/>
      <c r="L52" s="435"/>
      <c r="M52" s="436"/>
    </row>
    <row r="53" spans="1:13" ht="13.5" thickBot="1">
      <c r="A53" s="788"/>
      <c r="B53" s="789"/>
      <c r="C53" s="149">
        <f>C52/(24*60)</f>
        <v>3.6805555555555557E-2</v>
      </c>
      <c r="D53" s="149">
        <f>D52/(24*60*G4)</f>
        <v>8.7594696969696975E-2</v>
      </c>
      <c r="E53" s="150">
        <f>E52/(G4*24)</f>
        <v>8.7594696969696975E-2</v>
      </c>
      <c r="F53" s="188"/>
    </row>
    <row r="54" spans="1:13">
      <c r="E54" s="196"/>
      <c r="F54" s="188"/>
    </row>
    <row r="55" spans="1:13">
      <c r="E55" s="196"/>
    </row>
    <row r="56" spans="1:13">
      <c r="A56" s="197" t="s">
        <v>100</v>
      </c>
      <c r="B56" s="198"/>
      <c r="C56" s="199"/>
      <c r="D56" s="199"/>
      <c r="E56" s="199"/>
      <c r="F56" s="200"/>
      <c r="G56" s="199"/>
      <c r="H56" s="201"/>
      <c r="I56" s="202" t="s">
        <v>101</v>
      </c>
      <c r="J56" s="203">
        <f>+D34+'21'!J56</f>
        <v>2884</v>
      </c>
      <c r="K56" s="204">
        <f>J56/(J40+J56/1000)/1000</f>
        <v>2.9118695030133407E-3</v>
      </c>
    </row>
    <row r="57" spans="1:13">
      <c r="A57" s="179"/>
      <c r="I57" s="202" t="s">
        <v>102</v>
      </c>
      <c r="J57" s="203">
        <f>+E34+'21'!J57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1" type="noConversion"/>
  <printOptions horizontalCentered="1"/>
  <pageMargins left="0.74791666666666667" right="0.74791666666666667" top="0.1388888888888889" bottom="0.39027777777777778" header="0" footer="0"/>
  <pageSetup paperSize="9" scale="62" firstPageNumber="4294963191" orientation="landscape"/>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S61"/>
  <sheetViews>
    <sheetView zoomScale="80" zoomScaleNormal="80" workbookViewId="0">
      <selection activeCell="H27" sqref="H27"/>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7109375" style="113" bestFit="1" customWidth="1"/>
    <col min="7" max="7" width="11.42578125" style="152" bestFit="1" customWidth="1"/>
    <col min="8" max="8" width="64.85546875" style="152" customWidth="1"/>
    <col min="9" max="9" width="14.7109375" style="152" bestFit="1" customWidth="1"/>
    <col min="10" max="10" width="17.7109375" style="152" customWidth="1"/>
    <col min="11" max="11" width="12.5703125" style="152" bestFit="1" customWidth="1"/>
    <col min="12" max="12" width="11" style="152" customWidth="1"/>
    <col min="13" max="13" width="14.710937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21</v>
      </c>
      <c r="H4" s="157" t="str">
        <f>+'1'!H4</f>
        <v>.03.26</v>
      </c>
      <c r="J4" s="152">
        <f>361.4+395.1+377.6</f>
        <v>1134.0999999999999</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413</v>
      </c>
      <c r="O6" s="152">
        <v>1150</v>
      </c>
      <c r="P6" s="152">
        <f>+O6-(O6*0.22)</f>
        <v>897</v>
      </c>
      <c r="Q6" s="152">
        <v>480</v>
      </c>
      <c r="R6" s="152">
        <f t="shared" ref="R6" si="0">+O6*Q6</f>
        <v>552000</v>
      </c>
      <c r="S6" s="152">
        <f t="shared" ref="S6" si="1">+P6*Q6</f>
        <v>430560</v>
      </c>
    </row>
    <row r="7" spans="1:19" ht="13.5" customHeight="1" thickBot="1">
      <c r="A7" s="793" t="s">
        <v>477</v>
      </c>
      <c r="B7" s="218" t="s">
        <v>433</v>
      </c>
      <c r="C7" s="219">
        <v>15257</v>
      </c>
      <c r="D7" s="220"/>
      <c r="E7" s="221"/>
      <c r="F7" s="231"/>
      <c r="G7" s="232" t="s">
        <v>13</v>
      </c>
      <c r="H7" s="233" t="s">
        <v>391</v>
      </c>
      <c r="I7" s="796" t="s">
        <v>632</v>
      </c>
      <c r="J7" s="370" t="str">
        <f>+'20'!J7</f>
        <v>T 14 RC HW</v>
      </c>
      <c r="K7" s="241">
        <f>+C34</f>
        <v>47493</v>
      </c>
      <c r="L7" s="245"/>
      <c r="M7" s="120">
        <f>+K7+'20'!M7+L7</f>
        <v>215245</v>
      </c>
      <c r="O7" s="152">
        <v>1200</v>
      </c>
      <c r="P7" s="152">
        <f t="shared" ref="P7:P8" si="2">+O7-(O7*0.22)</f>
        <v>936</v>
      </c>
      <c r="Q7" s="152">
        <v>480</v>
      </c>
      <c r="R7" s="152">
        <f t="shared" ref="R7:R8" si="3">+O7*Q7</f>
        <v>576000</v>
      </c>
      <c r="S7" s="152">
        <f t="shared" ref="S7:S8" si="4">+P7*Q7</f>
        <v>449280</v>
      </c>
    </row>
    <row r="8" spans="1:19" ht="13.5" thickBot="1">
      <c r="A8" s="794"/>
      <c r="B8" s="218"/>
      <c r="C8" s="219"/>
      <c r="D8" s="220"/>
      <c r="E8" s="222"/>
      <c r="F8" s="234">
        <v>5</v>
      </c>
      <c r="G8" s="583" t="s">
        <v>13</v>
      </c>
      <c r="H8" s="233" t="s">
        <v>474</v>
      </c>
      <c r="I8" s="797"/>
      <c r="J8" s="217" t="str">
        <f>+'20'!J8</f>
        <v>T 15,5 RC HW</v>
      </c>
      <c r="K8" s="242"/>
      <c r="L8" s="242"/>
      <c r="M8" s="120">
        <f>+K8+'20'!M8+L8</f>
        <v>139937</v>
      </c>
      <c r="O8" s="152">
        <v>1200</v>
      </c>
      <c r="P8" s="152">
        <f t="shared" si="2"/>
        <v>936</v>
      </c>
      <c r="Q8" s="152">
        <v>480</v>
      </c>
      <c r="R8" s="152">
        <f t="shared" si="3"/>
        <v>576000</v>
      </c>
      <c r="S8" s="152">
        <f t="shared" si="4"/>
        <v>449280</v>
      </c>
    </row>
    <row r="9" spans="1:19" ht="13.5" thickBot="1">
      <c r="A9" s="794"/>
      <c r="B9" s="218"/>
      <c r="C9" s="219"/>
      <c r="D9" s="220"/>
      <c r="E9" s="223"/>
      <c r="F9" s="231">
        <v>8</v>
      </c>
      <c r="G9" s="583" t="s">
        <v>13</v>
      </c>
      <c r="H9" s="236" t="s">
        <v>456</v>
      </c>
      <c r="I9" s="797"/>
      <c r="J9" s="217" t="str">
        <f>+'20'!J9</f>
        <v>T 13,5 RC HW</v>
      </c>
      <c r="K9" s="242"/>
      <c r="L9" s="242"/>
      <c r="M9" s="120">
        <f>+K9+'20'!M9+L9</f>
        <v>31497</v>
      </c>
    </row>
    <row r="10" spans="1:19" ht="13.5" thickBot="1">
      <c r="A10" s="794"/>
      <c r="B10" s="218"/>
      <c r="C10" s="219"/>
      <c r="D10" s="220"/>
      <c r="E10" s="222"/>
      <c r="F10" s="231">
        <v>8</v>
      </c>
      <c r="G10" s="240" t="s">
        <v>14</v>
      </c>
      <c r="H10" s="236" t="s">
        <v>626</v>
      </c>
      <c r="I10" s="797"/>
      <c r="J10" s="217" t="str">
        <f>+'20'!J10</f>
        <v>T 20 RC HW</v>
      </c>
      <c r="K10" s="242"/>
      <c r="L10" s="242"/>
      <c r="M10" s="120">
        <f>+K10+'20'!M10+L10</f>
        <v>35769</v>
      </c>
    </row>
    <row r="11" spans="1:19" ht="13.5" thickBot="1">
      <c r="A11" s="794"/>
      <c r="B11" s="218"/>
      <c r="C11" s="219"/>
      <c r="D11" s="220"/>
      <c r="E11" s="222"/>
      <c r="F11" s="231"/>
      <c r="G11" s="235"/>
      <c r="H11" s="236"/>
      <c r="I11" s="797"/>
      <c r="J11" s="217" t="str">
        <f>+'20'!J11</f>
        <v>T 17 RC HW</v>
      </c>
      <c r="K11" s="242"/>
      <c r="L11" s="242"/>
      <c r="M11" s="120">
        <f>+K11+'20'!M11+L11</f>
        <v>18517</v>
      </c>
    </row>
    <row r="12" spans="1:19" ht="13.5" thickBot="1">
      <c r="A12" s="794"/>
      <c r="B12" s="218"/>
      <c r="C12" s="219"/>
      <c r="D12" s="220"/>
      <c r="E12" s="222"/>
      <c r="F12" s="231"/>
      <c r="G12" s="235"/>
      <c r="H12" s="236"/>
      <c r="I12" s="797"/>
      <c r="J12" s="217" t="str">
        <f>+'20'!J12</f>
        <v>T 16 RC HW</v>
      </c>
      <c r="K12" s="242"/>
      <c r="L12" s="242"/>
      <c r="M12" s="120">
        <f>+K12+'20'!M12+L12</f>
        <v>38417</v>
      </c>
    </row>
    <row r="13" spans="1:19" ht="13.5" thickBot="1">
      <c r="A13" s="794"/>
      <c r="B13" s="218"/>
      <c r="C13" s="219"/>
      <c r="D13" s="219"/>
      <c r="E13" s="222"/>
      <c r="F13" s="231"/>
      <c r="G13" s="235"/>
      <c r="H13" s="236"/>
      <c r="I13" s="798"/>
      <c r="J13" s="217" t="str">
        <f>+'20'!J13</f>
        <v>N 15,5 RC HW</v>
      </c>
      <c r="K13" s="242"/>
      <c r="L13" s="242"/>
      <c r="M13" s="120">
        <f>+K13+'20'!M13+L13</f>
        <v>72746</v>
      </c>
      <c r="Q13" s="179">
        <f>SUM(Q6:Q12)</f>
        <v>1440</v>
      </c>
      <c r="R13" s="179">
        <f>SUM(R6:R12)</f>
        <v>1704000</v>
      </c>
      <c r="S13" s="179">
        <f>SUM(S6:S12)</f>
        <v>1329120</v>
      </c>
    </row>
    <row r="14" spans="1:19" ht="13.5" thickBot="1">
      <c r="A14" s="795"/>
      <c r="B14" s="168" t="s">
        <v>3</v>
      </c>
      <c r="C14" s="102">
        <f>SUM(C7:C13)</f>
        <v>15257</v>
      </c>
      <c r="D14" s="114">
        <f>SUM(D7:D13)</f>
        <v>0</v>
      </c>
      <c r="E14" s="115">
        <f>SUM(E5:E13)</f>
        <v>0</v>
      </c>
      <c r="F14" s="105">
        <f>SUM(F6:F13)</f>
        <v>21</v>
      </c>
      <c r="G14" s="162"/>
      <c r="H14" s="169"/>
      <c r="I14" s="170"/>
      <c r="J14" s="217" t="str">
        <f>+'20'!J14</f>
        <v>TW 22 RC HW</v>
      </c>
      <c r="K14" s="242"/>
      <c r="L14" s="242"/>
      <c r="M14" s="120">
        <f>+K14+'20'!M14+L14</f>
        <v>387590</v>
      </c>
      <c r="Q14" s="152">
        <f>480-Q13</f>
        <v>-960</v>
      </c>
      <c r="R14" s="179">
        <f>+R13/Q13</f>
        <v>1183.3333333333333</v>
      </c>
      <c r="S14" s="179">
        <f>+S13/Q13</f>
        <v>923</v>
      </c>
    </row>
    <row r="15" spans="1:19" ht="13.5" customHeight="1" thickBot="1">
      <c r="A15" s="793" t="s">
        <v>430</v>
      </c>
      <c r="B15" s="168"/>
      <c r="C15" s="116">
        <f>C14/($C$23+$D$23+$E$23)</f>
        <v>0.88662250116225017</v>
      </c>
      <c r="D15" s="117">
        <f>D14/($C$23+$D$23+$E$23)</f>
        <v>0</v>
      </c>
      <c r="E15" s="118">
        <f>E14/($C$23+$D$23+$E$23)</f>
        <v>0</v>
      </c>
      <c r="F15" s="231"/>
      <c r="G15" s="232" t="s">
        <v>13</v>
      </c>
      <c r="H15" s="233" t="s">
        <v>391</v>
      </c>
      <c r="I15" s="796" t="s">
        <v>651</v>
      </c>
      <c r="J15" s="217">
        <f>+'20'!J15</f>
        <v>0</v>
      </c>
      <c r="K15" s="242"/>
      <c r="L15" s="242"/>
      <c r="M15" s="120">
        <f>+K15+'20'!M15+L15</f>
        <v>0</v>
      </c>
    </row>
    <row r="16" spans="1:19" ht="13.5" thickBot="1">
      <c r="A16" s="799"/>
      <c r="B16" s="218" t="s">
        <v>433</v>
      </c>
      <c r="C16" s="225">
        <v>16858</v>
      </c>
      <c r="D16" s="226">
        <v>350</v>
      </c>
      <c r="E16" s="227"/>
      <c r="F16" s="234">
        <v>2</v>
      </c>
      <c r="G16" s="583" t="s">
        <v>13</v>
      </c>
      <c r="H16" s="233" t="s">
        <v>420</v>
      </c>
      <c r="I16" s="797"/>
      <c r="J16" s="217">
        <f>+'20'!J16</f>
        <v>0</v>
      </c>
      <c r="K16" s="242"/>
      <c r="L16" s="232"/>
      <c r="M16" s="120">
        <f>+K16+'20'!M16+L16</f>
        <v>0</v>
      </c>
    </row>
    <row r="17" spans="1:14" ht="13.5" thickBot="1">
      <c r="A17" s="799"/>
      <c r="B17" s="218"/>
      <c r="C17" s="219"/>
      <c r="D17" s="220"/>
      <c r="E17" s="228"/>
      <c r="F17" s="231">
        <v>5</v>
      </c>
      <c r="G17" s="583" t="s">
        <v>13</v>
      </c>
      <c r="H17" s="236" t="s">
        <v>421</v>
      </c>
      <c r="I17" s="797"/>
      <c r="J17" s="217">
        <f>+'20'!J17</f>
        <v>0</v>
      </c>
      <c r="K17" s="242"/>
      <c r="L17" s="232"/>
      <c r="M17" s="120">
        <f>+K17+'20'!M17+L17</f>
        <v>0</v>
      </c>
    </row>
    <row r="18" spans="1:14" ht="26.25" thickBot="1">
      <c r="A18" s="799"/>
      <c r="B18" s="218"/>
      <c r="C18" s="219"/>
      <c r="D18" s="220"/>
      <c r="E18" s="228"/>
      <c r="F18" s="231">
        <v>5</v>
      </c>
      <c r="G18" s="240" t="s">
        <v>14</v>
      </c>
      <c r="H18" s="236" t="s">
        <v>642</v>
      </c>
      <c r="I18" s="797"/>
      <c r="J18" s="217">
        <f>+'20'!J18</f>
        <v>0</v>
      </c>
      <c r="K18" s="242"/>
      <c r="L18" s="242"/>
      <c r="M18" s="120">
        <f>+K18+'20'!M18+L18</f>
        <v>0</v>
      </c>
    </row>
    <row r="19" spans="1:14" ht="13.5" thickBot="1">
      <c r="A19" s="799"/>
      <c r="B19" s="218"/>
      <c r="C19" s="219"/>
      <c r="D19" s="220"/>
      <c r="E19" s="228"/>
      <c r="F19" s="238"/>
      <c r="G19" s="235"/>
      <c r="H19" s="236"/>
      <c r="I19" s="797"/>
      <c r="J19" s="217">
        <f>+'20'!J19</f>
        <v>0</v>
      </c>
      <c r="K19" s="242"/>
      <c r="L19" s="242"/>
      <c r="M19" s="120">
        <f>+K19+'20'!M19+L19</f>
        <v>0</v>
      </c>
    </row>
    <row r="20" spans="1:14" ht="13.5" thickBot="1">
      <c r="A20" s="799"/>
      <c r="B20" s="218"/>
      <c r="C20" s="219"/>
      <c r="D20" s="220"/>
      <c r="E20" s="228"/>
      <c r="F20" s="231"/>
      <c r="G20" s="235"/>
      <c r="H20" s="236"/>
      <c r="I20" s="797"/>
      <c r="J20" s="217">
        <f>+'20'!J20</f>
        <v>0</v>
      </c>
      <c r="K20" s="242"/>
      <c r="L20" s="243"/>
      <c r="M20" s="120">
        <f>+K20+'20'!M20+L20</f>
        <v>0</v>
      </c>
    </row>
    <row r="21" spans="1:14" ht="13.5" thickBot="1">
      <c r="A21" s="799"/>
      <c r="B21" s="218"/>
      <c r="C21" s="219"/>
      <c r="D21" s="220"/>
      <c r="E21" s="228"/>
      <c r="F21" s="234"/>
      <c r="G21" s="235"/>
      <c r="H21" s="236"/>
      <c r="I21" s="797"/>
      <c r="J21" s="217">
        <f>+'20'!J21</f>
        <v>0</v>
      </c>
      <c r="K21" s="242"/>
      <c r="L21" s="242"/>
      <c r="M21" s="120">
        <f>+K21+'20'!M21+L21</f>
        <v>0</v>
      </c>
    </row>
    <row r="22" spans="1:14" ht="13.5" thickBot="1">
      <c r="A22" s="799"/>
      <c r="B22" s="218"/>
      <c r="C22" s="219"/>
      <c r="D22" s="220"/>
      <c r="E22" s="228"/>
      <c r="F22" s="239"/>
      <c r="G22" s="235"/>
      <c r="H22" s="236"/>
      <c r="I22" s="798"/>
      <c r="J22" s="217">
        <f>+'20'!J22</f>
        <v>0</v>
      </c>
      <c r="K22" s="242"/>
      <c r="L22" s="242"/>
      <c r="M22" s="120">
        <f>+K22+'20'!M22+L22</f>
        <v>0</v>
      </c>
    </row>
    <row r="23" spans="1:14" ht="13.5" thickBot="1">
      <c r="A23" s="800"/>
      <c r="B23" s="168" t="s">
        <v>3</v>
      </c>
      <c r="C23" s="103">
        <f>SUM(C16:C22)</f>
        <v>16858</v>
      </c>
      <c r="D23" s="114">
        <f>SUM(D16:D22)</f>
        <v>350</v>
      </c>
      <c r="E23" s="115">
        <f>SUM(E18:E22)</f>
        <v>0</v>
      </c>
      <c r="F23" s="105">
        <f>SUM(F15:F22)</f>
        <v>12</v>
      </c>
      <c r="G23" s="162"/>
      <c r="H23" s="169"/>
      <c r="I23" s="172"/>
      <c r="J23" s="217">
        <f>+'20'!J23</f>
        <v>0</v>
      </c>
      <c r="K23" s="242"/>
      <c r="L23" s="242"/>
      <c r="M23" s="120">
        <f>+K23+'20'!M23+L23</f>
        <v>0</v>
      </c>
    </row>
    <row r="24" spans="1:14" ht="13.5" customHeight="1" thickBot="1">
      <c r="A24" s="793" t="s">
        <v>432</v>
      </c>
      <c r="B24" s="173"/>
      <c r="C24" s="116">
        <f>C23/($C$23+$D$23+$E$23)</f>
        <v>0.97966062296606227</v>
      </c>
      <c r="D24" s="117">
        <f>D23/($C$23+$D$23+$E$23)</f>
        <v>2.0339377033937702E-2</v>
      </c>
      <c r="E24" s="118">
        <f>E23/($C$23+$D$23+$E$23)</f>
        <v>0</v>
      </c>
      <c r="F24" s="231"/>
      <c r="G24" s="232" t="s">
        <v>13</v>
      </c>
      <c r="H24" s="233" t="s">
        <v>391</v>
      </c>
      <c r="I24" s="796" t="s">
        <v>651</v>
      </c>
      <c r="J24" s="217">
        <f>+'20'!J24</f>
        <v>0</v>
      </c>
      <c r="K24" s="242"/>
      <c r="L24" s="242"/>
      <c r="M24" s="120">
        <f>+K24+'20'!M24+L24</f>
        <v>0</v>
      </c>
    </row>
    <row r="25" spans="1:14" ht="13.5" thickBot="1">
      <c r="A25" s="799"/>
      <c r="B25" s="218" t="s">
        <v>433</v>
      </c>
      <c r="C25" s="229">
        <v>15378</v>
      </c>
      <c r="D25" s="220">
        <v>354</v>
      </c>
      <c r="E25" s="228"/>
      <c r="F25" s="234">
        <v>8</v>
      </c>
      <c r="G25" s="583" t="s">
        <v>13</v>
      </c>
      <c r="H25" s="233" t="s">
        <v>474</v>
      </c>
      <c r="I25" s="797"/>
      <c r="J25" s="217">
        <f>+'20'!J25</f>
        <v>0</v>
      </c>
      <c r="K25" s="242"/>
      <c r="L25" s="242"/>
      <c r="M25" s="120">
        <f>+K25+'20'!M25+L25</f>
        <v>0</v>
      </c>
    </row>
    <row r="26" spans="1:14" ht="13.5" thickBot="1">
      <c r="A26" s="799"/>
      <c r="B26" s="218"/>
      <c r="C26" s="229"/>
      <c r="D26" s="220"/>
      <c r="E26" s="230"/>
      <c r="F26" s="231">
        <v>10</v>
      </c>
      <c r="G26" s="583" t="s">
        <v>13</v>
      </c>
      <c r="H26" s="236" t="s">
        <v>421</v>
      </c>
      <c r="I26" s="797"/>
      <c r="J26" s="217">
        <f>+'20'!J26</f>
        <v>0</v>
      </c>
      <c r="K26" s="242"/>
      <c r="L26" s="242"/>
      <c r="M26" s="120">
        <f>+K26+'20'!M26+L26</f>
        <v>0</v>
      </c>
    </row>
    <row r="27" spans="1:14" ht="26.25" thickBot="1">
      <c r="A27" s="799"/>
      <c r="B27" s="218"/>
      <c r="C27" s="219"/>
      <c r="D27" s="220"/>
      <c r="E27" s="228"/>
      <c r="F27" s="231"/>
      <c r="G27" s="240" t="s">
        <v>14</v>
      </c>
      <c r="H27" s="236" t="s">
        <v>640</v>
      </c>
      <c r="I27" s="797"/>
      <c r="J27" s="217">
        <f>+'20'!J27</f>
        <v>0</v>
      </c>
      <c r="K27" s="242"/>
      <c r="L27" s="242"/>
      <c r="M27" s="120">
        <f>+K27+'20'!M27+L27</f>
        <v>0</v>
      </c>
    </row>
    <row r="28" spans="1:14" ht="13.5" thickBot="1">
      <c r="A28" s="799"/>
      <c r="B28" s="218"/>
      <c r="C28" s="219"/>
      <c r="D28" s="220"/>
      <c r="E28" s="228"/>
      <c r="F28" s="234"/>
      <c r="G28" s="235"/>
      <c r="H28" s="236" t="s">
        <v>641</v>
      </c>
      <c r="I28" s="797"/>
      <c r="J28" s="217">
        <f>+'20'!J28</f>
        <v>0</v>
      </c>
      <c r="K28" s="242"/>
      <c r="L28" s="242"/>
      <c r="M28" s="120">
        <f>+K28+'20'!M28+L28</f>
        <v>0</v>
      </c>
    </row>
    <row r="29" spans="1:14" ht="13.5" thickBot="1">
      <c r="A29" s="799"/>
      <c r="B29" s="218"/>
      <c r="C29" s="219"/>
      <c r="D29" s="220"/>
      <c r="E29" s="228"/>
      <c r="F29" s="239"/>
      <c r="G29" s="235"/>
      <c r="H29" s="236"/>
      <c r="I29" s="797"/>
      <c r="J29" s="217">
        <f>+'20'!J29</f>
        <v>0</v>
      </c>
      <c r="K29" s="242"/>
      <c r="L29" s="242"/>
      <c r="M29" s="120">
        <f>+K29+'20'!M29+L29</f>
        <v>0</v>
      </c>
    </row>
    <row r="30" spans="1:14" ht="13.5" thickBot="1">
      <c r="A30" s="799"/>
      <c r="B30" s="218"/>
      <c r="C30" s="229"/>
      <c r="D30" s="220"/>
      <c r="E30" s="228"/>
      <c r="F30" s="239"/>
      <c r="G30" s="235"/>
      <c r="H30" s="236"/>
      <c r="I30" s="797"/>
      <c r="J30" s="217">
        <f>+'20'!J30</f>
        <v>0</v>
      </c>
      <c r="K30" s="242"/>
      <c r="L30" s="242"/>
      <c r="M30" s="120">
        <f>+K30+'20'!M30+L30</f>
        <v>0</v>
      </c>
      <c r="N30" s="158"/>
    </row>
    <row r="31" spans="1:14" ht="13.5" thickBot="1">
      <c r="A31" s="799"/>
      <c r="B31" s="218"/>
      <c r="C31" s="229"/>
      <c r="D31" s="220"/>
      <c r="E31" s="228"/>
      <c r="F31" s="239"/>
      <c r="G31" s="240"/>
      <c r="H31" s="237"/>
      <c r="I31" s="798"/>
      <c r="J31" s="217">
        <f>+'20'!J31</f>
        <v>0</v>
      </c>
      <c r="K31" s="242"/>
      <c r="L31" s="242"/>
      <c r="M31" s="120">
        <f>+K31+'20'!M31+L31</f>
        <v>0</v>
      </c>
    </row>
    <row r="32" spans="1:14" ht="13.5" thickBot="1">
      <c r="A32" s="800"/>
      <c r="B32" s="168" t="s">
        <v>3</v>
      </c>
      <c r="C32" s="102">
        <f>SUM(C25:C31)</f>
        <v>15378</v>
      </c>
      <c r="D32" s="103">
        <f>SUM(D25:D31)</f>
        <v>354</v>
      </c>
      <c r="E32" s="104">
        <f>SUM(E25:E31)</f>
        <v>0</v>
      </c>
      <c r="F32" s="105">
        <f>SUM(F24:F31)</f>
        <v>18</v>
      </c>
      <c r="G32" s="174"/>
      <c r="H32" s="175"/>
      <c r="I32" s="172"/>
      <c r="J32" s="217">
        <f>+'20'!J32</f>
        <v>0</v>
      </c>
      <c r="K32" s="244"/>
      <c r="L32" s="246"/>
      <c r="M32" s="120">
        <f>+K32+'20'!M32+L32</f>
        <v>0</v>
      </c>
    </row>
    <row r="33" spans="1:14" ht="13.5" thickBot="1">
      <c r="A33" s="176"/>
      <c r="B33" s="177"/>
      <c r="C33" s="106">
        <f>C32/($C$32+$D$32+$E$32)</f>
        <v>0.97749809305873381</v>
      </c>
      <c r="D33" s="107">
        <f>D32/($C$32+$D$32+$E$32)</f>
        <v>2.2501906941266209E-2</v>
      </c>
      <c r="E33" s="108">
        <f>E32/($C$32+$D$32+$E$32)</f>
        <v>0</v>
      </c>
      <c r="F33" s="109"/>
      <c r="G33" s="178"/>
      <c r="H33" s="179"/>
      <c r="I33" s="180"/>
      <c r="J33" s="124"/>
      <c r="K33" s="125"/>
      <c r="L33" s="216"/>
      <c r="M33" s="122"/>
    </row>
    <row r="34" spans="1:14" ht="13.5" thickBot="1">
      <c r="A34" s="801" t="s">
        <v>70</v>
      </c>
      <c r="B34" s="802"/>
      <c r="C34" s="110">
        <f>C14+C23+C32</f>
        <v>47493</v>
      </c>
      <c r="D34" s="110">
        <f>D14+D23+D32</f>
        <v>704</v>
      </c>
      <c r="E34" s="110">
        <f>E14+E23+E32</f>
        <v>0</v>
      </c>
      <c r="F34" s="111">
        <f>F14+F23+F32</f>
        <v>51</v>
      </c>
      <c r="H34" s="181"/>
      <c r="I34" s="181"/>
      <c r="J34" s="126" t="s">
        <v>29</v>
      </c>
      <c r="K34" s="127">
        <f>SUM(K7:K32)</f>
        <v>47493</v>
      </c>
      <c r="L34" s="215">
        <f>SUM(L7:L32)</f>
        <v>0</v>
      </c>
      <c r="M34" s="123">
        <f>SUM(M7:M32)</f>
        <v>939718</v>
      </c>
      <c r="N34" s="158"/>
    </row>
    <row r="35" spans="1:14" ht="13.5" thickBot="1">
      <c r="A35" s="182"/>
      <c r="B35" s="183"/>
      <c r="C35" s="107">
        <f>C34/($C$34+$D$34+$E$34)</f>
        <v>0.98539328173952734</v>
      </c>
      <c r="D35" s="107">
        <f>D34/($C$34+$D$34+$E$34)</f>
        <v>1.4606718260472643E-2</v>
      </c>
      <c r="E35" s="112">
        <f>E34/($C$34+$D$34+$E$34)</f>
        <v>0</v>
      </c>
      <c r="K35" s="158"/>
      <c r="L35" s="792" t="s">
        <v>187</v>
      </c>
      <c r="M35" s="792"/>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90" t="s">
        <v>71</v>
      </c>
      <c r="B37" s="791"/>
      <c r="C37" s="165" t="s">
        <v>72</v>
      </c>
      <c r="D37" s="186" t="s">
        <v>73</v>
      </c>
      <c r="E37" s="187" t="s">
        <v>74</v>
      </c>
      <c r="F37" s="365"/>
      <c r="G37" s="367"/>
      <c r="H37" s="189" t="s">
        <v>75</v>
      </c>
      <c r="I37" s="247">
        <f>(14*1440)/1440*G42*2.75*1440/1000000</f>
        <v>51.171120000000002</v>
      </c>
      <c r="J37" s="128">
        <f>+I37+'20'!J37</f>
        <v>1016.6289770883775</v>
      </c>
      <c r="K37" s="129" t="s">
        <v>76</v>
      </c>
      <c r="L37" s="426"/>
      <c r="M37" s="427"/>
      <c r="N37" s="548"/>
    </row>
    <row r="38" spans="1:14" ht="17.45" customHeight="1">
      <c r="A38" s="786" t="s">
        <v>13</v>
      </c>
      <c r="B38" s="787"/>
      <c r="C38" s="167">
        <f>SUMIF($G$7:$G$31,"Process",$F$7:$F$31)</f>
        <v>38</v>
      </c>
      <c r="D38" s="121">
        <f>+C38+'20'!D38</f>
        <v>1404</v>
      </c>
      <c r="E38" s="146">
        <f t="shared" ref="E38:E51" si="5">D38/60</f>
        <v>23.4</v>
      </c>
      <c r="F38" s="365">
        <v>1150</v>
      </c>
      <c r="G38" s="365">
        <v>897</v>
      </c>
      <c r="H38" s="190" t="s">
        <v>77</v>
      </c>
      <c r="I38" s="547">
        <f>16.517+16.488+17.073</f>
        <v>50.077999999999996</v>
      </c>
      <c r="J38" s="130">
        <f>+I38+'20'!J38</f>
        <v>961.1893</v>
      </c>
      <c r="K38" s="131" t="s">
        <v>76</v>
      </c>
      <c r="L38" s="428"/>
      <c r="M38" s="429"/>
    </row>
    <row r="39" spans="1:14" ht="17.45" customHeight="1">
      <c r="A39" s="782" t="s">
        <v>14</v>
      </c>
      <c r="B39" s="783"/>
      <c r="C39" s="167">
        <f>SUMIF($G$7:$G$31,"Cleaning",$F$7:$F$31)</f>
        <v>13</v>
      </c>
      <c r="D39" s="121">
        <f>+C39+'20'!D39</f>
        <v>194</v>
      </c>
      <c r="E39" s="146">
        <f t="shared" si="5"/>
        <v>3.2333333333333334</v>
      </c>
      <c r="F39" s="365">
        <v>1200</v>
      </c>
      <c r="G39" s="365">
        <v>936</v>
      </c>
      <c r="H39" s="190" t="s">
        <v>78</v>
      </c>
      <c r="I39" s="145"/>
      <c r="J39" s="132">
        <f>J37/G4</f>
        <v>48.410903670875122</v>
      </c>
      <c r="K39" s="133" t="s">
        <v>76</v>
      </c>
      <c r="L39" s="428"/>
      <c r="M39" s="429"/>
    </row>
    <row r="40" spans="1:14" ht="17.45" customHeight="1">
      <c r="A40" s="782" t="s">
        <v>79</v>
      </c>
      <c r="B40" s="783"/>
      <c r="C40" s="167">
        <f>SUMIF($G$7:$G$31,"Mechanical",$F$7:$F$31)</f>
        <v>0</v>
      </c>
      <c r="D40" s="121">
        <f>+C40+'20'!D40</f>
        <v>120</v>
      </c>
      <c r="E40" s="146">
        <f t="shared" si="5"/>
        <v>2</v>
      </c>
      <c r="F40" s="365">
        <v>1200</v>
      </c>
      <c r="G40" s="365">
        <v>936</v>
      </c>
      <c r="H40" s="190" t="s">
        <v>80</v>
      </c>
      <c r="I40" s="121">
        <f>(K34+L34)/1000</f>
        <v>47.493000000000002</v>
      </c>
      <c r="J40" s="134">
        <f>+I40+'20'!J40</f>
        <v>939.71800000000007</v>
      </c>
      <c r="K40" s="133" t="s">
        <v>76</v>
      </c>
      <c r="L40" s="428"/>
      <c r="M40" s="429"/>
    </row>
    <row r="41" spans="1:14" ht="17.45" customHeight="1">
      <c r="A41" s="782" t="s">
        <v>81</v>
      </c>
      <c r="B41" s="783"/>
      <c r="C41" s="167">
        <f>SUMIF($G$7:$G$31,"Electrical",$F$7:$F$31)</f>
        <v>0</v>
      </c>
      <c r="D41" s="121">
        <f>+C41+'20'!D41</f>
        <v>80</v>
      </c>
      <c r="E41" s="146">
        <f t="shared" si="5"/>
        <v>1.3333333333333333</v>
      </c>
      <c r="F41" s="365"/>
      <c r="G41" s="365"/>
      <c r="H41" s="190" t="s">
        <v>82</v>
      </c>
      <c r="I41" s="145"/>
      <c r="J41" s="132">
        <f>J40/G4</f>
        <v>44.748476190476197</v>
      </c>
      <c r="K41" s="133" t="s">
        <v>76</v>
      </c>
      <c r="L41" s="428"/>
      <c r="M41" s="429"/>
    </row>
    <row r="42" spans="1:14" ht="17.45" customHeight="1">
      <c r="A42" s="782" t="s">
        <v>17</v>
      </c>
      <c r="B42" s="783"/>
      <c r="C42" s="167">
        <f>SUMIF($G$7:$G$31,"Instrument",$F$7:$F$31)</f>
        <v>0</v>
      </c>
      <c r="D42" s="121">
        <f>+C42+'20'!D42</f>
        <v>0</v>
      </c>
      <c r="E42" s="146">
        <f t="shared" si="5"/>
        <v>0</v>
      </c>
      <c r="F42" s="365">
        <f>+(480*F38+480*F39+480*F40)/1440</f>
        <v>1183.3333333333333</v>
      </c>
      <c r="G42" s="365">
        <f>+(480*G38+480*G39+480*G40)/1440</f>
        <v>923</v>
      </c>
      <c r="H42" s="190" t="s">
        <v>83</v>
      </c>
      <c r="I42" s="249" t="s">
        <v>655</v>
      </c>
      <c r="J42" s="135"/>
      <c r="K42" s="133" t="s">
        <v>84</v>
      </c>
      <c r="L42" s="428"/>
      <c r="M42" s="429"/>
    </row>
    <row r="43" spans="1:14" ht="17.45" customHeight="1">
      <c r="A43" s="782" t="s">
        <v>85</v>
      </c>
      <c r="B43" s="783"/>
      <c r="C43" s="167">
        <f>SUMIF($G$7:$G$31,"Water",$F$7:$F$31)</f>
        <v>0</v>
      </c>
      <c r="D43" s="121">
        <f>+C43+'20'!D43</f>
        <v>0</v>
      </c>
      <c r="E43" s="146">
        <f t="shared" si="5"/>
        <v>0</v>
      </c>
      <c r="F43" s="365"/>
      <c r="G43" s="366"/>
      <c r="H43" s="191" t="s">
        <v>86</v>
      </c>
      <c r="I43" s="121">
        <f>+Report1!AH29</f>
        <v>67.7</v>
      </c>
      <c r="J43" s="136">
        <f>+I43+'20'!J43</f>
        <v>1343.7000000000003</v>
      </c>
      <c r="K43" s="133" t="s">
        <v>76</v>
      </c>
      <c r="L43" s="430">
        <f>+Report1!AN29</f>
        <v>0</v>
      </c>
      <c r="M43" s="431">
        <f>+L43+'20'!M43</f>
        <v>0</v>
      </c>
    </row>
    <row r="44" spans="1:14" ht="17.45" customHeight="1">
      <c r="A44" s="782" t="s">
        <v>18</v>
      </c>
      <c r="B44" s="783"/>
      <c r="C44" s="167">
        <f>SUMIF($G$7:$G$31,"PLN",$F$7:$F$31)</f>
        <v>0</v>
      </c>
      <c r="D44" s="121">
        <f>+C44+'20'!D44</f>
        <v>0</v>
      </c>
      <c r="E44" s="146">
        <f t="shared" si="5"/>
        <v>0</v>
      </c>
      <c r="F44" s="365"/>
      <c r="G44" s="366"/>
      <c r="H44" s="191" t="s">
        <v>87</v>
      </c>
      <c r="I44" s="121">
        <f>I43/I38</f>
        <v>1.3518910499620593</v>
      </c>
      <c r="J44" s="137">
        <f>J43/J38</f>
        <v>1.3979556368344928</v>
      </c>
      <c r="K44" s="133" t="s">
        <v>76</v>
      </c>
      <c r="L44" s="432">
        <f>+L43/I38</f>
        <v>0</v>
      </c>
      <c r="M44" s="433">
        <f>+M43/J38</f>
        <v>0</v>
      </c>
    </row>
    <row r="45" spans="1:14" ht="17.45" customHeight="1">
      <c r="A45" s="782" t="s">
        <v>19</v>
      </c>
      <c r="B45" s="783"/>
      <c r="C45" s="167">
        <f>SUMIF($G$7:$G$31,"Boiler",$F$7:$F$31)</f>
        <v>0</v>
      </c>
      <c r="D45" s="121">
        <f>+C45+'20'!D45</f>
        <v>0</v>
      </c>
      <c r="E45" s="146">
        <f t="shared" si="5"/>
        <v>0</v>
      </c>
      <c r="F45" s="365"/>
      <c r="G45" s="368"/>
      <c r="H45" s="191" t="s">
        <v>88</v>
      </c>
      <c r="I45" s="121">
        <f>I43/I40</f>
        <v>1.425473227633546</v>
      </c>
      <c r="J45" s="137">
        <f>J43/J40</f>
        <v>1.4298970542226499</v>
      </c>
      <c r="K45" s="133" t="s">
        <v>76</v>
      </c>
      <c r="L45" s="432">
        <f>+L43/I40</f>
        <v>0</v>
      </c>
      <c r="M45" s="433">
        <f>+M43/J40</f>
        <v>0</v>
      </c>
    </row>
    <row r="46" spans="1:14" ht="17.45" customHeight="1">
      <c r="A46" s="782" t="s">
        <v>89</v>
      </c>
      <c r="B46" s="783"/>
      <c r="C46" s="167">
        <f>SUMIF($G$7:$G$31,"Gas",$F$7:$F$31)</f>
        <v>0</v>
      </c>
      <c r="D46" s="121">
        <f>+C46+'20'!D46</f>
        <v>0</v>
      </c>
      <c r="E46" s="146">
        <f t="shared" si="5"/>
        <v>0</v>
      </c>
      <c r="F46" s="365"/>
      <c r="G46" s="366"/>
      <c r="H46" s="191" t="s">
        <v>90</v>
      </c>
      <c r="I46" s="143">
        <f>+SUMIF(Listrik!P28,"&gt;0")</f>
        <v>42946.539999999979</v>
      </c>
      <c r="J46" s="138">
        <f>+I46+'20'!J46</f>
        <v>797402.7</v>
      </c>
      <c r="K46" s="133" t="s">
        <v>91</v>
      </c>
      <c r="L46" s="432">
        <f>+Listrik!AF28</f>
        <v>0</v>
      </c>
      <c r="M46" s="434">
        <f>+L46+'20'!M46</f>
        <v>0</v>
      </c>
    </row>
    <row r="47" spans="1:14" ht="17.45" customHeight="1">
      <c r="A47" s="782" t="s">
        <v>92</v>
      </c>
      <c r="B47" s="783"/>
      <c r="C47" s="167">
        <f>SUMIF($G$7:$G$31,"Gas",$F$7:$F$31)</f>
        <v>0</v>
      </c>
      <c r="D47" s="121">
        <f>+C47+'20'!D47</f>
        <v>0</v>
      </c>
      <c r="E47" s="146">
        <f t="shared" si="5"/>
        <v>0</v>
      </c>
      <c r="F47" s="365"/>
      <c r="G47" s="366"/>
      <c r="H47" s="191" t="s">
        <v>93</v>
      </c>
      <c r="I47" s="121">
        <f>I46/I38</f>
        <v>857.59295499021493</v>
      </c>
      <c r="J47" s="138">
        <f>J46/J38</f>
        <v>829.60005901022816</v>
      </c>
      <c r="K47" s="133" t="s">
        <v>25</v>
      </c>
      <c r="L47" s="432">
        <f>+L46/I38</f>
        <v>0</v>
      </c>
      <c r="M47" s="433">
        <f>+M46/J38</f>
        <v>0</v>
      </c>
    </row>
    <row r="48" spans="1:14" ht="17.45" customHeight="1">
      <c r="A48" s="782" t="s">
        <v>15</v>
      </c>
      <c r="B48" s="783"/>
      <c r="C48" s="167">
        <f>SUMIF($G$7:$G$31,"Start Up",$F$7:$F$31)</f>
        <v>0</v>
      </c>
      <c r="D48" s="121">
        <f>+C48+'20'!D48</f>
        <v>0</v>
      </c>
      <c r="E48" s="146">
        <f t="shared" si="5"/>
        <v>0</v>
      </c>
      <c r="F48" s="365"/>
      <c r="G48" s="366"/>
      <c r="H48" s="191" t="s">
        <v>94</v>
      </c>
      <c r="I48" s="121">
        <f>I46/I40</f>
        <v>904.27094519192258</v>
      </c>
      <c r="J48" s="138">
        <f>J46/J40</f>
        <v>848.55531127423319</v>
      </c>
      <c r="K48" s="133" t="s">
        <v>25</v>
      </c>
      <c r="L48" s="432">
        <f>+L46/I38</f>
        <v>0</v>
      </c>
      <c r="M48" s="433">
        <f>+M46/J40</f>
        <v>0</v>
      </c>
    </row>
    <row r="49" spans="1:13" ht="17.45" customHeight="1">
      <c r="A49" s="803" t="s">
        <v>21</v>
      </c>
      <c r="B49" s="783"/>
      <c r="C49" s="167">
        <f>SUMIF($G$7:$G$31,"Others",$F$7:$F$31)</f>
        <v>0</v>
      </c>
      <c r="D49" s="121">
        <f>+C49+'20'!D49</f>
        <v>924</v>
      </c>
      <c r="E49" s="146">
        <f t="shared" si="5"/>
        <v>15.4</v>
      </c>
      <c r="F49" s="188"/>
      <c r="H49" s="191" t="s">
        <v>95</v>
      </c>
      <c r="I49" s="121">
        <f>+Report1!AB29</f>
        <v>5701.7579910130971</v>
      </c>
      <c r="J49" s="138">
        <f>+I49+'20'!J49</f>
        <v>88736.177970753124</v>
      </c>
      <c r="K49" s="133" t="s">
        <v>96</v>
      </c>
      <c r="L49" s="428"/>
      <c r="M49" s="429"/>
    </row>
    <row r="50" spans="1:13" ht="17.45" customHeight="1">
      <c r="A50" s="782" t="s">
        <v>20</v>
      </c>
      <c r="B50" s="783"/>
      <c r="C50" s="167">
        <f>SUMIF($G$7:$G$31,"Steam",$F$7:$F$31)</f>
        <v>0</v>
      </c>
      <c r="D50" s="121">
        <f>+C50+'20'!D50</f>
        <v>0</v>
      </c>
      <c r="E50" s="146">
        <f t="shared" si="5"/>
        <v>0</v>
      </c>
      <c r="F50" s="188"/>
      <c r="H50" s="191" t="s">
        <v>97</v>
      </c>
      <c r="I50" s="143">
        <f>I49/I38</f>
        <v>113.85754205465669</v>
      </c>
      <c r="J50" s="136">
        <f>J49/J38</f>
        <v>92.31914875743324</v>
      </c>
      <c r="K50" s="133" t="s">
        <v>96</v>
      </c>
      <c r="L50" s="428"/>
      <c r="M50" s="429"/>
    </row>
    <row r="51" spans="1:13" ht="17.45" customHeight="1" thickBot="1">
      <c r="A51" s="784" t="s">
        <v>98</v>
      </c>
      <c r="B51" s="785"/>
      <c r="C51" s="167">
        <f>SUMIF($G$7:$G$31,"Planned shut",$F$7:$F$31)</f>
        <v>0</v>
      </c>
      <c r="D51" s="121">
        <f>+C51+'20'!D51</f>
        <v>0</v>
      </c>
      <c r="E51" s="146">
        <f t="shared" si="5"/>
        <v>0</v>
      </c>
      <c r="F51" s="188"/>
      <c r="H51" s="193" t="s">
        <v>99</v>
      </c>
      <c r="I51" s="144">
        <f>I49/I40</f>
        <v>120.05470260908127</v>
      </c>
      <c r="J51" s="139">
        <f>J49/J40</f>
        <v>94.428517885954207</v>
      </c>
      <c r="K51" s="140" t="s">
        <v>96</v>
      </c>
      <c r="L51" s="428"/>
      <c r="M51" s="429"/>
    </row>
    <row r="52" spans="1:13" ht="13.5" thickBot="1">
      <c r="A52" s="786" t="s">
        <v>29</v>
      </c>
      <c r="B52" s="787"/>
      <c r="C52" s="147">
        <f>SUM(C38:C51)</f>
        <v>51</v>
      </c>
      <c r="D52" s="147">
        <f>SUM(D38:D51)</f>
        <v>2722</v>
      </c>
      <c r="E52" s="148">
        <f>SUM(E38:E51)</f>
        <v>45.366666666666667</v>
      </c>
      <c r="F52" s="188"/>
      <c r="H52" s="194"/>
      <c r="I52" s="195"/>
      <c r="J52" s="141"/>
      <c r="K52" s="142"/>
      <c r="L52" s="435"/>
      <c r="M52" s="436"/>
    </row>
    <row r="53" spans="1:13" ht="13.5" thickBot="1">
      <c r="A53" s="788"/>
      <c r="B53" s="789"/>
      <c r="C53" s="149">
        <f>C52/(24*60)</f>
        <v>3.5416666666666666E-2</v>
      </c>
      <c r="D53" s="149">
        <f>D52/(24*60*G4)</f>
        <v>9.0013227513227517E-2</v>
      </c>
      <c r="E53" s="150">
        <f>E52/(G4*24)</f>
        <v>9.0013227513227517E-2</v>
      </c>
      <c r="F53" s="188"/>
    </row>
    <row r="54" spans="1:13">
      <c r="E54" s="196"/>
      <c r="F54" s="188"/>
    </row>
    <row r="55" spans="1:13">
      <c r="E55" s="196"/>
    </row>
    <row r="56" spans="1:13">
      <c r="A56" s="197" t="s">
        <v>100</v>
      </c>
      <c r="B56" s="198"/>
      <c r="C56" s="199"/>
      <c r="D56" s="199"/>
      <c r="E56" s="199"/>
      <c r="F56" s="200"/>
      <c r="G56" s="199"/>
      <c r="H56" s="201"/>
      <c r="I56" s="202" t="s">
        <v>101</v>
      </c>
      <c r="J56" s="203">
        <f>+D34+'20'!J56</f>
        <v>2884</v>
      </c>
      <c r="K56" s="204">
        <f>J56/(J40+J56/1000)/1000</f>
        <v>3.0596158293744336E-3</v>
      </c>
    </row>
    <row r="57" spans="1:13">
      <c r="A57" s="179"/>
      <c r="I57" s="202" t="s">
        <v>102</v>
      </c>
      <c r="J57" s="203">
        <f>+E34+'20'!J57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1"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S61"/>
  <sheetViews>
    <sheetView view="pageBreakPreview" zoomScale="80" zoomScaleNormal="80" zoomScaleSheetLayoutView="80" workbookViewId="0">
      <selection activeCell="I7" sqref="I7:I13"/>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customWidth="1"/>
    <col min="11" max="11" width="12.5703125" style="152" bestFit="1" customWidth="1"/>
    <col min="12" max="12" width="10" style="152" customWidth="1"/>
    <col min="13" max="13" width="14.140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20</v>
      </c>
      <c r="H4" s="157" t="str">
        <f>+'1'!H4</f>
        <v>.03.26</v>
      </c>
      <c r="J4" s="152">
        <f>392.4+421.1+338.6</f>
        <v>1152.0999999999999</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413</v>
      </c>
      <c r="O6" s="152">
        <v>1150</v>
      </c>
      <c r="P6" s="152">
        <f>+O6-(O6*0.22)</f>
        <v>897</v>
      </c>
      <c r="Q6" s="152">
        <f>60+34</f>
        <v>94</v>
      </c>
      <c r="R6" s="152">
        <f t="shared" ref="R6:R8" si="0">+O6*Q6</f>
        <v>108100</v>
      </c>
      <c r="S6" s="152">
        <f t="shared" ref="S6:S8" si="1">+P6*Q6</f>
        <v>84318</v>
      </c>
    </row>
    <row r="7" spans="1:19" ht="13.5" customHeight="1" thickBot="1">
      <c r="A7" s="793" t="s">
        <v>477</v>
      </c>
      <c r="B7" s="218" t="s">
        <v>433</v>
      </c>
      <c r="C7" s="219">
        <v>13987</v>
      </c>
      <c r="D7" s="220"/>
      <c r="E7" s="221"/>
      <c r="F7" s="231"/>
      <c r="G7" s="232" t="s">
        <v>13</v>
      </c>
      <c r="H7" s="233" t="s">
        <v>391</v>
      </c>
      <c r="I7" s="796" t="s">
        <v>650</v>
      </c>
      <c r="J7" s="217" t="str">
        <f>+'19'!J7</f>
        <v>T 14 RC HW</v>
      </c>
      <c r="K7" s="241">
        <f>+C34</f>
        <v>45684</v>
      </c>
      <c r="L7" s="245"/>
      <c r="M7" s="120">
        <f>+K7+'19'!M7+L7</f>
        <v>167752</v>
      </c>
      <c r="O7" s="152">
        <v>1200</v>
      </c>
      <c r="P7" s="152">
        <f>+O7-(O7*0.22)</f>
        <v>936</v>
      </c>
      <c r="Q7" s="152">
        <f>480-Q6</f>
        <v>386</v>
      </c>
      <c r="R7" s="152">
        <f t="shared" si="0"/>
        <v>463200</v>
      </c>
      <c r="S7" s="152">
        <f t="shared" si="1"/>
        <v>361296</v>
      </c>
    </row>
    <row r="8" spans="1:19" ht="13.5" thickBot="1">
      <c r="A8" s="794"/>
      <c r="B8" s="218"/>
      <c r="C8" s="219"/>
      <c r="D8" s="220"/>
      <c r="E8" s="222"/>
      <c r="F8" s="234">
        <v>4</v>
      </c>
      <c r="G8" s="583" t="s">
        <v>13</v>
      </c>
      <c r="H8" s="233" t="s">
        <v>474</v>
      </c>
      <c r="I8" s="797"/>
      <c r="J8" s="217" t="str">
        <f>+'19'!J8</f>
        <v>T 15,5 RC HW</v>
      </c>
      <c r="K8" s="242"/>
      <c r="L8" s="242"/>
      <c r="M8" s="120">
        <f>+K8+'19'!M8+L8</f>
        <v>139937</v>
      </c>
      <c r="P8" s="152">
        <f t="shared" ref="P8" si="2">+O8-(O8*0.14)</f>
        <v>0</v>
      </c>
      <c r="R8" s="152">
        <f t="shared" si="0"/>
        <v>0</v>
      </c>
      <c r="S8" s="152">
        <f t="shared" si="1"/>
        <v>0</v>
      </c>
    </row>
    <row r="9" spans="1:19" ht="13.5" thickBot="1">
      <c r="A9" s="794"/>
      <c r="B9" s="218"/>
      <c r="C9" s="219"/>
      <c r="D9" s="220"/>
      <c r="E9" s="223"/>
      <c r="F9" s="231">
        <v>8</v>
      </c>
      <c r="G9" s="583" t="s">
        <v>13</v>
      </c>
      <c r="H9" s="236" t="s">
        <v>422</v>
      </c>
      <c r="I9" s="797"/>
      <c r="J9" s="217" t="str">
        <f>+'19'!J9</f>
        <v>T 13,5 RC HW</v>
      </c>
      <c r="K9" s="242"/>
      <c r="L9" s="242"/>
      <c r="M9" s="120">
        <f>+K9+'19'!M9+L9</f>
        <v>31497</v>
      </c>
    </row>
    <row r="10" spans="1:19" ht="26.25" thickBot="1">
      <c r="A10" s="794"/>
      <c r="B10" s="218"/>
      <c r="C10" s="219"/>
      <c r="D10" s="220"/>
      <c r="E10" s="222"/>
      <c r="F10" s="231"/>
      <c r="G10" s="240" t="s">
        <v>14</v>
      </c>
      <c r="H10" s="236" t="s">
        <v>645</v>
      </c>
      <c r="I10" s="797"/>
      <c r="J10" s="217" t="str">
        <f>+'19'!J10</f>
        <v>T 20 RC HW</v>
      </c>
      <c r="K10" s="242"/>
      <c r="L10" s="242"/>
      <c r="M10" s="120">
        <f>+K10+'19'!M10+L10</f>
        <v>35769</v>
      </c>
    </row>
    <row r="11" spans="1:19" ht="51.75" thickBot="1">
      <c r="A11" s="794"/>
      <c r="B11" s="218"/>
      <c r="C11" s="219"/>
      <c r="D11" s="220"/>
      <c r="E11" s="222"/>
      <c r="F11" s="231">
        <v>15</v>
      </c>
      <c r="G11" s="235" t="s">
        <v>81</v>
      </c>
      <c r="H11" s="236" t="s">
        <v>646</v>
      </c>
      <c r="I11" s="797"/>
      <c r="J11" s="217" t="str">
        <f>+'19'!J11</f>
        <v>T 17 RC HW</v>
      </c>
      <c r="K11" s="242"/>
      <c r="L11" s="242"/>
      <c r="M11" s="120">
        <f>+K11+'19'!M11+L11</f>
        <v>18517</v>
      </c>
    </row>
    <row r="12" spans="1:19" ht="13.5" thickBot="1">
      <c r="A12" s="794"/>
      <c r="B12" s="218"/>
      <c r="C12" s="219"/>
      <c r="D12" s="220"/>
      <c r="E12" s="222"/>
      <c r="F12" s="231"/>
      <c r="G12" s="235"/>
      <c r="H12" s="236"/>
      <c r="I12" s="797"/>
      <c r="J12" s="217" t="str">
        <f>+'19'!J12</f>
        <v>T 16 RC HW</v>
      </c>
      <c r="K12" s="242"/>
      <c r="L12" s="242"/>
      <c r="M12" s="120">
        <f>+K12+'19'!M12+L12</f>
        <v>38417</v>
      </c>
    </row>
    <row r="13" spans="1:19" ht="13.5" thickBot="1">
      <c r="A13" s="794"/>
      <c r="B13" s="218"/>
      <c r="C13" s="219"/>
      <c r="D13" s="219"/>
      <c r="E13" s="222"/>
      <c r="F13" s="231"/>
      <c r="G13" s="235"/>
      <c r="H13" s="236"/>
      <c r="I13" s="798"/>
      <c r="J13" s="217" t="str">
        <f>+'19'!J13</f>
        <v>N 15,5 RC HW</v>
      </c>
      <c r="K13" s="242"/>
      <c r="L13" s="242"/>
      <c r="M13" s="120">
        <f>+K13+'19'!M13+L13</f>
        <v>72746</v>
      </c>
      <c r="Q13" s="179">
        <f>SUM(Q6:Q12)</f>
        <v>480</v>
      </c>
      <c r="R13" s="179">
        <f>SUM(R6:R12)</f>
        <v>571300</v>
      </c>
      <c r="S13" s="179">
        <f>SUM(S6:S12)</f>
        <v>445614</v>
      </c>
    </row>
    <row r="14" spans="1:19" ht="13.5" thickBot="1">
      <c r="A14" s="795"/>
      <c r="B14" s="168" t="s">
        <v>3</v>
      </c>
      <c r="C14" s="102">
        <f>SUM(C7:C13)</f>
        <v>13987</v>
      </c>
      <c r="D14" s="114">
        <f>SUM(D7:D13)</f>
        <v>0</v>
      </c>
      <c r="E14" s="115">
        <f>SUM(E5:E13)</f>
        <v>0</v>
      </c>
      <c r="F14" s="105">
        <f>SUM(F6:F13)</f>
        <v>27</v>
      </c>
      <c r="G14" s="162"/>
      <c r="H14" s="169"/>
      <c r="I14" s="170"/>
      <c r="J14" s="217" t="str">
        <f>+'19'!J14</f>
        <v>TW 22 RC HW</v>
      </c>
      <c r="K14" s="242"/>
      <c r="L14" s="242"/>
      <c r="M14" s="120">
        <f>+K14+'19'!M14+L14</f>
        <v>387590</v>
      </c>
      <c r="Q14" s="152">
        <f>480-Q13</f>
        <v>0</v>
      </c>
      <c r="R14" s="179">
        <f>+R13/Q13</f>
        <v>1190.2083333333333</v>
      </c>
      <c r="S14" s="179">
        <f>+S13/Q13</f>
        <v>928.36249999999995</v>
      </c>
    </row>
    <row r="15" spans="1:19" ht="13.5" customHeight="1" thickBot="1">
      <c r="A15" s="793" t="s">
        <v>430</v>
      </c>
      <c r="B15" s="168"/>
      <c r="C15" s="116">
        <f>C14/($C$23+$D$23+$E$23)</f>
        <v>0.95078512677588201</v>
      </c>
      <c r="D15" s="117">
        <f>D14/($C$23+$D$23+$E$23)</f>
        <v>0</v>
      </c>
      <c r="E15" s="118">
        <f>E14/($C$23+$D$23+$E$23)</f>
        <v>0</v>
      </c>
      <c r="F15" s="231">
        <v>5</v>
      </c>
      <c r="G15" s="232" t="s">
        <v>13</v>
      </c>
      <c r="H15" s="233" t="s">
        <v>453</v>
      </c>
      <c r="I15" s="796" t="s">
        <v>651</v>
      </c>
      <c r="J15" s="217">
        <f>+'19'!J15</f>
        <v>0</v>
      </c>
      <c r="K15" s="242"/>
      <c r="L15" s="242"/>
      <c r="M15" s="120">
        <f>+K15+'19'!M15+L15</f>
        <v>0</v>
      </c>
    </row>
    <row r="16" spans="1:19" ht="13.5" thickBot="1">
      <c r="A16" s="799"/>
      <c r="B16" s="218" t="s">
        <v>433</v>
      </c>
      <c r="C16" s="225">
        <v>14711</v>
      </c>
      <c r="D16" s="226"/>
      <c r="E16" s="227"/>
      <c r="F16" s="234">
        <v>10</v>
      </c>
      <c r="G16" s="583" t="s">
        <v>13</v>
      </c>
      <c r="H16" s="233" t="s">
        <v>452</v>
      </c>
      <c r="I16" s="797"/>
      <c r="J16" s="217">
        <f>+'19'!J16</f>
        <v>0</v>
      </c>
      <c r="K16" s="232"/>
      <c r="L16" s="232"/>
      <c r="M16" s="120">
        <f>+K16+'19'!M16+L16</f>
        <v>0</v>
      </c>
      <c r="N16" s="152" t="s">
        <v>413</v>
      </c>
      <c r="O16" s="152">
        <v>1200</v>
      </c>
      <c r="P16" s="152">
        <f>+O16-(O16*0.22)</f>
        <v>936</v>
      </c>
      <c r="Q16" s="152">
        <v>480</v>
      </c>
      <c r="R16" s="152">
        <f t="shared" ref="R16:R18" si="3">+O16*Q16</f>
        <v>576000</v>
      </c>
      <c r="S16" s="152">
        <f t="shared" ref="S16:S18" si="4">+P16*Q16</f>
        <v>449280</v>
      </c>
    </row>
    <row r="17" spans="1:19" ht="13.5" thickBot="1">
      <c r="A17" s="799"/>
      <c r="B17" s="218"/>
      <c r="C17" s="219"/>
      <c r="D17" s="220"/>
      <c r="E17" s="228"/>
      <c r="F17" s="231">
        <v>5</v>
      </c>
      <c r="G17" s="583" t="s">
        <v>13</v>
      </c>
      <c r="H17" s="236" t="s">
        <v>456</v>
      </c>
      <c r="I17" s="797"/>
      <c r="J17" s="217">
        <f>+'19'!J17</f>
        <v>0</v>
      </c>
      <c r="K17" s="232"/>
      <c r="L17" s="232"/>
      <c r="M17" s="120">
        <f>+K17+'19'!M17+L17</f>
        <v>0</v>
      </c>
    </row>
    <row r="18" spans="1:19" ht="26.25" thickBot="1">
      <c r="A18" s="799"/>
      <c r="B18" s="218"/>
      <c r="C18" s="219"/>
      <c r="D18" s="220"/>
      <c r="E18" s="228"/>
      <c r="F18" s="231"/>
      <c r="G18" s="240" t="s">
        <v>14</v>
      </c>
      <c r="H18" s="236" t="s">
        <v>642</v>
      </c>
      <c r="I18" s="797"/>
      <c r="J18" s="217">
        <f>+'19'!J18</f>
        <v>0</v>
      </c>
      <c r="K18" s="242"/>
      <c r="L18" s="242"/>
      <c r="M18" s="120">
        <f>+K18+'19'!M18+L18</f>
        <v>0</v>
      </c>
      <c r="P18" s="152">
        <f t="shared" ref="P18" si="5">+O18-(O18*0.14)</f>
        <v>0</v>
      </c>
      <c r="R18" s="152">
        <f t="shared" si="3"/>
        <v>0</v>
      </c>
      <c r="S18" s="152">
        <f t="shared" si="4"/>
        <v>0</v>
      </c>
    </row>
    <row r="19" spans="1:19" ht="39" thickBot="1">
      <c r="A19" s="799"/>
      <c r="B19" s="218"/>
      <c r="C19" s="219"/>
      <c r="D19" s="220"/>
      <c r="E19" s="228"/>
      <c r="F19" s="238"/>
      <c r="G19" s="235"/>
      <c r="H19" s="236" t="s">
        <v>644</v>
      </c>
      <c r="I19" s="797"/>
      <c r="J19" s="217">
        <f>+'19'!J19</f>
        <v>0</v>
      </c>
      <c r="K19" s="242"/>
      <c r="L19" s="242"/>
      <c r="M19" s="120">
        <f>+K19+'19'!M19+L19</f>
        <v>0</v>
      </c>
    </row>
    <row r="20" spans="1:19" ht="13.5" thickBot="1">
      <c r="A20" s="799"/>
      <c r="B20" s="218"/>
      <c r="C20" s="219"/>
      <c r="D20" s="220"/>
      <c r="E20" s="228"/>
      <c r="F20" s="231"/>
      <c r="G20" s="235"/>
      <c r="H20" s="236"/>
      <c r="I20" s="797"/>
      <c r="J20" s="217">
        <f>+'19'!J20</f>
        <v>0</v>
      </c>
      <c r="K20" s="243"/>
      <c r="L20" s="243"/>
      <c r="M20" s="120">
        <f>+K20+'19'!M20+L20</f>
        <v>0</v>
      </c>
    </row>
    <row r="21" spans="1:19" ht="13.5" thickBot="1">
      <c r="A21" s="799"/>
      <c r="B21" s="218"/>
      <c r="C21" s="219"/>
      <c r="D21" s="220"/>
      <c r="E21" s="228"/>
      <c r="F21" s="234"/>
      <c r="G21" s="235"/>
      <c r="H21" s="236"/>
      <c r="I21" s="797"/>
      <c r="J21" s="217">
        <f>+'19'!J21</f>
        <v>0</v>
      </c>
      <c r="K21" s="243"/>
      <c r="L21" s="243"/>
      <c r="M21" s="120">
        <f>+K21+'19'!M21+L21</f>
        <v>0</v>
      </c>
    </row>
    <row r="22" spans="1:19" ht="13.5" thickBot="1">
      <c r="A22" s="799"/>
      <c r="B22" s="218"/>
      <c r="C22" s="219"/>
      <c r="D22" s="220"/>
      <c r="E22" s="228"/>
      <c r="F22" s="239"/>
      <c r="G22" s="235"/>
      <c r="H22" s="236"/>
      <c r="I22" s="798"/>
      <c r="J22" s="217">
        <f>+'19'!J22</f>
        <v>0</v>
      </c>
      <c r="K22" s="243"/>
      <c r="L22" s="243"/>
      <c r="M22" s="120">
        <f>+K22+'19'!M22+L22</f>
        <v>0</v>
      </c>
    </row>
    <row r="23" spans="1:19" ht="13.5" thickBot="1">
      <c r="A23" s="800"/>
      <c r="B23" s="168" t="s">
        <v>3</v>
      </c>
      <c r="C23" s="103">
        <f>SUM(C16:C22)</f>
        <v>14711</v>
      </c>
      <c r="D23" s="114">
        <f>SUM(D16:D22)</f>
        <v>0</v>
      </c>
      <c r="E23" s="115">
        <f>SUM(E18:E22)</f>
        <v>0</v>
      </c>
      <c r="F23" s="105">
        <f>SUM(F15:F22)</f>
        <v>20</v>
      </c>
      <c r="G23" s="162"/>
      <c r="H23" s="169"/>
      <c r="I23" s="172"/>
      <c r="J23" s="217">
        <f>+'19'!J23</f>
        <v>0</v>
      </c>
      <c r="K23" s="243"/>
      <c r="L23" s="243"/>
      <c r="M23" s="120">
        <f>+K23+'19'!M23+L23</f>
        <v>0</v>
      </c>
      <c r="Q23" s="179">
        <f>SUM(Q16:Q22)</f>
        <v>480</v>
      </c>
      <c r="R23" s="179">
        <f>SUM(R16:R22)</f>
        <v>576000</v>
      </c>
      <c r="S23" s="179">
        <f>SUM(S16:S22)</f>
        <v>449280</v>
      </c>
    </row>
    <row r="24" spans="1:19" ht="13.5" customHeight="1" thickBot="1">
      <c r="A24" s="793" t="s">
        <v>431</v>
      </c>
      <c r="B24" s="173"/>
      <c r="C24" s="116">
        <f>C23/($C$23+$D$23+$E$23)</f>
        <v>1</v>
      </c>
      <c r="D24" s="117">
        <f>D23/($C$23+$D$23+$E$23)</f>
        <v>0</v>
      </c>
      <c r="E24" s="118">
        <f>E23/($C$23+$D$23+$E$23)</f>
        <v>0</v>
      </c>
      <c r="F24" s="231"/>
      <c r="G24" s="232" t="s">
        <v>13</v>
      </c>
      <c r="H24" s="233" t="s">
        <v>391</v>
      </c>
      <c r="I24" s="796" t="s">
        <v>651</v>
      </c>
      <c r="J24" s="217">
        <f>+'19'!J24</f>
        <v>0</v>
      </c>
      <c r="K24" s="243"/>
      <c r="L24" s="243"/>
      <c r="M24" s="120">
        <f>+K24+'19'!M24+L24</f>
        <v>0</v>
      </c>
      <c r="Q24" s="152">
        <f>480-Q23</f>
        <v>0</v>
      </c>
      <c r="R24" s="179">
        <f>+R23/Q23</f>
        <v>1200</v>
      </c>
      <c r="S24" s="179">
        <f>+S23/Q23</f>
        <v>936</v>
      </c>
    </row>
    <row r="25" spans="1:19" ht="13.5" thickBot="1">
      <c r="A25" s="799"/>
      <c r="B25" s="218" t="s">
        <v>433</v>
      </c>
      <c r="C25" s="229">
        <v>16986</v>
      </c>
      <c r="D25" s="220"/>
      <c r="E25" s="228"/>
      <c r="F25" s="234">
        <v>8</v>
      </c>
      <c r="G25" s="583" t="s">
        <v>13</v>
      </c>
      <c r="H25" s="233" t="s">
        <v>474</v>
      </c>
      <c r="I25" s="797"/>
      <c r="J25" s="217">
        <f>+'19'!J25</f>
        <v>0</v>
      </c>
      <c r="K25" s="243"/>
      <c r="L25" s="243"/>
      <c r="M25" s="120">
        <f>+K25+'19'!M25+L25</f>
        <v>0</v>
      </c>
    </row>
    <row r="26" spans="1:19" ht="13.5" thickBot="1">
      <c r="A26" s="799"/>
      <c r="B26" s="218"/>
      <c r="C26" s="229"/>
      <c r="D26" s="220"/>
      <c r="E26" s="230"/>
      <c r="F26" s="231">
        <v>10</v>
      </c>
      <c r="G26" s="583" t="s">
        <v>13</v>
      </c>
      <c r="H26" s="236" t="s">
        <v>617</v>
      </c>
      <c r="I26" s="797"/>
      <c r="J26" s="217">
        <f>+'19'!J26</f>
        <v>0</v>
      </c>
      <c r="K26" s="243"/>
      <c r="L26" s="243"/>
      <c r="M26" s="120">
        <f>+K26+'19'!M26+L26</f>
        <v>0</v>
      </c>
      <c r="N26" s="152" t="s">
        <v>413</v>
      </c>
      <c r="O26" s="152">
        <v>1200</v>
      </c>
      <c r="P26" s="152">
        <f>+O26-(O26*0.22)</f>
        <v>936</v>
      </c>
      <c r="Q26" s="152">
        <v>480</v>
      </c>
      <c r="R26" s="152">
        <f t="shared" ref="R26" si="6">+O26*Q26</f>
        <v>576000</v>
      </c>
      <c r="S26" s="152">
        <f t="shared" ref="S26" si="7">+P26*Q26</f>
        <v>449280</v>
      </c>
    </row>
    <row r="27" spans="1:19" ht="26.25" thickBot="1">
      <c r="A27" s="799"/>
      <c r="B27" s="218"/>
      <c r="C27" s="219"/>
      <c r="D27" s="220"/>
      <c r="E27" s="228"/>
      <c r="F27" s="231"/>
      <c r="G27" s="240" t="s">
        <v>14</v>
      </c>
      <c r="H27" s="236" t="s">
        <v>643</v>
      </c>
      <c r="I27" s="797"/>
      <c r="J27" s="217">
        <f>+'19'!J27</f>
        <v>0</v>
      </c>
      <c r="K27" s="243"/>
      <c r="L27" s="243"/>
      <c r="M27" s="120">
        <f>+K27+'19'!M27+L27</f>
        <v>0</v>
      </c>
    </row>
    <row r="28" spans="1:19" ht="13.5" thickBot="1">
      <c r="A28" s="799"/>
      <c r="B28" s="218"/>
      <c r="C28" s="219"/>
      <c r="D28" s="220"/>
      <c r="E28" s="228"/>
      <c r="F28" s="234"/>
      <c r="G28" s="235"/>
      <c r="H28" s="236"/>
      <c r="I28" s="797"/>
      <c r="J28" s="217">
        <f>+'19'!J28</f>
        <v>0</v>
      </c>
      <c r="K28" s="243"/>
      <c r="L28" s="243"/>
      <c r="M28" s="120">
        <f>+K28+'19'!M28+L28</f>
        <v>0</v>
      </c>
      <c r="P28" s="152">
        <f t="shared" ref="P28" si="8">+O28-(O28*0.14)</f>
        <v>0</v>
      </c>
      <c r="R28" s="152">
        <f t="shared" ref="R28" si="9">+O28*Q28</f>
        <v>0</v>
      </c>
      <c r="S28" s="152">
        <f t="shared" ref="S28" si="10">+P28*Q28</f>
        <v>0</v>
      </c>
    </row>
    <row r="29" spans="1:19" ht="13.5" thickBot="1">
      <c r="A29" s="799"/>
      <c r="B29" s="218"/>
      <c r="C29" s="219"/>
      <c r="D29" s="220"/>
      <c r="E29" s="228"/>
      <c r="F29" s="239"/>
      <c r="G29" s="235"/>
      <c r="H29" s="236"/>
      <c r="I29" s="797"/>
      <c r="J29" s="217">
        <f>+'19'!J29</f>
        <v>0</v>
      </c>
      <c r="K29" s="243"/>
      <c r="L29" s="243"/>
      <c r="M29" s="120">
        <f>+K29+'19'!M29+L29</f>
        <v>0</v>
      </c>
    </row>
    <row r="30" spans="1:19" ht="13.5" thickBot="1">
      <c r="A30" s="799"/>
      <c r="B30" s="218"/>
      <c r="C30" s="229"/>
      <c r="D30" s="220"/>
      <c r="E30" s="228"/>
      <c r="F30" s="239"/>
      <c r="G30" s="235"/>
      <c r="H30" s="236"/>
      <c r="I30" s="797"/>
      <c r="J30" s="217">
        <f>+'19'!J30</f>
        <v>0</v>
      </c>
      <c r="K30" s="242"/>
      <c r="L30" s="242"/>
      <c r="M30" s="120">
        <f>+K30+'19'!M30+L30</f>
        <v>0</v>
      </c>
    </row>
    <row r="31" spans="1:19" ht="13.5" thickBot="1">
      <c r="A31" s="799"/>
      <c r="B31" s="218"/>
      <c r="C31" s="229"/>
      <c r="D31" s="220"/>
      <c r="E31" s="228"/>
      <c r="F31" s="239"/>
      <c r="G31" s="240"/>
      <c r="H31" s="237"/>
      <c r="I31" s="798"/>
      <c r="J31" s="217">
        <f>+'19'!J31</f>
        <v>0</v>
      </c>
      <c r="K31" s="242"/>
      <c r="L31" s="242"/>
      <c r="M31" s="120">
        <f>+K31+'19'!M31+L31</f>
        <v>0</v>
      </c>
    </row>
    <row r="32" spans="1:19" ht="13.5" thickBot="1">
      <c r="A32" s="800"/>
      <c r="B32" s="168" t="s">
        <v>3</v>
      </c>
      <c r="C32" s="102">
        <f>SUM(C25:C31)</f>
        <v>16986</v>
      </c>
      <c r="D32" s="103">
        <f>SUM(D25:D31)</f>
        <v>0</v>
      </c>
      <c r="E32" s="104">
        <f>SUM(E25:E31)</f>
        <v>0</v>
      </c>
      <c r="F32" s="105">
        <f>SUM(F24:F31)</f>
        <v>18</v>
      </c>
      <c r="G32" s="174"/>
      <c r="H32" s="175"/>
      <c r="I32" s="172"/>
      <c r="J32" s="217">
        <f>+'19'!J32</f>
        <v>0</v>
      </c>
      <c r="K32" s="244"/>
      <c r="L32" s="246"/>
      <c r="M32" s="120">
        <f>+K32+'19'!M32+L32</f>
        <v>0</v>
      </c>
    </row>
    <row r="33" spans="1:19" ht="13.5" thickBot="1">
      <c r="A33" s="176"/>
      <c r="B33" s="177"/>
      <c r="C33" s="106">
        <f>C32/($C$32+$D$32+$E$32)</f>
        <v>1</v>
      </c>
      <c r="D33" s="107">
        <f>D32/($C$32+$D$32+$E$32)</f>
        <v>0</v>
      </c>
      <c r="E33" s="108">
        <f>E32/($C$32+$D$32+$E$32)</f>
        <v>0</v>
      </c>
      <c r="F33" s="109"/>
      <c r="G33" s="178"/>
      <c r="H33" s="179"/>
      <c r="I33" s="180"/>
      <c r="J33" s="124"/>
      <c r="K33" s="125"/>
      <c r="L33" s="216"/>
      <c r="M33" s="122"/>
      <c r="Q33" s="179">
        <f>SUM(Q26:Q32)</f>
        <v>480</v>
      </c>
      <c r="R33" s="179">
        <f>SUM(R26:R32)</f>
        <v>576000</v>
      </c>
      <c r="S33" s="179">
        <f>SUM(S26:S32)</f>
        <v>449280</v>
      </c>
    </row>
    <row r="34" spans="1:19" ht="13.5" thickBot="1">
      <c r="A34" s="801" t="s">
        <v>70</v>
      </c>
      <c r="B34" s="802"/>
      <c r="C34" s="110">
        <f>C14+C23+C32</f>
        <v>45684</v>
      </c>
      <c r="D34" s="110">
        <f>D14+D23+D32</f>
        <v>0</v>
      </c>
      <c r="E34" s="110">
        <f>E14+E23+E32</f>
        <v>0</v>
      </c>
      <c r="F34" s="111">
        <f>F14+F23+F32</f>
        <v>65</v>
      </c>
      <c r="H34" s="181"/>
      <c r="I34" s="181"/>
      <c r="J34" s="126" t="s">
        <v>29</v>
      </c>
      <c r="K34" s="127">
        <f>SUM(K7:K32)</f>
        <v>45684</v>
      </c>
      <c r="L34" s="215">
        <f>SUM(L7:L32)</f>
        <v>0</v>
      </c>
      <c r="M34" s="123">
        <f>SUM(M7:M32)</f>
        <v>892225</v>
      </c>
      <c r="Q34" s="152">
        <f>480-Q33</f>
        <v>0</v>
      </c>
      <c r="R34" s="179">
        <f>+R33/Q33</f>
        <v>1200</v>
      </c>
      <c r="S34" s="179">
        <f>+S33/Q33</f>
        <v>936</v>
      </c>
    </row>
    <row r="35" spans="1:19" ht="13.5" thickBot="1">
      <c r="A35" s="182"/>
      <c r="B35" s="183"/>
      <c r="C35" s="107">
        <f>C34/($C$34+$D$34+$E$34)</f>
        <v>1</v>
      </c>
      <c r="D35" s="107">
        <f>D34/($C$34+$D$34+$E$34)</f>
        <v>0</v>
      </c>
      <c r="E35" s="112">
        <f>E34/($C$34+$D$34+$E$34)</f>
        <v>0</v>
      </c>
      <c r="K35" s="158"/>
      <c r="L35" s="792" t="s">
        <v>187</v>
      </c>
      <c r="M35" s="792"/>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90" t="s">
        <v>71</v>
      </c>
      <c r="B37" s="791"/>
      <c r="C37" s="165" t="s">
        <v>72</v>
      </c>
      <c r="D37" s="186" t="s">
        <v>73</v>
      </c>
      <c r="E37" s="187" t="s">
        <v>74</v>
      </c>
      <c r="F37" s="365"/>
      <c r="G37" s="367"/>
      <c r="H37" s="189" t="s">
        <v>75</v>
      </c>
      <c r="I37" s="247">
        <f>(14*1440)/1440*G42*2.75*1440/1000000</f>
        <v>51.750699000000004</v>
      </c>
      <c r="J37" s="128">
        <f>+I37+'19'!J37</f>
        <v>965.45785708837752</v>
      </c>
      <c r="K37" s="129" t="s">
        <v>76</v>
      </c>
      <c r="L37" s="426"/>
      <c r="M37" s="427"/>
    </row>
    <row r="38" spans="1:19" ht="17.45" customHeight="1">
      <c r="A38" s="786" t="s">
        <v>13</v>
      </c>
      <c r="B38" s="787"/>
      <c r="C38" s="167">
        <f>SUMIF($G$7:$G$31,"Process",$F$7:$F$31)</f>
        <v>50</v>
      </c>
      <c r="D38" s="121">
        <f>+C38+'19'!D38</f>
        <v>1366</v>
      </c>
      <c r="E38" s="146">
        <f t="shared" ref="E38:E51" si="11">D38/60</f>
        <v>22.766666666666666</v>
      </c>
      <c r="F38" s="365">
        <v>1190.2083333333333</v>
      </c>
      <c r="G38" s="365">
        <v>928.36249999999995</v>
      </c>
      <c r="H38" s="190" t="s">
        <v>77</v>
      </c>
      <c r="I38" s="547">
        <f>14.573+16.083+16.032</f>
        <v>46.688000000000002</v>
      </c>
      <c r="J38" s="130">
        <f>+I38+'19'!J38</f>
        <v>911.11130000000003</v>
      </c>
      <c r="K38" s="131" t="s">
        <v>76</v>
      </c>
      <c r="L38" s="428"/>
      <c r="M38" s="429"/>
    </row>
    <row r="39" spans="1:19" ht="17.45" customHeight="1">
      <c r="A39" s="782" t="s">
        <v>14</v>
      </c>
      <c r="B39" s="783"/>
      <c r="C39" s="167">
        <f>SUMIF($G$7:$G$31,"Cleaning",$F$7:$F$31)</f>
        <v>0</v>
      </c>
      <c r="D39" s="121">
        <f>+C39+'19'!D39</f>
        <v>181</v>
      </c>
      <c r="E39" s="146">
        <f t="shared" si="11"/>
        <v>3.0166666666666666</v>
      </c>
      <c r="F39" s="365">
        <v>1200</v>
      </c>
      <c r="G39" s="365">
        <v>936</v>
      </c>
      <c r="H39" s="190" t="s">
        <v>78</v>
      </c>
      <c r="I39" s="145"/>
      <c r="J39" s="132">
        <f>J37/G4</f>
        <v>48.272892854418878</v>
      </c>
      <c r="K39" s="133" t="s">
        <v>76</v>
      </c>
      <c r="L39" s="428"/>
      <c r="M39" s="429"/>
    </row>
    <row r="40" spans="1:19" ht="17.45" customHeight="1">
      <c r="A40" s="782" t="s">
        <v>79</v>
      </c>
      <c r="B40" s="783"/>
      <c r="C40" s="167">
        <f>SUMIF($G$7:$G$31,"Mechanical",$F$7:$F$31)</f>
        <v>0</v>
      </c>
      <c r="D40" s="121">
        <f>+C40+'19'!D40</f>
        <v>120</v>
      </c>
      <c r="E40" s="146">
        <f t="shared" si="11"/>
        <v>2</v>
      </c>
      <c r="F40" s="365">
        <v>1200</v>
      </c>
      <c r="G40" s="365">
        <v>936</v>
      </c>
      <c r="H40" s="190" t="s">
        <v>80</v>
      </c>
      <c r="I40" s="121">
        <f>(K34+L34)/1000</f>
        <v>45.683999999999997</v>
      </c>
      <c r="J40" s="134">
        <f>+I40+'19'!J40</f>
        <v>892.22500000000002</v>
      </c>
      <c r="K40" s="133" t="s">
        <v>76</v>
      </c>
      <c r="L40" s="428"/>
      <c r="M40" s="429"/>
    </row>
    <row r="41" spans="1:19" ht="17.45" customHeight="1">
      <c r="A41" s="782" t="s">
        <v>81</v>
      </c>
      <c r="B41" s="783"/>
      <c r="C41" s="167">
        <f>SUMIF($G$7:$G$31,"Electrical",$F$7:$F$31)</f>
        <v>15</v>
      </c>
      <c r="D41" s="121">
        <f>+C41+'19'!D41</f>
        <v>80</v>
      </c>
      <c r="E41" s="146">
        <f t="shared" si="11"/>
        <v>1.3333333333333333</v>
      </c>
      <c r="F41" s="365"/>
      <c r="G41" s="365"/>
      <c r="H41" s="190" t="s">
        <v>82</v>
      </c>
      <c r="I41" s="145"/>
      <c r="J41" s="132">
        <f>J40/G4</f>
        <v>44.611249999999998</v>
      </c>
      <c r="K41" s="133" t="s">
        <v>76</v>
      </c>
      <c r="L41" s="428"/>
      <c r="M41" s="429"/>
    </row>
    <row r="42" spans="1:19" ht="17.45" customHeight="1">
      <c r="A42" s="782" t="s">
        <v>17</v>
      </c>
      <c r="B42" s="783"/>
      <c r="C42" s="167">
        <f>SUMIF($G$7:$G$31,"Instrument",$F$7:$F$31)</f>
        <v>0</v>
      </c>
      <c r="D42" s="121">
        <f>+C42+'19'!D42</f>
        <v>0</v>
      </c>
      <c r="E42" s="146">
        <f t="shared" si="11"/>
        <v>0</v>
      </c>
      <c r="F42" s="365">
        <f>+(F38*480+F39*480+F40*480)/1440</f>
        <v>1196.7361111111111</v>
      </c>
      <c r="G42" s="365">
        <f>+(G38*480+G39*480+G40*480)/1440</f>
        <v>933.45416666666665</v>
      </c>
      <c r="H42" s="190" t="s">
        <v>83</v>
      </c>
      <c r="I42" s="249" t="s">
        <v>654</v>
      </c>
      <c r="J42" s="135"/>
      <c r="K42" s="133" t="s">
        <v>84</v>
      </c>
      <c r="L42" s="428"/>
      <c r="M42" s="429"/>
    </row>
    <row r="43" spans="1:19" ht="17.45" customHeight="1">
      <c r="A43" s="782" t="s">
        <v>85</v>
      </c>
      <c r="B43" s="783"/>
      <c r="C43" s="167">
        <f>SUMIF($G$7:$G$31,"Water",$F$7:$F$31)</f>
        <v>0</v>
      </c>
      <c r="D43" s="121">
        <f>+C43+'19'!D43</f>
        <v>0</v>
      </c>
      <c r="E43" s="146">
        <f t="shared" si="11"/>
        <v>0</v>
      </c>
      <c r="F43" s="365"/>
      <c r="G43" s="366"/>
      <c r="H43" s="191" t="s">
        <v>86</v>
      </c>
      <c r="I43" s="121">
        <f>+Report1!AH28</f>
        <v>66.7</v>
      </c>
      <c r="J43" s="136">
        <f>+I43+'19'!J43</f>
        <v>1276.0000000000002</v>
      </c>
      <c r="K43" s="133" t="s">
        <v>76</v>
      </c>
      <c r="L43" s="430">
        <f>+Report1!AN28</f>
        <v>0</v>
      </c>
      <c r="M43" s="431">
        <f>+L43+'19'!M43</f>
        <v>0</v>
      </c>
    </row>
    <row r="44" spans="1:19" ht="17.45" customHeight="1">
      <c r="A44" s="782" t="s">
        <v>18</v>
      </c>
      <c r="B44" s="783"/>
      <c r="C44" s="167">
        <f>SUMIF($G$7:$G$31,"PLN",$F$7:$F$31)</f>
        <v>0</v>
      </c>
      <c r="D44" s="121">
        <f>+C44+'19'!D44</f>
        <v>0</v>
      </c>
      <c r="E44" s="146">
        <f t="shared" si="11"/>
        <v>0</v>
      </c>
      <c r="F44" s="365"/>
      <c r="G44" s="366"/>
      <c r="H44" s="191" t="s">
        <v>87</v>
      </c>
      <c r="I44" s="121">
        <f>I43/I38</f>
        <v>1.4286326250856751</v>
      </c>
      <c r="J44" s="137">
        <f>J43/J38</f>
        <v>1.4004875145330764</v>
      </c>
      <c r="K44" s="133" t="s">
        <v>76</v>
      </c>
      <c r="L44" s="432">
        <f>+L43/I38</f>
        <v>0</v>
      </c>
      <c r="M44" s="433">
        <f>+M43/J38</f>
        <v>0</v>
      </c>
    </row>
    <row r="45" spans="1:19" ht="17.45" customHeight="1">
      <c r="A45" s="782" t="s">
        <v>19</v>
      </c>
      <c r="B45" s="783"/>
      <c r="C45" s="167">
        <f>SUMIF($G$7:$G$31,"Boiler",$F$7:$F$31)</f>
        <v>0</v>
      </c>
      <c r="D45" s="121">
        <f>+C45+'19'!D45</f>
        <v>0</v>
      </c>
      <c r="E45" s="146">
        <f t="shared" si="11"/>
        <v>0</v>
      </c>
      <c r="F45" s="365"/>
      <c r="G45" s="368"/>
      <c r="H45" s="191" t="s">
        <v>88</v>
      </c>
      <c r="I45" s="121">
        <f>I43/I40</f>
        <v>1.4600297697224414</v>
      </c>
      <c r="J45" s="137">
        <f>J43/J40</f>
        <v>1.4301325338339546</v>
      </c>
      <c r="K45" s="133" t="s">
        <v>76</v>
      </c>
      <c r="L45" s="432">
        <f>+L43/I40</f>
        <v>0</v>
      </c>
      <c r="M45" s="433">
        <f>+M43/J40</f>
        <v>0</v>
      </c>
    </row>
    <row r="46" spans="1:19" ht="17.45" customHeight="1">
      <c r="A46" s="782" t="s">
        <v>89</v>
      </c>
      <c r="B46" s="783"/>
      <c r="C46" s="167">
        <f>SUMIF($G$7:$G$31,"Gas",$F$7:$F$31)</f>
        <v>0</v>
      </c>
      <c r="D46" s="121">
        <f>+C46+'19'!D46</f>
        <v>0</v>
      </c>
      <c r="E46" s="146">
        <f t="shared" si="11"/>
        <v>0</v>
      </c>
      <c r="F46" s="365"/>
      <c r="G46" s="366"/>
      <c r="H46" s="191" t="s">
        <v>90</v>
      </c>
      <c r="I46" s="143">
        <f>+SUMIF(Listrik!P27,"&gt;0")</f>
        <v>41844.979999999996</v>
      </c>
      <c r="J46" s="138">
        <f>+I46+'19'!J46</f>
        <v>754456.15999999992</v>
      </c>
      <c r="K46" s="133" t="s">
        <v>91</v>
      </c>
      <c r="L46" s="432">
        <f>+Listrik!AF27</f>
        <v>0</v>
      </c>
      <c r="M46" s="434">
        <f>+L46+'19'!M46</f>
        <v>0</v>
      </c>
    </row>
    <row r="47" spans="1:19" ht="17.45" customHeight="1">
      <c r="A47" s="782" t="s">
        <v>92</v>
      </c>
      <c r="B47" s="783"/>
      <c r="C47" s="167">
        <f>SUMIF($G$7:$G$31,"Gas",$F$7:$F$31)</f>
        <v>0</v>
      </c>
      <c r="D47" s="121">
        <f>+C47+'19'!D47</f>
        <v>0</v>
      </c>
      <c r="E47" s="146">
        <f t="shared" si="11"/>
        <v>0</v>
      </c>
      <c r="F47" s="365"/>
      <c r="G47" s="366"/>
      <c r="H47" s="191" t="s">
        <v>93</v>
      </c>
      <c r="I47" s="121">
        <f>I46/I38</f>
        <v>896.26842015078807</v>
      </c>
      <c r="J47" s="138">
        <f>J46/J38</f>
        <v>828.06146735311029</v>
      </c>
      <c r="K47" s="133" t="s">
        <v>25</v>
      </c>
      <c r="L47" s="432">
        <f>+L46/I38</f>
        <v>0</v>
      </c>
      <c r="M47" s="433">
        <f>+M46/J38</f>
        <v>0</v>
      </c>
    </row>
    <row r="48" spans="1:19" ht="17.45" customHeight="1">
      <c r="A48" s="782" t="s">
        <v>15</v>
      </c>
      <c r="B48" s="783"/>
      <c r="C48" s="167">
        <f>SUMIF($G$7:$G$31,"Start Up",$F$7:$F$31)</f>
        <v>0</v>
      </c>
      <c r="D48" s="121">
        <f>+C48+'19'!D48</f>
        <v>0</v>
      </c>
      <c r="E48" s="146">
        <f t="shared" si="11"/>
        <v>0</v>
      </c>
      <c r="F48" s="365"/>
      <c r="G48" s="366"/>
      <c r="H48" s="191" t="s">
        <v>94</v>
      </c>
      <c r="I48" s="121">
        <f>I46/I40</f>
        <v>915.96576481919271</v>
      </c>
      <c r="J48" s="138">
        <f>J46/J40</f>
        <v>845.58957662024704</v>
      </c>
      <c r="K48" s="133" t="s">
        <v>25</v>
      </c>
      <c r="L48" s="432">
        <f>+L46/I38</f>
        <v>0</v>
      </c>
      <c r="M48" s="433">
        <f>+M46/J40</f>
        <v>0</v>
      </c>
    </row>
    <row r="49" spans="1:13" ht="17.45" customHeight="1">
      <c r="A49" s="782" t="s">
        <v>21</v>
      </c>
      <c r="B49" s="783"/>
      <c r="C49" s="167">
        <f>SUMIF($G$7:$G$31,"Others",$F$7:$F$31)</f>
        <v>0</v>
      </c>
      <c r="D49" s="121">
        <f>+C49+'19'!D49</f>
        <v>924</v>
      </c>
      <c r="E49" s="146">
        <f t="shared" si="11"/>
        <v>15.4</v>
      </c>
      <c r="F49" s="188"/>
      <c r="H49" s="191" t="s">
        <v>95</v>
      </c>
      <c r="I49" s="121">
        <f>+Report1!AB28</f>
        <v>5579.8311988197811</v>
      </c>
      <c r="J49" s="138">
        <f>+I49+'19'!J49</f>
        <v>83034.419979740022</v>
      </c>
      <c r="K49" s="133" t="s">
        <v>96</v>
      </c>
      <c r="L49" s="428"/>
      <c r="M49" s="429"/>
    </row>
    <row r="50" spans="1:13" ht="17.45" customHeight="1">
      <c r="A50" s="782" t="s">
        <v>20</v>
      </c>
      <c r="B50" s="783"/>
      <c r="C50" s="167">
        <f>SUMIF($G$7:$G$31,"Steam",$F$7:$F$31)</f>
        <v>0</v>
      </c>
      <c r="D50" s="121">
        <f>+C50+'19'!D50</f>
        <v>0</v>
      </c>
      <c r="E50" s="146">
        <f t="shared" si="11"/>
        <v>0</v>
      </c>
      <c r="F50" s="188"/>
      <c r="H50" s="191" t="s">
        <v>97</v>
      </c>
      <c r="I50" s="143">
        <f>I49/I38</f>
        <v>119.51317680816871</v>
      </c>
      <c r="J50" s="136">
        <f>J49/J38</f>
        <v>91.13532010824585</v>
      </c>
      <c r="K50" s="133" t="s">
        <v>96</v>
      </c>
      <c r="L50" s="428"/>
      <c r="M50" s="429"/>
    </row>
    <row r="51" spans="1:13" ht="17.45" customHeight="1" thickBot="1">
      <c r="A51" s="784" t="s">
        <v>98</v>
      </c>
      <c r="B51" s="785"/>
      <c r="C51" s="167">
        <f>SUMIF($G$7:$G$31,"Planned shut",$F$7:$F$31)</f>
        <v>0</v>
      </c>
      <c r="D51" s="121">
        <f>+C51+'19'!D51</f>
        <v>0</v>
      </c>
      <c r="E51" s="146">
        <f t="shared" si="11"/>
        <v>0</v>
      </c>
      <c r="F51" s="188"/>
      <c r="H51" s="193" t="s">
        <v>99</v>
      </c>
      <c r="I51" s="144">
        <f>I49/I40</f>
        <v>122.13972504202306</v>
      </c>
      <c r="J51" s="139">
        <f>J49/J40</f>
        <v>93.064440000829407</v>
      </c>
      <c r="K51" s="140" t="s">
        <v>96</v>
      </c>
      <c r="L51" s="428"/>
      <c r="M51" s="429"/>
    </row>
    <row r="52" spans="1:13" ht="13.5" thickBot="1">
      <c r="A52" s="786" t="s">
        <v>29</v>
      </c>
      <c r="B52" s="787"/>
      <c r="C52" s="147">
        <f>SUM(C38:C51)</f>
        <v>65</v>
      </c>
      <c r="D52" s="147">
        <f>SUM(D38:D51)</f>
        <v>2671</v>
      </c>
      <c r="E52" s="148">
        <f>SUM(E38:E51)</f>
        <v>44.516666666666666</v>
      </c>
      <c r="F52" s="188"/>
      <c r="H52" s="194"/>
      <c r="I52" s="195"/>
      <c r="J52" s="141"/>
      <c r="K52" s="142"/>
      <c r="L52" s="435"/>
      <c r="M52" s="436"/>
    </row>
    <row r="53" spans="1:13" ht="13.5" thickBot="1">
      <c r="A53" s="788"/>
      <c r="B53" s="789"/>
      <c r="C53" s="149">
        <f>C52/(24*60)</f>
        <v>4.5138888888888888E-2</v>
      </c>
      <c r="D53" s="149">
        <f>D52/(24*60*G4)</f>
        <v>9.2743055555555551E-2</v>
      </c>
      <c r="E53" s="150">
        <f>E52/(G4*24)</f>
        <v>9.2743055555555551E-2</v>
      </c>
      <c r="F53" s="188"/>
    </row>
    <row r="54" spans="1:13">
      <c r="E54" s="196"/>
      <c r="F54" s="188"/>
    </row>
    <row r="55" spans="1:13">
      <c r="E55" s="196"/>
    </row>
    <row r="56" spans="1:13">
      <c r="A56" s="197" t="s">
        <v>100</v>
      </c>
      <c r="B56" s="198"/>
      <c r="C56" s="199"/>
      <c r="D56" s="199"/>
      <c r="E56" s="199"/>
      <c r="F56" s="200"/>
      <c r="G56" s="199"/>
      <c r="H56" s="201"/>
      <c r="I56" s="202" t="s">
        <v>101</v>
      </c>
      <c r="J56" s="203">
        <f>+D34+'19'!J56</f>
        <v>2180</v>
      </c>
      <c r="K56" s="204">
        <f>J56/(J40+J56/1000)/1000</f>
        <v>2.4373745674498692E-3</v>
      </c>
    </row>
    <row r="57" spans="1:13">
      <c r="A57" s="179"/>
      <c r="I57" s="202" t="s">
        <v>102</v>
      </c>
      <c r="J57" s="203">
        <f>+E34+'19'!J57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1" type="noConversion"/>
  <printOptions horizontalCentered="1"/>
  <pageMargins left="0.74791666666666667" right="0.74791666666666667" top="0.39027777777777778" bottom="0.59027777777777779" header="0" footer="0"/>
  <pageSetup paperSize="9" scale="51"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O61"/>
  <sheetViews>
    <sheetView view="pageBreakPreview" zoomScale="80" zoomScaleNormal="80" zoomScaleSheetLayoutView="80" workbookViewId="0">
      <selection activeCell="A7" sqref="A7:B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1.7109375" style="152" bestFit="1" customWidth="1"/>
    <col min="11" max="11" width="12.5703125" style="152" bestFit="1" customWidth="1"/>
    <col min="12" max="12" width="8.28515625" style="152" customWidth="1"/>
    <col min="13" max="13" width="14.7109375" style="152" customWidth="1"/>
    <col min="14" max="16384" width="9.140625" style="152"/>
  </cols>
  <sheetData>
    <row r="1" spans="1:15" ht="15.75">
      <c r="A1" s="151"/>
    </row>
    <row r="2" spans="1:15" ht="15.75">
      <c r="A2" s="151" t="s">
        <v>185</v>
      </c>
    </row>
    <row r="3" spans="1:15" ht="15">
      <c r="A3" s="153"/>
    </row>
    <row r="4" spans="1:15" ht="20.25">
      <c r="A4" s="154" t="s">
        <v>5</v>
      </c>
      <c r="B4" s="155"/>
      <c r="F4" s="156" t="s">
        <v>30</v>
      </c>
      <c r="G4" s="157">
        <v>19</v>
      </c>
      <c r="H4" s="157" t="str">
        <f>+'1'!H4</f>
        <v>.03.26</v>
      </c>
    </row>
    <row r="5" spans="1:15" ht="13.5" thickBot="1">
      <c r="C5" s="158"/>
      <c r="D5" s="158"/>
    </row>
    <row r="6" spans="1:15"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f>332.5+347.3+426.1</f>
        <v>1105.9000000000001</v>
      </c>
    </row>
    <row r="7" spans="1:15" ht="13.5" customHeight="1" thickBot="1">
      <c r="A7" s="793" t="s">
        <v>477</v>
      </c>
      <c r="B7" s="218" t="s">
        <v>433</v>
      </c>
      <c r="C7" s="219">
        <v>15567</v>
      </c>
      <c r="D7" s="220"/>
      <c r="E7" s="221"/>
      <c r="F7" s="231"/>
      <c r="G7" s="232" t="s">
        <v>13</v>
      </c>
      <c r="H7" s="233" t="s">
        <v>391</v>
      </c>
      <c r="I7" s="796" t="s">
        <v>632</v>
      </c>
      <c r="J7" s="217" t="str">
        <f>+'18'!J7</f>
        <v>T 14 RC HW</v>
      </c>
      <c r="K7" s="241">
        <f>+C34</f>
        <v>47469</v>
      </c>
      <c r="L7" s="245"/>
      <c r="M7" s="120">
        <f>+K7+'18'!M7+L7</f>
        <v>122068</v>
      </c>
    </row>
    <row r="8" spans="1:15" ht="13.5" thickBot="1">
      <c r="A8" s="794"/>
      <c r="B8" s="218"/>
      <c r="C8" s="219"/>
      <c r="D8" s="220"/>
      <c r="E8" s="222"/>
      <c r="F8" s="234">
        <v>4</v>
      </c>
      <c r="G8" s="583" t="s">
        <v>13</v>
      </c>
      <c r="H8" s="233" t="s">
        <v>474</v>
      </c>
      <c r="I8" s="797"/>
      <c r="J8" s="217" t="str">
        <f>+'18'!J8</f>
        <v>T 15,5 RC HW</v>
      </c>
      <c r="K8" s="242"/>
      <c r="L8" s="242"/>
      <c r="M8" s="120">
        <f>+K8+'18'!M8+L8</f>
        <v>139937</v>
      </c>
      <c r="N8" s="152">
        <v>1150</v>
      </c>
      <c r="O8" s="152">
        <f>+N8-N8*0.22</f>
        <v>897</v>
      </c>
    </row>
    <row r="9" spans="1:15" ht="13.5" thickBot="1">
      <c r="A9" s="794"/>
      <c r="B9" s="218"/>
      <c r="C9" s="219"/>
      <c r="D9" s="220"/>
      <c r="E9" s="223"/>
      <c r="F9" s="231">
        <v>4</v>
      </c>
      <c r="G9" s="583" t="s">
        <v>13</v>
      </c>
      <c r="H9" s="236" t="s">
        <v>456</v>
      </c>
      <c r="I9" s="797"/>
      <c r="J9" s="217" t="str">
        <f>+'18'!J9</f>
        <v>T 13,5 RC HW</v>
      </c>
      <c r="K9" s="242"/>
      <c r="L9" s="242"/>
      <c r="M9" s="120">
        <f>+K9+'18'!M9+L9</f>
        <v>31497</v>
      </c>
    </row>
    <row r="10" spans="1:15" ht="13.5" thickBot="1">
      <c r="A10" s="794"/>
      <c r="B10" s="218"/>
      <c r="C10" s="219"/>
      <c r="D10" s="220"/>
      <c r="E10" s="222"/>
      <c r="F10" s="231"/>
      <c r="G10" s="240" t="s">
        <v>14</v>
      </c>
      <c r="H10" s="236" t="s">
        <v>626</v>
      </c>
      <c r="I10" s="797"/>
      <c r="J10" s="217" t="str">
        <f>+'18'!J10</f>
        <v>T 20 RC HW</v>
      </c>
      <c r="K10" s="242"/>
      <c r="L10" s="242"/>
      <c r="M10" s="120">
        <f>+K10+'18'!M10+L10</f>
        <v>35769</v>
      </c>
    </row>
    <row r="11" spans="1:15" ht="13.5" thickBot="1">
      <c r="A11" s="794"/>
      <c r="B11" s="218"/>
      <c r="C11" s="219"/>
      <c r="D11" s="220"/>
      <c r="E11" s="222"/>
      <c r="F11" s="231"/>
      <c r="G11" s="235"/>
      <c r="H11" s="236"/>
      <c r="I11" s="797"/>
      <c r="J11" s="217" t="str">
        <f>+'18'!J11</f>
        <v>T 17 RC HW</v>
      </c>
      <c r="K11" s="242"/>
      <c r="L11" s="242"/>
      <c r="M11" s="120">
        <f>+K11+'18'!M11+L11</f>
        <v>18517</v>
      </c>
    </row>
    <row r="12" spans="1:15" ht="13.5" thickBot="1">
      <c r="A12" s="794"/>
      <c r="B12" s="218"/>
      <c r="C12" s="219"/>
      <c r="D12" s="220"/>
      <c r="E12" s="222"/>
      <c r="F12" s="231"/>
      <c r="G12" s="235"/>
      <c r="H12" s="236"/>
      <c r="I12" s="797"/>
      <c r="J12" s="217" t="str">
        <f>+'18'!J12</f>
        <v>T 16 RC HW</v>
      </c>
      <c r="K12" s="242"/>
      <c r="L12" s="242"/>
      <c r="M12" s="120">
        <f>+K12+'18'!M12+L12</f>
        <v>38417</v>
      </c>
    </row>
    <row r="13" spans="1:15" ht="13.5" thickBot="1">
      <c r="A13" s="794"/>
      <c r="B13" s="218"/>
      <c r="C13" s="219"/>
      <c r="D13" s="219"/>
      <c r="E13" s="222"/>
      <c r="F13" s="231"/>
      <c r="G13" s="235"/>
      <c r="H13" s="236"/>
      <c r="I13" s="798"/>
      <c r="J13" s="217" t="str">
        <f>+'18'!J13</f>
        <v>N 15,5 RC HW</v>
      </c>
      <c r="K13" s="242"/>
      <c r="L13" s="242"/>
      <c r="M13" s="120">
        <f>+K13+'18'!M13+L13</f>
        <v>72746</v>
      </c>
    </row>
    <row r="14" spans="1:15" ht="13.5" thickBot="1">
      <c r="A14" s="795"/>
      <c r="B14" s="168" t="s">
        <v>3</v>
      </c>
      <c r="C14" s="102">
        <f>SUM(C7:C13)</f>
        <v>15567</v>
      </c>
      <c r="D14" s="114">
        <f>SUM(D7:D13)</f>
        <v>0</v>
      </c>
      <c r="E14" s="115">
        <f>SUM(E5:E13)</f>
        <v>0</v>
      </c>
      <c r="F14" s="105">
        <f>SUM(F6:F13)</f>
        <v>8</v>
      </c>
      <c r="G14" s="162"/>
      <c r="H14" s="169"/>
      <c r="I14" s="170"/>
      <c r="J14" s="217" t="str">
        <f>+'18'!J14</f>
        <v>TW 22 RC HW</v>
      </c>
      <c r="K14" s="242"/>
      <c r="L14" s="242"/>
      <c r="M14" s="120">
        <f>+K14+'18'!M14+L14</f>
        <v>387590</v>
      </c>
    </row>
    <row r="15" spans="1:15" ht="13.5" customHeight="1" thickBot="1">
      <c r="A15" s="793" t="s">
        <v>430</v>
      </c>
      <c r="B15" s="168"/>
      <c r="C15" s="116">
        <f>C14/($C$23+$D$23+$E$23)</f>
        <v>1.0003855793329477</v>
      </c>
      <c r="D15" s="117">
        <f>D14/($C$23+$D$23+$E$23)</f>
        <v>0</v>
      </c>
      <c r="E15" s="118">
        <f>E14/($C$23+$D$23+$E$23)</f>
        <v>0</v>
      </c>
      <c r="F15" s="231">
        <v>5</v>
      </c>
      <c r="G15" s="232" t="s">
        <v>13</v>
      </c>
      <c r="H15" s="233" t="s">
        <v>453</v>
      </c>
      <c r="I15" s="796" t="s">
        <v>632</v>
      </c>
      <c r="J15" s="217">
        <f>+'18'!J15</f>
        <v>0</v>
      </c>
      <c r="K15" s="242"/>
      <c r="L15" s="242"/>
      <c r="M15" s="120">
        <f>+K15+'18'!M15+L15</f>
        <v>0</v>
      </c>
    </row>
    <row r="16" spans="1:15" ht="13.5" thickBot="1">
      <c r="A16" s="799"/>
      <c r="B16" s="218" t="s">
        <v>433</v>
      </c>
      <c r="C16" s="225">
        <v>15561</v>
      </c>
      <c r="D16" s="226"/>
      <c r="E16" s="227"/>
      <c r="F16" s="234">
        <v>5</v>
      </c>
      <c r="G16" s="583" t="s">
        <v>13</v>
      </c>
      <c r="H16" s="233" t="s">
        <v>474</v>
      </c>
      <c r="I16" s="797"/>
      <c r="J16" s="217">
        <f>+'18'!J16</f>
        <v>0</v>
      </c>
      <c r="K16" s="242"/>
      <c r="L16" s="242"/>
      <c r="M16" s="120">
        <f>+K16+'18'!M16+L16</f>
        <v>0</v>
      </c>
    </row>
    <row r="17" spans="1:14" ht="13.5" thickBot="1">
      <c r="A17" s="799"/>
      <c r="B17" s="218"/>
      <c r="C17" s="219"/>
      <c r="D17" s="220"/>
      <c r="E17" s="228"/>
      <c r="F17" s="231">
        <v>10</v>
      </c>
      <c r="G17" s="583" t="s">
        <v>13</v>
      </c>
      <c r="H17" s="236" t="s">
        <v>421</v>
      </c>
      <c r="I17" s="797"/>
      <c r="J17" s="217">
        <f>+'18'!J17</f>
        <v>0</v>
      </c>
      <c r="K17" s="242"/>
      <c r="L17" s="242"/>
      <c r="M17" s="120">
        <f>+K17+'18'!M17+L17</f>
        <v>0</v>
      </c>
    </row>
    <row r="18" spans="1:14" ht="13.5" thickBot="1">
      <c r="A18" s="799"/>
      <c r="B18" s="218"/>
      <c r="C18" s="219"/>
      <c r="D18" s="220"/>
      <c r="E18" s="228"/>
      <c r="F18" s="231"/>
      <c r="G18" s="240" t="s">
        <v>14</v>
      </c>
      <c r="H18" s="236" t="s">
        <v>626</v>
      </c>
      <c r="I18" s="797"/>
      <c r="J18" s="217">
        <f>+'18'!J18</f>
        <v>0</v>
      </c>
      <c r="K18" s="242"/>
      <c r="L18" s="242"/>
      <c r="M18" s="120">
        <f>+K18+'18'!M18+L18</f>
        <v>0</v>
      </c>
    </row>
    <row r="19" spans="1:14" ht="13.5" thickBot="1">
      <c r="A19" s="799"/>
      <c r="B19" s="218"/>
      <c r="C19" s="219"/>
      <c r="D19" s="220"/>
      <c r="E19" s="228"/>
      <c r="F19" s="238"/>
      <c r="G19" s="235"/>
      <c r="H19" s="236"/>
      <c r="I19" s="797"/>
      <c r="J19" s="217">
        <f>+'18'!J19</f>
        <v>0</v>
      </c>
      <c r="K19" s="242"/>
      <c r="L19" s="242"/>
      <c r="M19" s="120">
        <f>+K19+'18'!M19+L19</f>
        <v>0</v>
      </c>
    </row>
    <row r="20" spans="1:14" ht="13.5" thickBot="1">
      <c r="A20" s="799"/>
      <c r="B20" s="218"/>
      <c r="C20" s="219"/>
      <c r="D20" s="220"/>
      <c r="E20" s="228"/>
      <c r="F20" s="231"/>
      <c r="G20" s="235"/>
      <c r="H20" s="236"/>
      <c r="I20" s="797"/>
      <c r="J20" s="217">
        <f>+'18'!J20</f>
        <v>0</v>
      </c>
      <c r="K20" s="242"/>
      <c r="L20" s="242"/>
      <c r="M20" s="120">
        <f>+K20+'18'!M20+L20</f>
        <v>0</v>
      </c>
    </row>
    <row r="21" spans="1:14" ht="13.5" thickBot="1">
      <c r="A21" s="799"/>
      <c r="B21" s="218"/>
      <c r="C21" s="219"/>
      <c r="D21" s="220"/>
      <c r="E21" s="228"/>
      <c r="F21" s="234"/>
      <c r="G21" s="235"/>
      <c r="H21" s="236"/>
      <c r="I21" s="797"/>
      <c r="J21" s="217">
        <f>+'18'!J21</f>
        <v>0</v>
      </c>
      <c r="K21" s="242"/>
      <c r="L21" s="242"/>
      <c r="M21" s="120">
        <f>+K21+'18'!M21+L21</f>
        <v>0</v>
      </c>
    </row>
    <row r="22" spans="1:14" ht="13.5" thickBot="1">
      <c r="A22" s="799"/>
      <c r="B22" s="218"/>
      <c r="C22" s="219"/>
      <c r="D22" s="220"/>
      <c r="E22" s="228"/>
      <c r="F22" s="239"/>
      <c r="G22" s="235"/>
      <c r="H22" s="236"/>
      <c r="I22" s="798"/>
      <c r="J22" s="217">
        <f>+'18'!J22</f>
        <v>0</v>
      </c>
      <c r="K22" s="242"/>
      <c r="L22" s="242"/>
      <c r="M22" s="120">
        <f>+K22+'18'!M22+L22</f>
        <v>0</v>
      </c>
    </row>
    <row r="23" spans="1:14" ht="13.5" thickBot="1">
      <c r="A23" s="800"/>
      <c r="B23" s="168" t="s">
        <v>3</v>
      </c>
      <c r="C23" s="103">
        <f>SUM(C16:C22)</f>
        <v>15561</v>
      </c>
      <c r="D23" s="114">
        <f>SUM(D16:D22)</f>
        <v>0</v>
      </c>
      <c r="E23" s="115">
        <f>SUM(E18:E22)</f>
        <v>0</v>
      </c>
      <c r="F23" s="105">
        <f>SUM(F15:F22)</f>
        <v>20</v>
      </c>
      <c r="G23" s="162"/>
      <c r="H23" s="169"/>
      <c r="I23" s="172"/>
      <c r="J23" s="217">
        <f>+'18'!J23</f>
        <v>0</v>
      </c>
      <c r="K23" s="242"/>
      <c r="L23" s="242"/>
      <c r="M23" s="120">
        <f>+K23+'18'!M23+L23</f>
        <v>0</v>
      </c>
    </row>
    <row r="24" spans="1:14" ht="13.5" customHeight="1" thickBot="1">
      <c r="A24" s="793" t="s">
        <v>431</v>
      </c>
      <c r="B24" s="173"/>
      <c r="C24" s="116">
        <f>C23/($C$23+$D$23+$E$23)</f>
        <v>1</v>
      </c>
      <c r="D24" s="117">
        <f>D23/($C$23+$D$23+$E$23)</f>
        <v>0</v>
      </c>
      <c r="E24" s="118">
        <f>E23/($C$23+$D$23+$E$23)</f>
        <v>0</v>
      </c>
      <c r="F24" s="231">
        <v>10</v>
      </c>
      <c r="G24" s="232" t="s">
        <v>13</v>
      </c>
      <c r="H24" s="233" t="s">
        <v>486</v>
      </c>
      <c r="I24" s="796" t="s">
        <v>632</v>
      </c>
      <c r="J24" s="217">
        <f>+'18'!J24</f>
        <v>0</v>
      </c>
      <c r="K24" s="242"/>
      <c r="L24" s="242"/>
      <c r="M24" s="120">
        <f>+K24+'18'!M24+L24</f>
        <v>0</v>
      </c>
    </row>
    <row r="25" spans="1:14" ht="13.5" thickBot="1">
      <c r="A25" s="799"/>
      <c r="B25" s="218" t="s">
        <v>433</v>
      </c>
      <c r="C25" s="229">
        <v>16341</v>
      </c>
      <c r="D25" s="220"/>
      <c r="E25" s="228"/>
      <c r="F25" s="234"/>
      <c r="G25" s="583" t="s">
        <v>13</v>
      </c>
      <c r="H25" s="233" t="s">
        <v>392</v>
      </c>
      <c r="I25" s="797"/>
      <c r="J25" s="217">
        <f>+'18'!J25</f>
        <v>0</v>
      </c>
      <c r="K25" s="242"/>
      <c r="L25" s="242"/>
      <c r="M25" s="120">
        <f>+K25+'18'!M25+L25</f>
        <v>0</v>
      </c>
    </row>
    <row r="26" spans="1:14" ht="13.5" thickBot="1">
      <c r="A26" s="799"/>
      <c r="B26" s="218"/>
      <c r="C26" s="229"/>
      <c r="D26" s="220"/>
      <c r="E26" s="230"/>
      <c r="F26" s="231">
        <v>9</v>
      </c>
      <c r="G26" s="583" t="s">
        <v>13</v>
      </c>
      <c r="H26" s="236" t="s">
        <v>617</v>
      </c>
      <c r="I26" s="797"/>
      <c r="J26" s="217">
        <f>+'18'!J26</f>
        <v>0</v>
      </c>
      <c r="K26" s="242"/>
      <c r="L26" s="242"/>
      <c r="M26" s="120">
        <f>+K26+'18'!M26+L26</f>
        <v>0</v>
      </c>
    </row>
    <row r="27" spans="1:14" ht="13.5" thickBot="1">
      <c r="A27" s="799"/>
      <c r="B27" s="218"/>
      <c r="C27" s="219"/>
      <c r="D27" s="220"/>
      <c r="E27" s="228"/>
      <c r="F27" s="231"/>
      <c r="G27" s="240" t="s">
        <v>14</v>
      </c>
      <c r="H27" s="236" t="s">
        <v>626</v>
      </c>
      <c r="I27" s="797"/>
      <c r="J27" s="217">
        <f>+'18'!J27</f>
        <v>0</v>
      </c>
      <c r="K27" s="242"/>
      <c r="L27" s="242"/>
      <c r="M27" s="120">
        <f>+K27+'18'!M27+L27</f>
        <v>0</v>
      </c>
    </row>
    <row r="28" spans="1:14" ht="13.5" thickBot="1">
      <c r="A28" s="799"/>
      <c r="B28" s="218"/>
      <c r="C28" s="219"/>
      <c r="D28" s="220"/>
      <c r="E28" s="228"/>
      <c r="F28" s="234"/>
      <c r="G28" s="235"/>
      <c r="H28" s="236" t="s">
        <v>627</v>
      </c>
      <c r="I28" s="797"/>
      <c r="J28" s="217">
        <f>+'18'!J28</f>
        <v>0</v>
      </c>
      <c r="K28" s="242"/>
      <c r="L28" s="242"/>
      <c r="M28" s="120">
        <f>+K28+'18'!M28+L28</f>
        <v>0</v>
      </c>
    </row>
    <row r="29" spans="1:14" ht="13.5" thickBot="1">
      <c r="A29" s="799"/>
      <c r="B29" s="218"/>
      <c r="C29" s="219"/>
      <c r="D29" s="220"/>
      <c r="E29" s="228"/>
      <c r="F29" s="239"/>
      <c r="G29" s="235"/>
      <c r="H29" s="236"/>
      <c r="I29" s="797"/>
      <c r="J29" s="217">
        <f>+'18'!J29</f>
        <v>0</v>
      </c>
      <c r="K29" s="242"/>
      <c r="L29" s="242"/>
      <c r="M29" s="120">
        <f>+K29+'18'!M29+L29</f>
        <v>0</v>
      </c>
    </row>
    <row r="30" spans="1:14" ht="13.5" thickBot="1">
      <c r="A30" s="799"/>
      <c r="B30" s="218"/>
      <c r="C30" s="229"/>
      <c r="D30" s="220"/>
      <c r="E30" s="228"/>
      <c r="F30" s="239"/>
      <c r="G30" s="235"/>
      <c r="H30" s="236"/>
      <c r="I30" s="797"/>
      <c r="J30" s="217">
        <f>+'18'!J30</f>
        <v>0</v>
      </c>
      <c r="K30" s="242"/>
      <c r="L30" s="242"/>
      <c r="M30" s="120">
        <f>+K30+'18'!M30+L30</f>
        <v>0</v>
      </c>
      <c r="N30" s="158"/>
    </row>
    <row r="31" spans="1:14" ht="13.5" thickBot="1">
      <c r="A31" s="799"/>
      <c r="B31" s="218"/>
      <c r="C31" s="229"/>
      <c r="D31" s="220"/>
      <c r="E31" s="228"/>
      <c r="F31" s="239"/>
      <c r="G31" s="240"/>
      <c r="H31" s="237"/>
      <c r="I31" s="798"/>
      <c r="J31" s="217">
        <f>+'18'!J31</f>
        <v>0</v>
      </c>
      <c r="K31" s="242"/>
      <c r="L31" s="242"/>
      <c r="M31" s="120">
        <f>+K31+'18'!M31+L31</f>
        <v>0</v>
      </c>
    </row>
    <row r="32" spans="1:14" ht="13.5" thickBot="1">
      <c r="A32" s="800"/>
      <c r="B32" s="168" t="s">
        <v>3</v>
      </c>
      <c r="C32" s="102">
        <f>SUM(C25:C31)</f>
        <v>16341</v>
      </c>
      <c r="D32" s="103">
        <f>SUM(D25:D31)</f>
        <v>0</v>
      </c>
      <c r="E32" s="104">
        <f>SUM(E25:E31)</f>
        <v>0</v>
      </c>
      <c r="F32" s="105">
        <f>SUM(F24:F31)</f>
        <v>19</v>
      </c>
      <c r="G32" s="174"/>
      <c r="H32" s="175"/>
      <c r="I32" s="172"/>
      <c r="J32" s="217">
        <f>+'18'!J32</f>
        <v>0</v>
      </c>
      <c r="K32" s="244"/>
      <c r="L32" s="246"/>
      <c r="M32" s="120">
        <f>+K32+'18'!M32+L32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801" t="s">
        <v>70</v>
      </c>
      <c r="B34" s="802"/>
      <c r="C34" s="110">
        <f>C14+C23+C32</f>
        <v>47469</v>
      </c>
      <c r="D34" s="110">
        <f>D14+D23+D32</f>
        <v>0</v>
      </c>
      <c r="E34" s="110">
        <f>E14+E23+E32</f>
        <v>0</v>
      </c>
      <c r="F34" s="111">
        <f>F14+F23+F32</f>
        <v>47</v>
      </c>
      <c r="H34" s="181"/>
      <c r="I34" s="181"/>
      <c r="J34" s="126" t="s">
        <v>29</v>
      </c>
      <c r="K34" s="127">
        <f>SUM(K7:K32)</f>
        <v>47469</v>
      </c>
      <c r="L34" s="215">
        <f>SUM(L7:L32)</f>
        <v>0</v>
      </c>
      <c r="M34" s="123">
        <f>SUM(M7:M32)</f>
        <v>846541</v>
      </c>
      <c r="N34" s="158"/>
    </row>
    <row r="35" spans="1:14" ht="13.5" thickBot="1">
      <c r="A35" s="182"/>
      <c r="B35" s="183"/>
      <c r="C35" s="107">
        <f>C34/($C$34+$D$34+$E$34)</f>
        <v>1</v>
      </c>
      <c r="D35" s="107">
        <f>D34/($C$34+$D$34+$E$34)</f>
        <v>0</v>
      </c>
      <c r="E35" s="112">
        <f>E34/($C$34+$D$34+$E$34)</f>
        <v>0</v>
      </c>
      <c r="K35" s="158"/>
      <c r="L35" s="792" t="s">
        <v>187</v>
      </c>
      <c r="M35" s="792"/>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90" t="s">
        <v>71</v>
      </c>
      <c r="B37" s="791"/>
      <c r="C37" s="165" t="s">
        <v>72</v>
      </c>
      <c r="D37" s="186" t="s">
        <v>73</v>
      </c>
      <c r="E37" s="187" t="s">
        <v>74</v>
      </c>
      <c r="F37" s="365"/>
      <c r="G37" s="367"/>
      <c r="H37" s="189" t="s">
        <v>75</v>
      </c>
      <c r="I37" s="247">
        <f>(14*1440)/1440*G42*2.75*1440/1000000</f>
        <v>49.729680000000002</v>
      </c>
      <c r="J37" s="128">
        <f>+I37+'18'!J37</f>
        <v>913.70715808837747</v>
      </c>
      <c r="K37" s="129" t="s">
        <v>76</v>
      </c>
      <c r="L37" s="426"/>
      <c r="M37" s="427"/>
    </row>
    <row r="38" spans="1:14" ht="17.45" customHeight="1">
      <c r="A38" s="786" t="s">
        <v>13</v>
      </c>
      <c r="B38" s="787"/>
      <c r="C38" s="167">
        <f>SUMIF($G$7:$G$31,"Process",$F$7:$F$31)</f>
        <v>47</v>
      </c>
      <c r="D38" s="121">
        <f>+C38+'18'!D38</f>
        <v>1316</v>
      </c>
      <c r="E38" s="146">
        <f t="shared" ref="E38:E51" si="0">D38/60</f>
        <v>21.933333333333334</v>
      </c>
      <c r="F38" s="365">
        <v>1150</v>
      </c>
      <c r="G38" s="365">
        <f t="shared" ref="G38:G40" si="1">+F38-F38*0.22</f>
        <v>897</v>
      </c>
      <c r="H38" s="190" t="s">
        <v>77</v>
      </c>
      <c r="I38" s="547">
        <f>16.318+14.738+16.188</f>
        <v>47.244</v>
      </c>
      <c r="J38" s="130">
        <f>+I38+'18'!J38</f>
        <v>864.42330000000004</v>
      </c>
      <c r="K38" s="131" t="s">
        <v>76</v>
      </c>
      <c r="L38" s="428"/>
      <c r="M38" s="429"/>
    </row>
    <row r="39" spans="1:14" ht="17.45" customHeight="1">
      <c r="A39" s="782" t="s">
        <v>14</v>
      </c>
      <c r="B39" s="783"/>
      <c r="C39" s="167">
        <f>SUMIF($G$7:$G$31,"Cleaning",$F$7:$F$31)</f>
        <v>0</v>
      </c>
      <c r="D39" s="121">
        <f>+C39+'18'!D39</f>
        <v>181</v>
      </c>
      <c r="E39" s="146">
        <f t="shared" si="0"/>
        <v>3.0166666666666666</v>
      </c>
      <c r="F39" s="365">
        <v>1150</v>
      </c>
      <c r="G39" s="365">
        <f t="shared" si="1"/>
        <v>897</v>
      </c>
      <c r="H39" s="190" t="s">
        <v>78</v>
      </c>
      <c r="I39" s="145"/>
      <c r="J39" s="132">
        <f>J37/G4</f>
        <v>48.089850425704078</v>
      </c>
      <c r="K39" s="133" t="s">
        <v>76</v>
      </c>
      <c r="L39" s="428"/>
      <c r="M39" s="429"/>
    </row>
    <row r="40" spans="1:14" ht="17.45" customHeight="1">
      <c r="A40" s="782" t="s">
        <v>79</v>
      </c>
      <c r="B40" s="783"/>
      <c r="C40" s="167">
        <f>SUMIF($G$7:$G$31,"Mechanical",$F$7:$F$31)</f>
        <v>0</v>
      </c>
      <c r="D40" s="121">
        <f>+C40+'18'!D40</f>
        <v>120</v>
      </c>
      <c r="E40" s="146">
        <f t="shared" si="0"/>
        <v>2</v>
      </c>
      <c r="F40" s="365">
        <v>1150</v>
      </c>
      <c r="G40" s="365">
        <f t="shared" si="1"/>
        <v>897</v>
      </c>
      <c r="H40" s="190" t="s">
        <v>80</v>
      </c>
      <c r="I40" s="121">
        <f>(K34+L34)/1000</f>
        <v>47.469000000000001</v>
      </c>
      <c r="J40" s="134">
        <f>+I40+'18'!J40</f>
        <v>846.54100000000005</v>
      </c>
      <c r="K40" s="133" t="s">
        <v>76</v>
      </c>
      <c r="L40" s="428"/>
      <c r="M40" s="429"/>
    </row>
    <row r="41" spans="1:14" ht="17.45" customHeight="1">
      <c r="A41" s="782" t="s">
        <v>81</v>
      </c>
      <c r="B41" s="783"/>
      <c r="C41" s="167">
        <f>SUMIF($G$7:$G$31,"Electrical",$F$7:$F$31)</f>
        <v>0</v>
      </c>
      <c r="D41" s="121">
        <f>+C41+'18'!D41</f>
        <v>65</v>
      </c>
      <c r="E41" s="146">
        <f t="shared" si="0"/>
        <v>1.0833333333333333</v>
      </c>
      <c r="F41" s="365"/>
      <c r="G41" s="365"/>
      <c r="H41" s="190" t="s">
        <v>82</v>
      </c>
      <c r="I41" s="145"/>
      <c r="J41" s="132">
        <f>J40/G4</f>
        <v>44.554789473684217</v>
      </c>
      <c r="K41" s="133" t="s">
        <v>76</v>
      </c>
      <c r="L41" s="428"/>
      <c r="M41" s="429"/>
    </row>
    <row r="42" spans="1:14" ht="17.45" customHeight="1">
      <c r="A42" s="782" t="s">
        <v>17</v>
      </c>
      <c r="B42" s="783"/>
      <c r="C42" s="167">
        <f>SUMIF($G$7:$G$31,"Instrument",$F$7:$F$31)</f>
        <v>0</v>
      </c>
      <c r="D42" s="121">
        <f>+C42+'18'!D42</f>
        <v>0</v>
      </c>
      <c r="E42" s="146">
        <f t="shared" si="0"/>
        <v>0</v>
      </c>
      <c r="F42" s="365">
        <f>+(F38*480+F39*480+F40*480)/1440</f>
        <v>1150</v>
      </c>
      <c r="G42" s="365">
        <f>+(G38*480+G39*480+G40*480)/1440</f>
        <v>897</v>
      </c>
      <c r="H42" s="190" t="s">
        <v>83</v>
      </c>
      <c r="I42" s="249" t="s">
        <v>632</v>
      </c>
      <c r="J42" s="135"/>
      <c r="K42" s="133" t="s">
        <v>84</v>
      </c>
      <c r="L42" s="428"/>
      <c r="M42" s="429"/>
    </row>
    <row r="43" spans="1:14" ht="17.45" customHeight="1">
      <c r="A43" s="782" t="s">
        <v>202</v>
      </c>
      <c r="B43" s="783"/>
      <c r="C43" s="167">
        <f>SUMIF($G$7:$G$31,"Change Grade",$F$7:$F$31)</f>
        <v>0</v>
      </c>
      <c r="D43" s="121">
        <f>+C43+'18'!D43</f>
        <v>0</v>
      </c>
      <c r="E43" s="146">
        <f t="shared" si="0"/>
        <v>0</v>
      </c>
      <c r="F43" s="365"/>
      <c r="G43" s="366"/>
      <c r="H43" s="191" t="s">
        <v>86</v>
      </c>
      <c r="I43" s="121">
        <f>+Report1!AH27</f>
        <v>65.2</v>
      </c>
      <c r="J43" s="136">
        <f>+I43+'18'!J43</f>
        <v>1209.3000000000002</v>
      </c>
      <c r="K43" s="133" t="s">
        <v>76</v>
      </c>
      <c r="L43" s="430">
        <f>+Report1!AN27</f>
        <v>0</v>
      </c>
      <c r="M43" s="431">
        <f>+L43+'18'!M43</f>
        <v>0</v>
      </c>
    </row>
    <row r="44" spans="1:14" ht="17.45" customHeight="1">
      <c r="A44" s="782" t="s">
        <v>18</v>
      </c>
      <c r="B44" s="783"/>
      <c r="C44" s="167">
        <f>SUMIF($G$7:$G$31,"PLN",$F$7:$F$31)</f>
        <v>0</v>
      </c>
      <c r="D44" s="121">
        <f>+C44+'18'!D44</f>
        <v>0</v>
      </c>
      <c r="E44" s="146">
        <f t="shared" si="0"/>
        <v>0</v>
      </c>
      <c r="F44" s="365"/>
      <c r="G44" s="366"/>
      <c r="H44" s="191" t="s">
        <v>87</v>
      </c>
      <c r="I44" s="121">
        <f>I43/I38</f>
        <v>1.3800694268055202</v>
      </c>
      <c r="J44" s="137">
        <f>J43/J38</f>
        <v>1.3989673809116439</v>
      </c>
      <c r="K44" s="133" t="s">
        <v>76</v>
      </c>
      <c r="L44" s="432">
        <f>+L43/I38</f>
        <v>0</v>
      </c>
      <c r="M44" s="433">
        <f>+M43/J38</f>
        <v>0</v>
      </c>
    </row>
    <row r="45" spans="1:14" ht="17.45" customHeight="1">
      <c r="A45" s="782" t="s">
        <v>19</v>
      </c>
      <c r="B45" s="783"/>
      <c r="C45" s="167">
        <f>SUMIF($G$7:$G$31,"Boiler",$F$7:$F$31)</f>
        <v>0</v>
      </c>
      <c r="D45" s="121">
        <f>+C45+'18'!D45</f>
        <v>0</v>
      </c>
      <c r="E45" s="146">
        <f t="shared" si="0"/>
        <v>0</v>
      </c>
      <c r="F45" s="365"/>
      <c r="G45" s="368"/>
      <c r="H45" s="191" t="s">
        <v>88</v>
      </c>
      <c r="I45" s="121">
        <f>I43/I40</f>
        <v>1.3735279866860477</v>
      </c>
      <c r="J45" s="137">
        <f>J43/J40</f>
        <v>1.4285191148449987</v>
      </c>
      <c r="K45" s="133" t="s">
        <v>76</v>
      </c>
      <c r="L45" s="432">
        <f>+L43/I40</f>
        <v>0</v>
      </c>
      <c r="M45" s="433">
        <f>+M43/J40</f>
        <v>0</v>
      </c>
    </row>
    <row r="46" spans="1:14" ht="17.45" customHeight="1">
      <c r="A46" s="782" t="s">
        <v>89</v>
      </c>
      <c r="B46" s="783"/>
      <c r="C46" s="167">
        <f>SUMIF($G$7:$G$31,"Gas",$F$7:$F$31)</f>
        <v>0</v>
      </c>
      <c r="D46" s="121">
        <f>+C46+'18'!D46</f>
        <v>0</v>
      </c>
      <c r="E46" s="146">
        <f t="shared" si="0"/>
        <v>0</v>
      </c>
      <c r="F46" s="365"/>
      <c r="G46" s="366"/>
      <c r="H46" s="191" t="s">
        <v>90</v>
      </c>
      <c r="I46" s="143">
        <f>+SUMIF(Listrik!P26,"&gt;0")</f>
        <v>42535.160000000033</v>
      </c>
      <c r="J46" s="138">
        <f>+I46+'18'!J46</f>
        <v>712611.17999999993</v>
      </c>
      <c r="K46" s="133" t="s">
        <v>91</v>
      </c>
      <c r="L46" s="432">
        <f>+Listrik!AF26</f>
        <v>0</v>
      </c>
      <c r="M46" s="434">
        <f>+L46+'18'!M46</f>
        <v>0</v>
      </c>
    </row>
    <row r="47" spans="1:14" ht="17.45" customHeight="1">
      <c r="A47" s="782" t="s">
        <v>92</v>
      </c>
      <c r="B47" s="783"/>
      <c r="C47" s="167">
        <f>SUMIF($G$7:$G$31,"Gas",$F$7:$F$31)</f>
        <v>0</v>
      </c>
      <c r="D47" s="121">
        <f>+C47+'18'!D47</f>
        <v>0</v>
      </c>
      <c r="E47" s="146">
        <f t="shared" si="0"/>
        <v>0</v>
      </c>
      <c r="F47" s="365"/>
      <c r="G47" s="366"/>
      <c r="H47" s="191" t="s">
        <v>93</v>
      </c>
      <c r="I47" s="121">
        <f>I46/I38</f>
        <v>900.329353992042</v>
      </c>
      <c r="J47" s="138">
        <f>J46/J38</f>
        <v>824.37757057219528</v>
      </c>
      <c r="K47" s="133" t="s">
        <v>25</v>
      </c>
      <c r="L47" s="432">
        <f>+L46/I38</f>
        <v>0</v>
      </c>
      <c r="M47" s="433">
        <f>+M46/J38</f>
        <v>0</v>
      </c>
    </row>
    <row r="48" spans="1:14" ht="17.45" customHeight="1">
      <c r="A48" s="782" t="s">
        <v>15</v>
      </c>
      <c r="B48" s="783"/>
      <c r="C48" s="167">
        <f>SUMIF($G$7:$G$31,"Start Up",$F$7:$F$31)</f>
        <v>0</v>
      </c>
      <c r="D48" s="121">
        <f>+C48+'18'!D48</f>
        <v>0</v>
      </c>
      <c r="E48" s="146">
        <f t="shared" si="0"/>
        <v>0</v>
      </c>
      <c r="F48" s="365"/>
      <c r="G48" s="366"/>
      <c r="H48" s="191" t="s">
        <v>94</v>
      </c>
      <c r="I48" s="121">
        <f>I46/I40</f>
        <v>896.06185089216183</v>
      </c>
      <c r="J48" s="138">
        <f>J46/J40</f>
        <v>841.79169112895875</v>
      </c>
      <c r="K48" s="133" t="s">
        <v>25</v>
      </c>
      <c r="L48" s="432">
        <f>+L46/I38</f>
        <v>0</v>
      </c>
      <c r="M48" s="433">
        <f>+M46/J40</f>
        <v>0</v>
      </c>
    </row>
    <row r="49" spans="1:13" ht="17.45" customHeight="1">
      <c r="A49" s="782" t="s">
        <v>21</v>
      </c>
      <c r="B49" s="783"/>
      <c r="C49" s="167">
        <f>SUMIF($G$7:$G$31,"Others",$F$7:$F$31)</f>
        <v>0</v>
      </c>
      <c r="D49" s="121">
        <f>+C49+'18'!D49</f>
        <v>924</v>
      </c>
      <c r="E49" s="146">
        <f t="shared" si="0"/>
        <v>15.4</v>
      </c>
      <c r="F49" s="188"/>
      <c r="H49" s="191" t="s">
        <v>95</v>
      </c>
      <c r="I49" s="121">
        <f>+Report1!AB27</f>
        <v>5297.5256555226042</v>
      </c>
      <c r="J49" s="138">
        <f>+I49+'18'!J49</f>
        <v>77454.58878092024</v>
      </c>
      <c r="K49" s="133" t="s">
        <v>96</v>
      </c>
      <c r="L49" s="428"/>
      <c r="M49" s="429"/>
    </row>
    <row r="50" spans="1:13" ht="17.45" customHeight="1">
      <c r="A50" s="782" t="s">
        <v>20</v>
      </c>
      <c r="B50" s="783"/>
      <c r="C50" s="167">
        <f>SUMIF($G$7:$G$31,"Steam",$F$7:$F$31)</f>
        <v>0</v>
      </c>
      <c r="D50" s="121">
        <f>+C50+'18'!D50</f>
        <v>0</v>
      </c>
      <c r="E50" s="146">
        <f t="shared" si="0"/>
        <v>0</v>
      </c>
      <c r="F50" s="188"/>
      <c r="H50" s="191" t="s">
        <v>97</v>
      </c>
      <c r="I50" s="143">
        <f>I49/I38</f>
        <v>112.13118397092973</v>
      </c>
      <c r="J50" s="136">
        <f>J49/J38</f>
        <v>89.602615733426248</v>
      </c>
      <c r="K50" s="133" t="s">
        <v>96</v>
      </c>
      <c r="L50" s="428"/>
      <c r="M50" s="429"/>
    </row>
    <row r="51" spans="1:13" ht="17.45" customHeight="1" thickBot="1">
      <c r="A51" s="784" t="s">
        <v>98</v>
      </c>
      <c r="B51" s="785"/>
      <c r="C51" s="167">
        <f>SUMIF($G$7:$G$31,"Planned shut",$F$7:$F$31)</f>
        <v>0</v>
      </c>
      <c r="D51" s="121">
        <f>+C51+'18'!D51</f>
        <v>0</v>
      </c>
      <c r="E51" s="146">
        <f t="shared" si="0"/>
        <v>0</v>
      </c>
      <c r="F51" s="188"/>
      <c r="H51" s="193" t="s">
        <v>99</v>
      </c>
      <c r="I51" s="144">
        <f>I49/I40</f>
        <v>111.59968938723387</v>
      </c>
      <c r="J51" s="139">
        <f>J49/J40</f>
        <v>91.495377992229834</v>
      </c>
      <c r="K51" s="140" t="s">
        <v>96</v>
      </c>
      <c r="L51" s="428"/>
      <c r="M51" s="429"/>
    </row>
    <row r="52" spans="1:13" ht="13.5" thickBot="1">
      <c r="A52" s="786" t="s">
        <v>29</v>
      </c>
      <c r="B52" s="787"/>
      <c r="C52" s="147">
        <f>SUM(C38:C51)</f>
        <v>47</v>
      </c>
      <c r="D52" s="147">
        <f>SUM(D38:D51)</f>
        <v>2606</v>
      </c>
      <c r="E52" s="148">
        <f>SUM(E38:E51)</f>
        <v>43.43333333333333</v>
      </c>
      <c r="F52" s="188"/>
      <c r="H52" s="194"/>
      <c r="I52" s="195"/>
      <c r="J52" s="141"/>
      <c r="K52" s="142"/>
      <c r="L52" s="435"/>
      <c r="M52" s="436"/>
    </row>
    <row r="53" spans="1:13" ht="13.5" thickBot="1">
      <c r="A53" s="788"/>
      <c r="B53" s="789"/>
      <c r="C53" s="149">
        <f>C52/(24*60)</f>
        <v>3.2638888888888891E-2</v>
      </c>
      <c r="D53" s="149">
        <f>D52/(24*60*G4)</f>
        <v>9.5248538011695902E-2</v>
      </c>
      <c r="E53" s="150">
        <f>E52/(G4*24)</f>
        <v>9.5248538011695902E-2</v>
      </c>
      <c r="F53" s="188"/>
    </row>
    <row r="54" spans="1:13">
      <c r="E54" s="196"/>
      <c r="F54" s="188"/>
    </row>
    <row r="55" spans="1:13">
      <c r="E55" s="196"/>
    </row>
    <row r="56" spans="1:13">
      <c r="A56" s="197" t="s">
        <v>100</v>
      </c>
      <c r="B56" s="198"/>
      <c r="C56" s="199"/>
      <c r="D56" s="199"/>
      <c r="E56" s="199"/>
      <c r="F56" s="200"/>
      <c r="G56" s="199"/>
      <c r="H56" s="201"/>
      <c r="I56" s="202" t="s">
        <v>101</v>
      </c>
      <c r="J56" s="203">
        <f>+D34+'18'!J56</f>
        <v>2180</v>
      </c>
      <c r="K56" s="204">
        <f>J56/(J40+J56/1000)/1000</f>
        <v>2.5685708259840395E-3</v>
      </c>
    </row>
    <row r="57" spans="1:13">
      <c r="A57" s="179"/>
      <c r="I57" s="202" t="s">
        <v>102</v>
      </c>
      <c r="J57" s="203">
        <f>+E34+'18'!J57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I24:I31"/>
    <mergeCell ref="A7:A14"/>
    <mergeCell ref="A41:B41"/>
    <mergeCell ref="I7:I13"/>
    <mergeCell ref="A15:A23"/>
    <mergeCell ref="I15:I22"/>
    <mergeCell ref="A24:A32"/>
    <mergeCell ref="A34:B34"/>
    <mergeCell ref="A37:B37"/>
    <mergeCell ref="A38:B38"/>
    <mergeCell ref="A39:B39"/>
    <mergeCell ref="A40:B40"/>
    <mergeCell ref="L35:M35"/>
    <mergeCell ref="A46:B46"/>
    <mergeCell ref="A52:B52"/>
    <mergeCell ref="A53:B53"/>
    <mergeCell ref="A47:B47"/>
    <mergeCell ref="A48:B48"/>
    <mergeCell ref="A49:B49"/>
    <mergeCell ref="A50:B50"/>
    <mergeCell ref="A51:B51"/>
    <mergeCell ref="A43:B43"/>
    <mergeCell ref="A44:B44"/>
    <mergeCell ref="A45:B45"/>
    <mergeCell ref="A42:B42"/>
  </mergeCells>
  <phoneticPr fontId="31" type="noConversion"/>
  <printOptions horizontalCentered="1"/>
  <pageMargins left="0.74791666666666667" right="0.74791666666666667" top="0.39027777777777778" bottom="0.39027777777777778" header="0" footer="0"/>
  <pageSetup paperSize="9" scale="57"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R61"/>
  <sheetViews>
    <sheetView view="pageBreakPreview" topLeftCell="F4" zoomScale="80" zoomScaleNormal="80" zoomScaleSheetLayoutView="80" workbookViewId="0">
      <selection activeCell="N8" sqref="N8:O8"/>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7109375" style="113" bestFit="1" customWidth="1"/>
    <col min="7" max="7" width="11.42578125" style="152" bestFit="1" customWidth="1"/>
    <col min="8" max="8" width="64.85546875" style="152" customWidth="1"/>
    <col min="9" max="9" width="14.7109375" style="152" bestFit="1" customWidth="1"/>
    <col min="10" max="10" width="20.85546875" style="152" customWidth="1"/>
    <col min="11" max="11" width="12.5703125" style="152" bestFit="1" customWidth="1"/>
    <col min="12" max="12" width="8.28515625" style="152" customWidth="1"/>
    <col min="13" max="13" width="13.85546875" style="152" bestFit="1" customWidth="1"/>
    <col min="14" max="16384" width="9.140625" style="152"/>
  </cols>
  <sheetData>
    <row r="1" spans="1:18" ht="15.75">
      <c r="A1" s="151"/>
    </row>
    <row r="2" spans="1:18" ht="15.75">
      <c r="A2" s="151" t="s">
        <v>185</v>
      </c>
    </row>
    <row r="3" spans="1:18" ht="15">
      <c r="A3" s="153"/>
    </row>
    <row r="4" spans="1:18" ht="20.25">
      <c r="A4" s="154" t="s">
        <v>5</v>
      </c>
      <c r="B4" s="155"/>
      <c r="F4" s="156" t="s">
        <v>30</v>
      </c>
      <c r="G4" s="157">
        <v>18</v>
      </c>
      <c r="H4" s="157" t="str">
        <f>+'1'!H4</f>
        <v>.03.26</v>
      </c>
    </row>
    <row r="5" spans="1:18" ht="13.5" thickBot="1">
      <c r="C5" s="158"/>
      <c r="D5" s="158"/>
    </row>
    <row r="6" spans="1:18"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f>492.8+336.8+331.9</f>
        <v>1161.5</v>
      </c>
    </row>
    <row r="7" spans="1:18" ht="13.5" customHeight="1" thickBot="1">
      <c r="A7" s="793" t="s">
        <v>432</v>
      </c>
      <c r="B7" s="218" t="s">
        <v>589</v>
      </c>
      <c r="C7" s="219">
        <v>12789</v>
      </c>
      <c r="D7" s="220"/>
      <c r="E7" s="221"/>
      <c r="F7" s="231">
        <v>5</v>
      </c>
      <c r="G7" s="232" t="s">
        <v>13</v>
      </c>
      <c r="H7" s="233" t="s">
        <v>453</v>
      </c>
      <c r="I7" s="796" t="s">
        <v>630</v>
      </c>
      <c r="J7" s="217" t="str">
        <f>+'17'!J7</f>
        <v>T 14 RC HW</v>
      </c>
      <c r="K7" s="241">
        <f>+C8+C16+C25+C26</f>
        <v>33306</v>
      </c>
      <c r="L7" s="245"/>
      <c r="M7" s="120">
        <f>+K7+'17'!M7+L7</f>
        <v>74599</v>
      </c>
    </row>
    <row r="8" spans="1:18" ht="13.5" thickBot="1">
      <c r="A8" s="794"/>
      <c r="B8" s="218" t="s">
        <v>433</v>
      </c>
      <c r="C8" s="219">
        <v>2838</v>
      </c>
      <c r="D8" s="220"/>
      <c r="E8" s="222"/>
      <c r="F8" s="234">
        <v>2</v>
      </c>
      <c r="G8" s="583" t="s">
        <v>13</v>
      </c>
      <c r="H8" s="233" t="s">
        <v>455</v>
      </c>
      <c r="I8" s="797"/>
      <c r="J8" s="217" t="str">
        <f>+'17'!J8</f>
        <v>T 15,5 RC HW</v>
      </c>
      <c r="K8" s="242"/>
      <c r="L8" s="242"/>
      <c r="M8" s="120">
        <f>+K8+'17'!M8+L8</f>
        <v>139937</v>
      </c>
      <c r="N8" s="152">
        <v>740</v>
      </c>
      <c r="O8" s="152">
        <f>+N8-N8*0.14</f>
        <v>636.4</v>
      </c>
      <c r="P8" s="152">
        <f>240+3</f>
        <v>243</v>
      </c>
      <c r="Q8" s="152">
        <f>+N8*P8</f>
        <v>179820</v>
      </c>
      <c r="R8" s="152">
        <f>+O8*P8</f>
        <v>154645.19999999998</v>
      </c>
    </row>
    <row r="9" spans="1:18" ht="13.5" thickBot="1">
      <c r="A9" s="794"/>
      <c r="B9" s="218"/>
      <c r="C9" s="219"/>
      <c r="D9" s="220"/>
      <c r="E9" s="223"/>
      <c r="F9" s="231">
        <v>10</v>
      </c>
      <c r="G9" s="583" t="s">
        <v>13</v>
      </c>
      <c r="H9" s="236" t="s">
        <v>473</v>
      </c>
      <c r="I9" s="797"/>
      <c r="J9" s="217" t="str">
        <f>+'17'!J9</f>
        <v>T 13,5 RC HW</v>
      </c>
      <c r="K9" s="242"/>
      <c r="L9" s="242"/>
      <c r="M9" s="120">
        <f>+K9+'17'!M9+L9</f>
        <v>31497</v>
      </c>
      <c r="N9" s="152">
        <v>1050</v>
      </c>
      <c r="O9" s="152">
        <f>+N9-N9*0.22</f>
        <v>819</v>
      </c>
      <c r="P9" s="152">
        <f>57+180</f>
        <v>237</v>
      </c>
      <c r="Q9" s="152">
        <f>+N9*P9</f>
        <v>248850</v>
      </c>
      <c r="R9" s="152">
        <f>+O9*P9</f>
        <v>194103</v>
      </c>
    </row>
    <row r="10" spans="1:18" ht="13.5" thickBot="1">
      <c r="A10" s="794"/>
      <c r="B10" s="218"/>
      <c r="C10" s="219"/>
      <c r="D10" s="220"/>
      <c r="E10" s="222"/>
      <c r="F10" s="231"/>
      <c r="G10" s="240" t="s">
        <v>14</v>
      </c>
      <c r="H10" s="236" t="s">
        <v>621</v>
      </c>
      <c r="I10" s="797"/>
      <c r="J10" s="217" t="str">
        <f>+'17'!J10</f>
        <v>T 20 RC HW</v>
      </c>
      <c r="K10" s="242"/>
      <c r="L10" s="242"/>
      <c r="M10" s="120">
        <f>+K10+'17'!M10+L10</f>
        <v>35769</v>
      </c>
      <c r="P10" s="152">
        <f>SUM(P8:P9)</f>
        <v>480</v>
      </c>
      <c r="Q10" s="152">
        <f t="shared" ref="Q10:R10" si="0">SUM(Q8:Q9)</f>
        <v>428670</v>
      </c>
      <c r="R10" s="152">
        <f t="shared" si="0"/>
        <v>348748.19999999995</v>
      </c>
    </row>
    <row r="11" spans="1:18" ht="13.5" thickBot="1">
      <c r="A11" s="794"/>
      <c r="B11" s="218"/>
      <c r="C11" s="219"/>
      <c r="D11" s="220"/>
      <c r="E11" s="222"/>
      <c r="F11" s="231"/>
      <c r="G11" s="235"/>
      <c r="H11" s="236" t="s">
        <v>629</v>
      </c>
      <c r="I11" s="797"/>
      <c r="J11" s="217" t="str">
        <f>+'17'!J11</f>
        <v>T 17 RC HW</v>
      </c>
      <c r="K11" s="242"/>
      <c r="L11" s="242"/>
      <c r="M11" s="120">
        <f>+K11+'17'!M11+L11</f>
        <v>18517</v>
      </c>
      <c r="Q11" s="152">
        <f>+Q10/P10</f>
        <v>893.0625</v>
      </c>
      <c r="R11" s="152">
        <f>+R10/P10</f>
        <v>726.55874999999992</v>
      </c>
    </row>
    <row r="12" spans="1:18" ht="13.5" thickBot="1">
      <c r="A12" s="794"/>
      <c r="B12" s="218"/>
      <c r="C12" s="219"/>
      <c r="D12" s="220"/>
      <c r="E12" s="222"/>
      <c r="F12" s="231"/>
      <c r="G12" s="235"/>
      <c r="H12" s="236"/>
      <c r="I12" s="797"/>
      <c r="J12" s="217" t="str">
        <f>+'17'!J12</f>
        <v>T 16 RC HW</v>
      </c>
      <c r="K12" s="242"/>
      <c r="L12" s="242"/>
      <c r="M12" s="120">
        <f>+K12+'17'!M12+L12</f>
        <v>38417</v>
      </c>
    </row>
    <row r="13" spans="1:18" ht="13.5" thickBot="1">
      <c r="A13" s="794"/>
      <c r="B13" s="218"/>
      <c r="C13" s="219"/>
      <c r="D13" s="219"/>
      <c r="E13" s="222"/>
      <c r="F13" s="231"/>
      <c r="G13" s="235"/>
      <c r="H13" s="236"/>
      <c r="I13" s="798"/>
      <c r="J13" s="217" t="str">
        <f>+'17'!J13</f>
        <v>N 15,5 RC HW</v>
      </c>
      <c r="K13" s="242"/>
      <c r="L13" s="242"/>
      <c r="M13" s="120">
        <f>+K13+'17'!M13+L13</f>
        <v>72746</v>
      </c>
    </row>
    <row r="14" spans="1:18" ht="13.5" thickBot="1">
      <c r="A14" s="795"/>
      <c r="B14" s="168" t="s">
        <v>3</v>
      </c>
      <c r="C14" s="102">
        <f>SUM(C7:C13)</f>
        <v>15627</v>
      </c>
      <c r="D14" s="114">
        <f>SUM(D7:D13)</f>
        <v>0</v>
      </c>
      <c r="E14" s="115">
        <f>SUM(E5:E13)</f>
        <v>0</v>
      </c>
      <c r="F14" s="105">
        <f>SUM(F6:F13)</f>
        <v>17</v>
      </c>
      <c r="G14" s="162"/>
      <c r="H14" s="169"/>
      <c r="I14" s="170"/>
      <c r="J14" s="217" t="str">
        <f>+'17'!J14</f>
        <v>TW 22 RC HW</v>
      </c>
      <c r="K14" s="242">
        <f>+C7</f>
        <v>12789</v>
      </c>
      <c r="L14" s="242"/>
      <c r="M14" s="120">
        <f>+K14+'17'!M14+L14</f>
        <v>387590</v>
      </c>
    </row>
    <row r="15" spans="1:18" ht="13.5" customHeight="1" thickBot="1">
      <c r="A15" s="793" t="s">
        <v>430</v>
      </c>
      <c r="B15" s="168"/>
      <c r="C15" s="116">
        <f>C14/($C$23+$D$23+$E$23)</f>
        <v>1.061905409078554</v>
      </c>
      <c r="D15" s="117">
        <f>D14/($C$23+$D$23+$E$23)</f>
        <v>0</v>
      </c>
      <c r="E15" s="118">
        <f>E14/($C$23+$D$23+$E$23)</f>
        <v>0</v>
      </c>
      <c r="F15" s="231">
        <v>1</v>
      </c>
      <c r="G15" s="232" t="s">
        <v>13</v>
      </c>
      <c r="H15" s="233" t="s">
        <v>453</v>
      </c>
      <c r="I15" s="796" t="s">
        <v>631</v>
      </c>
      <c r="J15" s="217">
        <f>+'17'!J15</f>
        <v>0</v>
      </c>
      <c r="K15" s="242"/>
      <c r="L15" s="242"/>
      <c r="M15" s="120">
        <f>+K15+'17'!M15+L15</f>
        <v>0</v>
      </c>
    </row>
    <row r="16" spans="1:18" ht="13.5" thickBot="1">
      <c r="A16" s="799"/>
      <c r="B16" s="218" t="s">
        <v>433</v>
      </c>
      <c r="C16" s="225">
        <v>14716</v>
      </c>
      <c r="D16" s="226"/>
      <c r="E16" s="227"/>
      <c r="F16" s="234">
        <v>4</v>
      </c>
      <c r="G16" s="583" t="s">
        <v>13</v>
      </c>
      <c r="H16" s="233" t="s">
        <v>420</v>
      </c>
      <c r="I16" s="797"/>
      <c r="J16" s="217">
        <f>+'17'!J16</f>
        <v>0</v>
      </c>
      <c r="K16" s="232"/>
      <c r="L16" s="232"/>
      <c r="M16" s="120">
        <f>+K16+'17'!M16+L16</f>
        <v>0</v>
      </c>
    </row>
    <row r="17" spans="1:18" ht="13.5" thickBot="1">
      <c r="A17" s="799"/>
      <c r="B17" s="218"/>
      <c r="C17" s="219"/>
      <c r="D17" s="220"/>
      <c r="E17" s="228"/>
      <c r="F17" s="231">
        <v>6</v>
      </c>
      <c r="G17" s="583" t="s">
        <v>13</v>
      </c>
      <c r="H17" s="236" t="s">
        <v>473</v>
      </c>
      <c r="I17" s="797"/>
      <c r="J17" s="217">
        <f>+'17'!J17</f>
        <v>0</v>
      </c>
      <c r="K17" s="232"/>
      <c r="L17" s="232"/>
      <c r="M17" s="120">
        <f>+K17+'17'!M17+L17</f>
        <v>0</v>
      </c>
      <c r="N17" s="152">
        <v>1050</v>
      </c>
      <c r="O17" s="152">
        <f>+N17-N17*0.22</f>
        <v>819</v>
      </c>
      <c r="P17" s="152">
        <v>237</v>
      </c>
      <c r="Q17" s="152">
        <f>+N17*P17</f>
        <v>248850</v>
      </c>
      <c r="R17" s="152">
        <f>+O17*P17</f>
        <v>194103</v>
      </c>
    </row>
    <row r="18" spans="1:18" ht="13.5" thickBot="1">
      <c r="A18" s="799"/>
      <c r="B18" s="218"/>
      <c r="C18" s="219"/>
      <c r="D18" s="220"/>
      <c r="E18" s="228"/>
      <c r="F18" s="231"/>
      <c r="G18" s="240" t="s">
        <v>14</v>
      </c>
      <c r="H18" s="236" t="s">
        <v>628</v>
      </c>
      <c r="I18" s="797"/>
      <c r="J18" s="217">
        <f>+'17'!J18</f>
        <v>0</v>
      </c>
      <c r="K18" s="232"/>
      <c r="L18" s="242"/>
      <c r="M18" s="120">
        <f>+K18+'17'!M18+L18</f>
        <v>0</v>
      </c>
      <c r="N18" s="152">
        <v>1100</v>
      </c>
      <c r="O18" s="152">
        <f t="shared" ref="O18:O20" si="1">+N18-N18*0.22</f>
        <v>858</v>
      </c>
      <c r="P18" s="152">
        <v>60</v>
      </c>
      <c r="Q18" s="152">
        <f t="shared" ref="Q18:Q20" si="2">+N18*P18</f>
        <v>66000</v>
      </c>
      <c r="R18" s="152">
        <f t="shared" ref="R18:R20" si="3">+O18*P18</f>
        <v>51480</v>
      </c>
    </row>
    <row r="19" spans="1:18" ht="13.5" thickBot="1">
      <c r="A19" s="799"/>
      <c r="B19" s="218"/>
      <c r="C19" s="219"/>
      <c r="D19" s="220"/>
      <c r="E19" s="228"/>
      <c r="F19" s="238"/>
      <c r="G19" s="235"/>
      <c r="H19" s="236" t="s">
        <v>622</v>
      </c>
      <c r="I19" s="797"/>
      <c r="J19" s="217">
        <f>+'17'!J19</f>
        <v>0</v>
      </c>
      <c r="K19" s="232"/>
      <c r="L19" s="242"/>
      <c r="M19" s="120">
        <f>+K19+'17'!M19+L19</f>
        <v>0</v>
      </c>
      <c r="N19" s="152">
        <v>1010</v>
      </c>
      <c r="O19" s="152">
        <f t="shared" si="1"/>
        <v>787.8</v>
      </c>
      <c r="P19" s="152">
        <f>180+20</f>
        <v>200</v>
      </c>
      <c r="Q19" s="152">
        <f t="shared" si="2"/>
        <v>202000</v>
      </c>
      <c r="R19" s="152">
        <f t="shared" si="3"/>
        <v>157560</v>
      </c>
    </row>
    <row r="20" spans="1:18" ht="13.5" thickBot="1">
      <c r="A20" s="799"/>
      <c r="B20" s="218"/>
      <c r="C20" s="219"/>
      <c r="D20" s="220"/>
      <c r="E20" s="228"/>
      <c r="F20" s="231"/>
      <c r="G20" s="235"/>
      <c r="H20" s="236" t="s">
        <v>623</v>
      </c>
      <c r="I20" s="797"/>
      <c r="J20" s="217">
        <f>+'17'!J20</f>
        <v>0</v>
      </c>
      <c r="K20" s="232"/>
      <c r="L20" s="242"/>
      <c r="M20" s="120">
        <f>+K20+'17'!M20+L20</f>
        <v>0</v>
      </c>
      <c r="N20" s="152">
        <v>1150</v>
      </c>
      <c r="O20" s="152">
        <f t="shared" si="1"/>
        <v>897</v>
      </c>
      <c r="P20" s="152">
        <f>40+180</f>
        <v>220</v>
      </c>
      <c r="Q20" s="152">
        <f t="shared" si="2"/>
        <v>253000</v>
      </c>
      <c r="R20" s="152">
        <f t="shared" si="3"/>
        <v>197340</v>
      </c>
    </row>
    <row r="21" spans="1:18" ht="13.5" thickBot="1">
      <c r="A21" s="799"/>
      <c r="B21" s="218"/>
      <c r="C21" s="219"/>
      <c r="D21" s="220"/>
      <c r="E21" s="228"/>
      <c r="F21" s="234"/>
      <c r="G21" s="235"/>
      <c r="H21" s="236" t="s">
        <v>624</v>
      </c>
      <c r="I21" s="797"/>
      <c r="J21" s="217">
        <f>+'17'!J21</f>
        <v>0</v>
      </c>
      <c r="K21" s="232"/>
      <c r="L21" s="242"/>
      <c r="M21" s="120">
        <f>+K21+'17'!M21+L21</f>
        <v>0</v>
      </c>
      <c r="P21" s="152">
        <f>SUM(P17:P20)</f>
        <v>717</v>
      </c>
      <c r="Q21" s="152">
        <f t="shared" ref="Q21:R21" si="4">SUM(Q17:Q20)</f>
        <v>769850</v>
      </c>
      <c r="R21" s="152">
        <f t="shared" si="4"/>
        <v>600483</v>
      </c>
    </row>
    <row r="22" spans="1:18" ht="13.5" thickBot="1">
      <c r="A22" s="799"/>
      <c r="B22" s="218"/>
      <c r="C22" s="219"/>
      <c r="D22" s="220"/>
      <c r="E22" s="228"/>
      <c r="F22" s="239"/>
      <c r="G22" s="235"/>
      <c r="H22" s="236" t="s">
        <v>625</v>
      </c>
      <c r="I22" s="798"/>
      <c r="J22" s="217">
        <f>+'17'!J22</f>
        <v>0</v>
      </c>
      <c r="K22" s="232"/>
      <c r="L22" s="242"/>
      <c r="M22" s="120">
        <f>+K22+'17'!M22+L22</f>
        <v>0</v>
      </c>
      <c r="Q22" s="152">
        <f>+Q21/P21</f>
        <v>1073.7099023709902</v>
      </c>
      <c r="R22" s="152">
        <f>+R21/P21</f>
        <v>837.49372384937237</v>
      </c>
    </row>
    <row r="23" spans="1:18" ht="13.5" thickBot="1">
      <c r="A23" s="800"/>
      <c r="B23" s="168" t="s">
        <v>3</v>
      </c>
      <c r="C23" s="103">
        <f>SUM(C16:C22)</f>
        <v>14716</v>
      </c>
      <c r="D23" s="114">
        <f>SUM(D16:D22)</f>
        <v>0</v>
      </c>
      <c r="E23" s="115">
        <f>SUM(E18:E22)</f>
        <v>0</v>
      </c>
      <c r="F23" s="105">
        <f>SUM(F15:F22)</f>
        <v>11</v>
      </c>
      <c r="G23" s="162"/>
      <c r="H23" s="169"/>
      <c r="I23" s="172"/>
      <c r="J23" s="217">
        <f>+'17'!J23</f>
        <v>0</v>
      </c>
      <c r="K23" s="232"/>
      <c r="L23" s="242"/>
      <c r="M23" s="120">
        <f>+K23+'17'!M23+L23</f>
        <v>0</v>
      </c>
    </row>
    <row r="24" spans="1:18" ht="13.5" customHeight="1" thickBot="1">
      <c r="A24" s="793" t="s">
        <v>431</v>
      </c>
      <c r="B24" s="173"/>
      <c r="C24" s="116">
        <f>C23/($C$23+$D$23+$E$23)</f>
        <v>1</v>
      </c>
      <c r="D24" s="117">
        <f>D23/($C$23+$D$23+$E$23)</f>
        <v>0</v>
      </c>
      <c r="E24" s="118">
        <f>E23/($C$23+$D$23+$E$23)</f>
        <v>0</v>
      </c>
      <c r="F24" s="231"/>
      <c r="G24" s="232" t="s">
        <v>13</v>
      </c>
      <c r="H24" s="233" t="s">
        <v>391</v>
      </c>
      <c r="I24" s="796" t="s">
        <v>632</v>
      </c>
      <c r="J24" s="217">
        <f>+'17'!J24</f>
        <v>0</v>
      </c>
      <c r="K24" s="232"/>
      <c r="L24" s="242"/>
      <c r="M24" s="120">
        <f>+K24+'17'!M24+L24</f>
        <v>0</v>
      </c>
    </row>
    <row r="25" spans="1:18" ht="13.5" thickBot="1">
      <c r="A25" s="799"/>
      <c r="B25" s="218" t="s">
        <v>433</v>
      </c>
      <c r="C25" s="229">
        <v>6604</v>
      </c>
      <c r="D25" s="220"/>
      <c r="E25" s="228"/>
      <c r="F25" s="234">
        <v>6</v>
      </c>
      <c r="G25" s="583" t="s">
        <v>13</v>
      </c>
      <c r="H25" s="233" t="s">
        <v>487</v>
      </c>
      <c r="I25" s="797"/>
      <c r="J25" s="217">
        <f>+'17'!J25</f>
        <v>0</v>
      </c>
      <c r="K25" s="232"/>
      <c r="L25" s="242"/>
      <c r="M25" s="120">
        <f>+K25+'17'!M25+L25</f>
        <v>0</v>
      </c>
    </row>
    <row r="26" spans="1:18" ht="13.5" thickBot="1">
      <c r="A26" s="799"/>
      <c r="B26" s="218" t="s">
        <v>433</v>
      </c>
      <c r="C26" s="229">
        <v>9148</v>
      </c>
      <c r="D26" s="220"/>
      <c r="E26" s="230"/>
      <c r="F26" s="231">
        <v>10</v>
      </c>
      <c r="G26" s="583" t="s">
        <v>13</v>
      </c>
      <c r="H26" s="236" t="s">
        <v>473</v>
      </c>
      <c r="I26" s="797"/>
      <c r="J26" s="217">
        <f>+'17'!J26</f>
        <v>0</v>
      </c>
      <c r="K26" s="232"/>
      <c r="L26" s="242"/>
      <c r="M26" s="120">
        <f>+K26+'17'!M26+L26</f>
        <v>0</v>
      </c>
    </row>
    <row r="27" spans="1:18" ht="13.5" thickBot="1">
      <c r="A27" s="799"/>
      <c r="B27" s="218"/>
      <c r="C27" s="219"/>
      <c r="D27" s="220"/>
      <c r="E27" s="228"/>
      <c r="F27" s="231"/>
      <c r="G27" s="240" t="s">
        <v>14</v>
      </c>
      <c r="H27" s="236" t="s">
        <v>626</v>
      </c>
      <c r="I27" s="797"/>
      <c r="J27" s="217">
        <f>+'17'!J27</f>
        <v>0</v>
      </c>
      <c r="K27" s="232"/>
      <c r="L27" s="242"/>
      <c r="M27" s="120">
        <f>+K27+'17'!M27+L27</f>
        <v>0</v>
      </c>
    </row>
    <row r="28" spans="1:18" ht="13.5" thickBot="1">
      <c r="A28" s="799"/>
      <c r="B28" s="218"/>
      <c r="C28" s="219"/>
      <c r="D28" s="220"/>
      <c r="E28" s="228"/>
      <c r="F28" s="234"/>
      <c r="G28" s="235"/>
      <c r="H28" s="236"/>
      <c r="I28" s="797"/>
      <c r="J28" s="217">
        <f>+'17'!J28</f>
        <v>0</v>
      </c>
      <c r="K28" s="232"/>
      <c r="L28" s="242"/>
      <c r="M28" s="120">
        <f>+K28+'17'!M28+L28</f>
        <v>0</v>
      </c>
    </row>
    <row r="29" spans="1:18" ht="13.5" thickBot="1">
      <c r="A29" s="799"/>
      <c r="B29" s="218"/>
      <c r="C29" s="219"/>
      <c r="D29" s="220"/>
      <c r="E29" s="228"/>
      <c r="F29" s="239"/>
      <c r="G29" s="235"/>
      <c r="H29" s="236"/>
      <c r="I29" s="797"/>
      <c r="J29" s="217">
        <f>+'17'!J29</f>
        <v>0</v>
      </c>
      <c r="K29" s="232"/>
      <c r="L29" s="242"/>
      <c r="M29" s="120">
        <f>+K29+'17'!M29+L29</f>
        <v>0</v>
      </c>
    </row>
    <row r="30" spans="1:18" ht="13.5" thickBot="1">
      <c r="A30" s="799"/>
      <c r="B30" s="218"/>
      <c r="C30" s="229"/>
      <c r="D30" s="220"/>
      <c r="E30" s="228"/>
      <c r="F30" s="239"/>
      <c r="G30" s="235"/>
      <c r="H30" s="236"/>
      <c r="I30" s="797"/>
      <c r="J30" s="217">
        <f>+'17'!J30</f>
        <v>0</v>
      </c>
      <c r="K30" s="242"/>
      <c r="L30" s="242"/>
      <c r="M30" s="120">
        <f>+K30+'17'!M30+L30</f>
        <v>0</v>
      </c>
      <c r="N30" s="158"/>
    </row>
    <row r="31" spans="1:18" ht="13.5" thickBot="1">
      <c r="A31" s="799"/>
      <c r="B31" s="218"/>
      <c r="C31" s="229"/>
      <c r="D31" s="220"/>
      <c r="E31" s="228"/>
      <c r="F31" s="239"/>
      <c r="G31" s="240"/>
      <c r="H31" s="237"/>
      <c r="I31" s="798"/>
      <c r="J31" s="217">
        <f>+'17'!J31</f>
        <v>0</v>
      </c>
      <c r="K31" s="242"/>
      <c r="L31" s="242"/>
      <c r="M31" s="120">
        <f>+K31+'17'!M31+L31</f>
        <v>0</v>
      </c>
    </row>
    <row r="32" spans="1:18" ht="13.5" thickBot="1">
      <c r="A32" s="800"/>
      <c r="B32" s="168" t="s">
        <v>3</v>
      </c>
      <c r="C32" s="102">
        <f>SUM(C25:C31)</f>
        <v>15752</v>
      </c>
      <c r="D32" s="103">
        <f>SUM(D25:D31)</f>
        <v>0</v>
      </c>
      <c r="E32" s="104">
        <f>SUM(E25:E31)</f>
        <v>0</v>
      </c>
      <c r="F32" s="105">
        <f>SUM(F24:F31)</f>
        <v>16</v>
      </c>
      <c r="G32" s="174"/>
      <c r="H32" s="175"/>
      <c r="I32" s="172"/>
      <c r="J32" s="217">
        <f>+'17'!J32</f>
        <v>0</v>
      </c>
      <c r="K32" s="244"/>
      <c r="L32" s="246"/>
      <c r="M32" s="120">
        <f>+K32+'17'!M32+L32</f>
        <v>0</v>
      </c>
    </row>
    <row r="33" spans="1:15" ht="13.5" thickBot="1">
      <c r="A33" s="176"/>
      <c r="B33" s="177"/>
      <c r="C33" s="106">
        <f>C32/($C$32+$D$32+$E$32)</f>
        <v>1</v>
      </c>
      <c r="D33" s="107">
        <f>D32/($C$32+$D$32+$E$32)</f>
        <v>0</v>
      </c>
      <c r="E33" s="108">
        <f>E32/($C$32+$D$32+$E$32)</f>
        <v>0</v>
      </c>
      <c r="F33" s="109"/>
      <c r="G33" s="178"/>
      <c r="H33" s="179"/>
      <c r="I33" s="180"/>
      <c r="J33" s="124"/>
      <c r="K33" s="125"/>
      <c r="L33" s="216"/>
      <c r="M33" s="122"/>
    </row>
    <row r="34" spans="1:15" ht="13.5" thickBot="1">
      <c r="A34" s="801" t="s">
        <v>70</v>
      </c>
      <c r="B34" s="802"/>
      <c r="C34" s="110">
        <f>C14+C23+C32</f>
        <v>46095</v>
      </c>
      <c r="D34" s="110">
        <f>D14+D23+D32</f>
        <v>0</v>
      </c>
      <c r="E34" s="110">
        <f>E14+E23+E32</f>
        <v>0</v>
      </c>
      <c r="F34" s="111">
        <f>F14+F23+F32</f>
        <v>44</v>
      </c>
      <c r="H34" s="181"/>
      <c r="I34" s="181"/>
      <c r="J34" s="126" t="s">
        <v>29</v>
      </c>
      <c r="K34" s="127">
        <f>SUM(K7:K32)</f>
        <v>46095</v>
      </c>
      <c r="L34" s="215">
        <f>SUM(L7:L32)</f>
        <v>0</v>
      </c>
      <c r="M34" s="123">
        <f>SUM(M7:M32)</f>
        <v>799072</v>
      </c>
      <c r="N34" s="158"/>
    </row>
    <row r="35" spans="1:15" ht="13.5" thickBot="1">
      <c r="A35" s="182"/>
      <c r="B35" s="183"/>
      <c r="C35" s="107">
        <f>C34/($C$34+$D$34+$E$34)</f>
        <v>1</v>
      </c>
      <c r="D35" s="107">
        <f>D34/($C$34+$D$34+$E$34)</f>
        <v>0</v>
      </c>
      <c r="E35" s="112">
        <f>E34/($C$34+$D$34+$E$34)</f>
        <v>0</v>
      </c>
      <c r="K35" s="158"/>
      <c r="L35" s="792" t="s">
        <v>187</v>
      </c>
      <c r="M35" s="792"/>
    </row>
    <row r="36" spans="1:15" ht="13.5" thickBot="1">
      <c r="A36" s="181"/>
      <c r="B36" s="181"/>
      <c r="C36" s="158"/>
      <c r="D36" s="158"/>
      <c r="E36" s="158"/>
      <c r="G36" s="158"/>
      <c r="H36" s="184"/>
      <c r="I36" s="165" t="s">
        <v>41</v>
      </c>
      <c r="J36" s="165" t="s">
        <v>42</v>
      </c>
      <c r="K36" s="185"/>
      <c r="L36" s="165" t="s">
        <v>41</v>
      </c>
      <c r="M36" s="165" t="s">
        <v>42</v>
      </c>
    </row>
    <row r="37" spans="1:15" ht="17.45" customHeight="1" thickBot="1">
      <c r="A37" s="790" t="s">
        <v>71</v>
      </c>
      <c r="B37" s="791"/>
      <c r="C37" s="165" t="s">
        <v>72</v>
      </c>
      <c r="D37" s="186" t="s">
        <v>73</v>
      </c>
      <c r="E37" s="187" t="s">
        <v>74</v>
      </c>
      <c r="F37" s="365"/>
      <c r="G37" s="367"/>
      <c r="H37" s="189" t="s">
        <v>75</v>
      </c>
      <c r="I37" s="247">
        <f>(22*243+14*1197)/1440*G42*2.75*1440/1000000</f>
        <v>50.038199392499997</v>
      </c>
      <c r="J37" s="128">
        <f>+I37+'17'!J37</f>
        <v>863.97747808837744</v>
      </c>
      <c r="K37" s="129" t="s">
        <v>76</v>
      </c>
      <c r="L37" s="426"/>
      <c r="M37" s="427"/>
      <c r="N37" s="548">
        <f>+I38-N38</f>
        <v>10.210999999999999</v>
      </c>
    </row>
    <row r="38" spans="1:15" ht="17.45" customHeight="1">
      <c r="A38" s="786" t="s">
        <v>13</v>
      </c>
      <c r="B38" s="787"/>
      <c r="C38" s="167">
        <f>SUMIF($G$7:$G$31,"Process",$F$7:$F$31)</f>
        <v>44</v>
      </c>
      <c r="D38" s="121">
        <f>+C38+'17'!D38</f>
        <v>1269</v>
      </c>
      <c r="E38" s="146">
        <f t="shared" ref="E38:E51" si="5">D38/60</f>
        <v>21.15</v>
      </c>
      <c r="F38" s="365">
        <v>893.0625</v>
      </c>
      <c r="G38" s="365">
        <v>726.55874999999992</v>
      </c>
      <c r="H38" s="190" t="s">
        <v>77</v>
      </c>
      <c r="I38" s="547">
        <f>16.229+14.915+16.409</f>
        <v>47.552999999999997</v>
      </c>
      <c r="J38" s="130">
        <f>+I38+'17'!J38</f>
        <v>817.17930000000001</v>
      </c>
      <c r="K38" s="131" t="s">
        <v>76</v>
      </c>
      <c r="L38" s="428"/>
      <c r="M38" s="429"/>
      <c r="N38" s="152">
        <f>1.702+1.422+1.422+1.472+14.915+16.409</f>
        <v>37.341999999999999</v>
      </c>
      <c r="O38" s="559"/>
    </row>
    <row r="39" spans="1:15" ht="17.45" customHeight="1">
      <c r="A39" s="782" t="s">
        <v>14</v>
      </c>
      <c r="B39" s="783"/>
      <c r="C39" s="167">
        <f>SUMIF($G$7:$G$31,"Cleaning",$F$7:$F$31)</f>
        <v>0</v>
      </c>
      <c r="D39" s="121">
        <f>+C39+'17'!D39</f>
        <v>181</v>
      </c>
      <c r="E39" s="146">
        <f t="shared" si="5"/>
        <v>3.0166666666666666</v>
      </c>
      <c r="F39" s="365">
        <v>1085</v>
      </c>
      <c r="G39" s="365">
        <v>846</v>
      </c>
      <c r="H39" s="190" t="s">
        <v>78</v>
      </c>
      <c r="I39" s="145"/>
      <c r="J39" s="132">
        <f>J37/G4</f>
        <v>47.998748782687635</v>
      </c>
      <c r="K39" s="133" t="s">
        <v>76</v>
      </c>
      <c r="L39" s="428"/>
      <c r="M39" s="429"/>
    </row>
    <row r="40" spans="1:15" ht="17.45" customHeight="1">
      <c r="A40" s="782" t="s">
        <v>79</v>
      </c>
      <c r="B40" s="783"/>
      <c r="C40" s="167">
        <f>SUMIF($G$7:$G$31,"Mechanical",$F$7:$F$31)</f>
        <v>0</v>
      </c>
      <c r="D40" s="121">
        <f>+C40+'17'!D40</f>
        <v>120</v>
      </c>
      <c r="E40" s="146">
        <f t="shared" si="5"/>
        <v>2</v>
      </c>
      <c r="F40" s="365">
        <v>1150</v>
      </c>
      <c r="G40" s="365">
        <v>897</v>
      </c>
      <c r="H40" s="190" t="s">
        <v>80</v>
      </c>
      <c r="I40" s="121">
        <f>(K34+L34)/1000</f>
        <v>46.094999999999999</v>
      </c>
      <c r="J40" s="134">
        <f>+I40+'17'!J40</f>
        <v>799.072</v>
      </c>
      <c r="K40" s="133" t="s">
        <v>76</v>
      </c>
      <c r="L40" s="428"/>
      <c r="M40" s="429"/>
    </row>
    <row r="41" spans="1:15" ht="17.45" customHeight="1">
      <c r="A41" s="782" t="s">
        <v>81</v>
      </c>
      <c r="B41" s="783"/>
      <c r="C41" s="167">
        <f>SUMIF($G$7:$G$31,"Electrical",$F$7:$F$31)</f>
        <v>0</v>
      </c>
      <c r="D41" s="121">
        <f>+C41+'17'!D41</f>
        <v>65</v>
      </c>
      <c r="E41" s="146">
        <f t="shared" si="5"/>
        <v>1.0833333333333333</v>
      </c>
      <c r="F41" s="365"/>
      <c r="G41" s="365"/>
      <c r="H41" s="190" t="s">
        <v>82</v>
      </c>
      <c r="I41" s="145"/>
      <c r="J41" s="132">
        <f>J40/G4</f>
        <v>44.392888888888891</v>
      </c>
      <c r="K41" s="133" t="s">
        <v>76</v>
      </c>
      <c r="L41" s="428"/>
      <c r="M41" s="429"/>
    </row>
    <row r="42" spans="1:15" ht="17.45" customHeight="1">
      <c r="A42" s="782" t="s">
        <v>17</v>
      </c>
      <c r="B42" s="783"/>
      <c r="C42" s="167">
        <f>SUMIF($G$7:$G$31,"Instrument",$F$7:$F$31)</f>
        <v>0</v>
      </c>
      <c r="D42" s="121">
        <f>+C42+'17'!D42</f>
        <v>0</v>
      </c>
      <c r="E42" s="146">
        <f t="shared" si="5"/>
        <v>0</v>
      </c>
      <c r="F42" s="365">
        <f>+(F38*480+F39*480+F40*480)/1440</f>
        <v>1042.6875</v>
      </c>
      <c r="G42" s="365">
        <f>+(G38*480+G39*480+G40*480)/1440</f>
        <v>823.18624999999997</v>
      </c>
      <c r="H42" s="190" t="s">
        <v>83</v>
      </c>
      <c r="I42" s="249" t="s">
        <v>633</v>
      </c>
      <c r="J42" s="135"/>
      <c r="K42" s="133" t="s">
        <v>84</v>
      </c>
      <c r="L42" s="428"/>
      <c r="M42" s="429"/>
    </row>
    <row r="43" spans="1:15" ht="17.45" customHeight="1">
      <c r="A43" s="782" t="s">
        <v>85</v>
      </c>
      <c r="B43" s="783"/>
      <c r="C43" s="167">
        <f>SUMIF($G$7:$G$31,"Water",$F$7:$F$31)</f>
        <v>0</v>
      </c>
      <c r="D43" s="121">
        <f>+C43+'17'!D43</f>
        <v>0</v>
      </c>
      <c r="E43" s="146">
        <f t="shared" si="5"/>
        <v>0</v>
      </c>
      <c r="F43" s="365"/>
      <c r="G43" s="366"/>
      <c r="H43" s="191" t="s">
        <v>86</v>
      </c>
      <c r="I43" s="121">
        <f>+Report1!AH26</f>
        <v>65.900000000000006</v>
      </c>
      <c r="J43" s="136">
        <f>+I43+'17'!J43</f>
        <v>1144.1000000000001</v>
      </c>
      <c r="K43" s="133" t="s">
        <v>76</v>
      </c>
      <c r="L43" s="430">
        <f>+Report1!AN26</f>
        <v>0</v>
      </c>
      <c r="M43" s="431">
        <f>+L43+'17'!M43</f>
        <v>0</v>
      </c>
    </row>
    <row r="44" spans="1:15" ht="17.45" customHeight="1">
      <c r="A44" s="782" t="s">
        <v>18</v>
      </c>
      <c r="B44" s="783"/>
      <c r="C44" s="167">
        <f>SUMIF($G$7:$G$31,"PLN",$F$7:$F$31)</f>
        <v>0</v>
      </c>
      <c r="D44" s="121">
        <f>+C44+'17'!D44</f>
        <v>0</v>
      </c>
      <c r="E44" s="146">
        <f t="shared" si="5"/>
        <v>0</v>
      </c>
      <c r="F44" s="365"/>
      <c r="G44" s="366"/>
      <c r="H44" s="191" t="s">
        <v>87</v>
      </c>
      <c r="I44" s="121">
        <f>I43/I38</f>
        <v>1.3858221353016635</v>
      </c>
      <c r="J44" s="137">
        <f>J43/J38</f>
        <v>1.4000599378863368</v>
      </c>
      <c r="K44" s="133" t="s">
        <v>76</v>
      </c>
      <c r="L44" s="432">
        <f>+L43/I38</f>
        <v>0</v>
      </c>
      <c r="M44" s="433">
        <f>+M43/J38</f>
        <v>0</v>
      </c>
    </row>
    <row r="45" spans="1:15" ht="17.45" customHeight="1">
      <c r="A45" s="782" t="s">
        <v>19</v>
      </c>
      <c r="B45" s="783"/>
      <c r="C45" s="167">
        <f>SUMIF($G$7:$G$31,"Boiler",$F$7:$F$31)</f>
        <v>0</v>
      </c>
      <c r="D45" s="121">
        <f>+C45+'17'!D45</f>
        <v>0</v>
      </c>
      <c r="E45" s="146">
        <f t="shared" si="5"/>
        <v>0</v>
      </c>
      <c r="F45" s="365"/>
      <c r="G45" s="368"/>
      <c r="H45" s="191" t="s">
        <v>88</v>
      </c>
      <c r="I45" s="121">
        <f>I43/I40</f>
        <v>1.429656144918104</v>
      </c>
      <c r="J45" s="137">
        <f>J43/J40</f>
        <v>1.431785871611069</v>
      </c>
      <c r="K45" s="133" t="s">
        <v>76</v>
      </c>
      <c r="L45" s="432">
        <f>+L43/I40</f>
        <v>0</v>
      </c>
      <c r="M45" s="433">
        <f>+M43/J40</f>
        <v>0</v>
      </c>
    </row>
    <row r="46" spans="1:15" ht="17.45" customHeight="1">
      <c r="A46" s="782" t="s">
        <v>89</v>
      </c>
      <c r="B46" s="783"/>
      <c r="C46" s="167">
        <f>SUMIF($G$7:$G$31,"Gas",$F$7:$F$31)</f>
        <v>0</v>
      </c>
      <c r="D46" s="121">
        <f>+C46+'17'!D46</f>
        <v>0</v>
      </c>
      <c r="E46" s="146">
        <f t="shared" si="5"/>
        <v>0</v>
      </c>
      <c r="F46" s="365"/>
      <c r="G46" s="366"/>
      <c r="H46" s="191" t="s">
        <v>90</v>
      </c>
      <c r="I46" s="143">
        <f>+SUMIF(Listrik!P25,"&gt;0")</f>
        <v>43771.280000000057</v>
      </c>
      <c r="J46" s="138">
        <f>+I46+'17'!J46</f>
        <v>670076.0199999999</v>
      </c>
      <c r="K46" s="133" t="s">
        <v>91</v>
      </c>
      <c r="L46" s="432">
        <f>+Listrik!AF25</f>
        <v>0</v>
      </c>
      <c r="M46" s="434">
        <f>+L46+'17'!M46</f>
        <v>0</v>
      </c>
    </row>
    <row r="47" spans="1:15" ht="17.45" customHeight="1">
      <c r="A47" s="782" t="s">
        <v>92</v>
      </c>
      <c r="B47" s="783"/>
      <c r="C47" s="167">
        <f>SUMIF($G$7:$G$31,"Gas",$F$7:$F$31)</f>
        <v>0</v>
      </c>
      <c r="D47" s="121">
        <f>+C47+'17'!D47</f>
        <v>0</v>
      </c>
      <c r="E47" s="146">
        <f t="shared" si="5"/>
        <v>0</v>
      </c>
      <c r="F47" s="365"/>
      <c r="G47" s="366"/>
      <c r="H47" s="191" t="s">
        <v>93</v>
      </c>
      <c r="I47" s="121">
        <f>I46/I38</f>
        <v>920.47357685109375</v>
      </c>
      <c r="J47" s="138">
        <f>J46/J38</f>
        <v>819.98653171953799</v>
      </c>
      <c r="K47" s="133" t="s">
        <v>25</v>
      </c>
      <c r="L47" s="432">
        <f>+L46/I38</f>
        <v>0</v>
      </c>
      <c r="M47" s="433">
        <f>+M46/J38</f>
        <v>0</v>
      </c>
    </row>
    <row r="48" spans="1:15" ht="17.45" customHeight="1">
      <c r="A48" s="782" t="s">
        <v>15</v>
      </c>
      <c r="B48" s="783"/>
      <c r="C48" s="167">
        <f>SUMIF($G$7:$G$31,"Start Up",$F$7:$F$31)</f>
        <v>0</v>
      </c>
      <c r="D48" s="121">
        <f>+C48+'17'!D48</f>
        <v>0</v>
      </c>
      <c r="E48" s="146">
        <f t="shared" si="5"/>
        <v>0</v>
      </c>
      <c r="F48" s="365"/>
      <c r="G48" s="366"/>
      <c r="H48" s="191" t="s">
        <v>94</v>
      </c>
      <c r="I48" s="121">
        <f>I46/I40</f>
        <v>949.58845861807265</v>
      </c>
      <c r="J48" s="138">
        <f>J46/J40</f>
        <v>838.5677636057826</v>
      </c>
      <c r="K48" s="133" t="s">
        <v>25</v>
      </c>
      <c r="L48" s="432">
        <f>+L46/I38</f>
        <v>0</v>
      </c>
      <c r="M48" s="433">
        <f>+M46/J40</f>
        <v>0</v>
      </c>
    </row>
    <row r="49" spans="1:13" ht="17.45" customHeight="1">
      <c r="A49" s="782" t="s">
        <v>21</v>
      </c>
      <c r="B49" s="783"/>
      <c r="C49" s="167">
        <f>SUMIF($G$7:$G$31,"Others",$F$7:$F$31)</f>
        <v>0</v>
      </c>
      <c r="D49" s="121">
        <f>+C49+'17'!D49</f>
        <v>924</v>
      </c>
      <c r="E49" s="146">
        <f t="shared" si="5"/>
        <v>15.4</v>
      </c>
      <c r="F49" s="188"/>
      <c r="H49" s="191" t="s">
        <v>95</v>
      </c>
      <c r="I49" s="121">
        <f>+Report1!AB26</f>
        <v>5268.0415369334978</v>
      </c>
      <c r="J49" s="138">
        <f>+I49+'17'!J49</f>
        <v>72157.063125397632</v>
      </c>
      <c r="K49" s="133" t="s">
        <v>96</v>
      </c>
      <c r="L49" s="428"/>
      <c r="M49" s="429"/>
    </row>
    <row r="50" spans="1:13" ht="17.45" customHeight="1">
      <c r="A50" s="782" t="s">
        <v>20</v>
      </c>
      <c r="B50" s="783"/>
      <c r="C50" s="167">
        <f>SUMIF($G$7:$G$31,"Steam",$F$7:$F$31)</f>
        <v>0</v>
      </c>
      <c r="D50" s="121">
        <f>+C50+'17'!D50</f>
        <v>0</v>
      </c>
      <c r="E50" s="146">
        <f t="shared" si="5"/>
        <v>0</v>
      </c>
      <c r="F50" s="188"/>
      <c r="H50" s="191" t="s">
        <v>97</v>
      </c>
      <c r="I50" s="143">
        <f>I49/I38</f>
        <v>110.78252764144214</v>
      </c>
      <c r="J50" s="136">
        <f>J49/J38</f>
        <v>88.300160228480621</v>
      </c>
      <c r="K50" s="133" t="s">
        <v>96</v>
      </c>
      <c r="L50" s="428"/>
      <c r="M50" s="429"/>
    </row>
    <row r="51" spans="1:13" ht="17.45" customHeight="1" thickBot="1">
      <c r="A51" s="784" t="s">
        <v>98</v>
      </c>
      <c r="B51" s="785"/>
      <c r="C51" s="167">
        <f>SUMIF($G$7:$G$31,"Planned shut",$F$7:$F$31)</f>
        <v>0</v>
      </c>
      <c r="D51" s="121">
        <f>+C51+'17'!D51</f>
        <v>0</v>
      </c>
      <c r="E51" s="146">
        <f t="shared" si="5"/>
        <v>0</v>
      </c>
      <c r="F51" s="188"/>
      <c r="H51" s="193" t="s">
        <v>99</v>
      </c>
      <c r="I51" s="144">
        <f>I49/I40</f>
        <v>114.2866154015294</v>
      </c>
      <c r="J51" s="139">
        <f>J49/J40</f>
        <v>90.301078157409634</v>
      </c>
      <c r="K51" s="140" t="s">
        <v>96</v>
      </c>
      <c r="L51" s="428"/>
      <c r="M51" s="429"/>
    </row>
    <row r="52" spans="1:13" ht="13.5" thickBot="1">
      <c r="A52" s="786" t="s">
        <v>29</v>
      </c>
      <c r="B52" s="787"/>
      <c r="C52" s="147">
        <f>SUM(C38:C51)</f>
        <v>44</v>
      </c>
      <c r="D52" s="147">
        <f>SUM(D38:D51)</f>
        <v>2559</v>
      </c>
      <c r="E52" s="148">
        <f>SUM(E38:E51)</f>
        <v>42.65</v>
      </c>
      <c r="F52" s="188"/>
      <c r="H52" s="194"/>
      <c r="I52" s="195"/>
      <c r="J52" s="141"/>
      <c r="K52" s="142"/>
      <c r="L52" s="435"/>
      <c r="M52" s="436"/>
    </row>
    <row r="53" spans="1:13" ht="13.5" thickBot="1">
      <c r="A53" s="788"/>
      <c r="B53" s="789"/>
      <c r="C53" s="149">
        <f>C52/(24*60)</f>
        <v>3.0555555555555555E-2</v>
      </c>
      <c r="D53" s="149">
        <f>D52/(24*60*G4)</f>
        <v>9.8726851851851857E-2</v>
      </c>
      <c r="E53" s="150">
        <f>E52/(G4*24)</f>
        <v>9.8726851851851843E-2</v>
      </c>
      <c r="F53" s="188"/>
    </row>
    <row r="54" spans="1:13">
      <c r="E54" s="196"/>
      <c r="F54" s="188"/>
    </row>
    <row r="55" spans="1:13">
      <c r="E55" s="196"/>
    </row>
    <row r="56" spans="1:13">
      <c r="A56" s="197" t="s">
        <v>100</v>
      </c>
      <c r="B56" s="198"/>
      <c r="C56" s="199"/>
      <c r="D56" s="199"/>
      <c r="E56" s="199"/>
      <c r="F56" s="200"/>
      <c r="G56" s="199"/>
      <c r="H56" s="201"/>
      <c r="I56" s="202" t="s">
        <v>101</v>
      </c>
      <c r="J56" s="203">
        <f>+D34+'17'!J56</f>
        <v>2180</v>
      </c>
      <c r="K56" s="204">
        <f>J56/(J40+J56/1000)/1000</f>
        <v>2.7207420387094202E-3</v>
      </c>
    </row>
    <row r="57" spans="1:13">
      <c r="A57" s="179"/>
      <c r="I57" s="202" t="s">
        <v>102</v>
      </c>
      <c r="J57" s="203">
        <f>+E34+'17'!J57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1"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O61"/>
  <sheetViews>
    <sheetView view="pageBreakPreview" topLeftCell="D4" zoomScale="80" zoomScaleNormal="80" zoomScaleSheetLayoutView="80" workbookViewId="0">
      <selection activeCell="H31" sqref="H31"/>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28515625" style="152" bestFit="1" customWidth="1"/>
    <col min="11" max="11" width="12.5703125" style="152" bestFit="1" customWidth="1"/>
    <col min="12" max="12" width="12.140625" style="152" customWidth="1"/>
    <col min="13" max="13" width="13.85546875" style="152" bestFit="1" customWidth="1"/>
    <col min="14" max="16384" width="9.140625" style="152"/>
  </cols>
  <sheetData>
    <row r="1" spans="1:15" ht="15.75">
      <c r="A1" s="151"/>
    </row>
    <row r="2" spans="1:15" ht="15.75">
      <c r="A2" s="151" t="s">
        <v>185</v>
      </c>
    </row>
    <row r="3" spans="1:15" ht="15">
      <c r="A3" s="153"/>
    </row>
    <row r="4" spans="1:15" ht="20.25">
      <c r="A4" s="154" t="s">
        <v>5</v>
      </c>
      <c r="B4" s="155"/>
      <c r="F4" s="156" t="s">
        <v>30</v>
      </c>
      <c r="G4" s="157">
        <v>17</v>
      </c>
      <c r="H4" s="157" t="str">
        <f>+'1'!H4</f>
        <v>.03.26</v>
      </c>
      <c r="J4" s="152">
        <v>467.3</v>
      </c>
    </row>
    <row r="5" spans="1:15" ht="13.5" thickBot="1">
      <c r="C5" s="158"/>
      <c r="D5" s="158"/>
    </row>
    <row r="6" spans="1:15"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v>740</v>
      </c>
      <c r="O6" s="152">
        <f t="shared" ref="O6:O8" si="0">+N6-(N6*0.14)</f>
        <v>636.4</v>
      </c>
    </row>
    <row r="7" spans="1:15" ht="13.5" customHeight="1" thickBot="1">
      <c r="A7" s="793" t="s">
        <v>432</v>
      </c>
      <c r="B7" s="218" t="s">
        <v>589</v>
      </c>
      <c r="C7" s="219">
        <v>18046</v>
      </c>
      <c r="D7" s="220"/>
      <c r="E7" s="221"/>
      <c r="F7" s="231">
        <v>1</v>
      </c>
      <c r="G7" s="232" t="s">
        <v>13</v>
      </c>
      <c r="H7" s="233" t="s">
        <v>453</v>
      </c>
      <c r="I7" s="796" t="s">
        <v>742</v>
      </c>
      <c r="J7" s="217" t="str">
        <f>+'16'!J7</f>
        <v>T 14 RC HW</v>
      </c>
      <c r="K7" s="241"/>
      <c r="L7" s="245"/>
      <c r="M7" s="120">
        <f>+K7+'16'!M7+L7</f>
        <v>41293</v>
      </c>
      <c r="N7" s="152">
        <v>740</v>
      </c>
      <c r="O7" s="152">
        <f t="shared" si="0"/>
        <v>636.4</v>
      </c>
    </row>
    <row r="8" spans="1:15" ht="13.5" thickBot="1">
      <c r="A8" s="794"/>
      <c r="B8" s="218"/>
      <c r="C8" s="219"/>
      <c r="D8" s="220"/>
      <c r="E8" s="222"/>
      <c r="F8" s="234">
        <v>2</v>
      </c>
      <c r="G8" s="583" t="s">
        <v>13</v>
      </c>
      <c r="H8" s="233" t="s">
        <v>455</v>
      </c>
      <c r="I8" s="797"/>
      <c r="J8" s="217" t="str">
        <f>+'16'!J8</f>
        <v>T 15,5 RC HW</v>
      </c>
      <c r="K8" s="242"/>
      <c r="L8" s="242"/>
      <c r="M8" s="120">
        <f>+K8+'16'!M8+L8</f>
        <v>139937</v>
      </c>
      <c r="N8" s="152">
        <v>740</v>
      </c>
      <c r="O8" s="152">
        <f t="shared" si="0"/>
        <v>636.4</v>
      </c>
    </row>
    <row r="9" spans="1:15" ht="13.5" thickBot="1">
      <c r="A9" s="794"/>
      <c r="B9" s="218"/>
      <c r="C9" s="219"/>
      <c r="D9" s="220"/>
      <c r="E9" s="223"/>
      <c r="F9" s="231">
        <v>3</v>
      </c>
      <c r="G9" s="583" t="s">
        <v>13</v>
      </c>
      <c r="H9" s="236" t="s">
        <v>419</v>
      </c>
      <c r="I9" s="797"/>
      <c r="J9" s="217" t="str">
        <f>+'16'!J9</f>
        <v>T 13,5 RC HW</v>
      </c>
      <c r="K9" s="242"/>
      <c r="L9" s="242"/>
      <c r="M9" s="120">
        <f>+K9+'16'!M9+L9</f>
        <v>31497</v>
      </c>
    </row>
    <row r="10" spans="1:15" ht="26.25" thickBot="1">
      <c r="A10" s="794"/>
      <c r="B10" s="218"/>
      <c r="C10" s="219"/>
      <c r="D10" s="220"/>
      <c r="E10" s="222"/>
      <c r="F10" s="231">
        <v>7</v>
      </c>
      <c r="G10" s="240" t="s">
        <v>14</v>
      </c>
      <c r="H10" s="236" t="s">
        <v>750</v>
      </c>
      <c r="I10" s="797"/>
      <c r="J10" s="217" t="str">
        <f>+'16'!J10</f>
        <v>T 20 RC HW</v>
      </c>
      <c r="K10" s="242"/>
      <c r="L10" s="242"/>
      <c r="M10" s="120">
        <f>+K10+'16'!M10+L10</f>
        <v>35769</v>
      </c>
    </row>
    <row r="11" spans="1:15" ht="13.5" thickBot="1">
      <c r="A11" s="794"/>
      <c r="B11" s="218"/>
      <c r="C11" s="219"/>
      <c r="D11" s="220"/>
      <c r="E11" s="222"/>
      <c r="F11" s="231"/>
      <c r="G11" s="235"/>
      <c r="H11" s="236"/>
      <c r="I11" s="797"/>
      <c r="J11" s="217" t="str">
        <f>+'16'!J11</f>
        <v>T 17 RC HW</v>
      </c>
      <c r="K11" s="242"/>
      <c r="L11" s="242"/>
      <c r="M11" s="120">
        <f>+K11+'16'!M11+L11</f>
        <v>18517</v>
      </c>
    </row>
    <row r="12" spans="1:15" ht="13.5" thickBot="1">
      <c r="A12" s="794"/>
      <c r="B12" s="218"/>
      <c r="C12" s="219"/>
      <c r="D12" s="220"/>
      <c r="E12" s="222"/>
      <c r="F12" s="231"/>
      <c r="G12" s="235"/>
      <c r="H12" s="236"/>
      <c r="I12" s="797"/>
      <c r="J12" s="217" t="str">
        <f>+'16'!J12</f>
        <v>T 16 RC HW</v>
      </c>
      <c r="K12" s="242"/>
      <c r="L12" s="242"/>
      <c r="M12" s="120">
        <f>+K12+'16'!M12+L12</f>
        <v>38417</v>
      </c>
    </row>
    <row r="13" spans="1:15" ht="13.5" thickBot="1">
      <c r="A13" s="794"/>
      <c r="B13" s="218"/>
      <c r="C13" s="219"/>
      <c r="D13" s="219"/>
      <c r="E13" s="222"/>
      <c r="F13" s="231"/>
      <c r="G13" s="235"/>
      <c r="H13" s="236"/>
      <c r="I13" s="798"/>
      <c r="J13" s="217" t="str">
        <f>+'16'!J13</f>
        <v>N 15,5 RC HW</v>
      </c>
      <c r="K13" s="242"/>
      <c r="L13" s="242"/>
      <c r="M13" s="120">
        <f>+K13+'16'!M13+L13</f>
        <v>72746</v>
      </c>
    </row>
    <row r="14" spans="1:15" ht="13.5" thickBot="1">
      <c r="A14" s="795"/>
      <c r="B14" s="168" t="s">
        <v>3</v>
      </c>
      <c r="C14" s="102">
        <f>SUM(C7:C13)</f>
        <v>18046</v>
      </c>
      <c r="D14" s="114">
        <f>SUM(D7:D13)</f>
        <v>0</v>
      </c>
      <c r="E14" s="115">
        <f>SUM(E5:E13)</f>
        <v>0</v>
      </c>
      <c r="F14" s="105">
        <f>SUM(F6:F13)</f>
        <v>13</v>
      </c>
      <c r="G14" s="162"/>
      <c r="H14" s="169"/>
      <c r="I14" s="170"/>
      <c r="J14" s="217" t="str">
        <f>+'16'!J14</f>
        <v>TW 22 RC HW</v>
      </c>
      <c r="K14" s="242">
        <f>+C34</f>
        <v>53382</v>
      </c>
      <c r="L14" s="242"/>
      <c r="M14" s="120">
        <f>+K14+'16'!M14+L14</f>
        <v>374801</v>
      </c>
    </row>
    <row r="15" spans="1:15" ht="13.5" customHeight="1" thickBot="1">
      <c r="A15" s="793" t="s">
        <v>430</v>
      </c>
      <c r="B15" s="168"/>
      <c r="C15" s="116">
        <f>C14/($C$23+$D$23+$E$23)</f>
        <v>1.0428199942213232</v>
      </c>
      <c r="D15" s="117">
        <f>D14/($C$23+$D$23+$E$23)</f>
        <v>0</v>
      </c>
      <c r="E15" s="118">
        <f>E14/($C$23+$D$23+$E$23)</f>
        <v>0</v>
      </c>
      <c r="F15" s="231"/>
      <c r="G15" s="232" t="s">
        <v>13</v>
      </c>
      <c r="H15" s="233" t="s">
        <v>391</v>
      </c>
      <c r="I15" s="796" t="s">
        <v>742</v>
      </c>
      <c r="J15" s="217">
        <f>+'16'!J15</f>
        <v>0</v>
      </c>
      <c r="K15" s="242"/>
      <c r="L15" s="242"/>
      <c r="M15" s="120">
        <f>+K15+'16'!M15+L15</f>
        <v>0</v>
      </c>
    </row>
    <row r="16" spans="1:15" ht="13.5" thickBot="1">
      <c r="A16" s="799"/>
      <c r="B16" s="218" t="s">
        <v>589</v>
      </c>
      <c r="C16" s="225">
        <v>17305</v>
      </c>
      <c r="D16" s="226"/>
      <c r="E16" s="227"/>
      <c r="F16" s="234">
        <v>4</v>
      </c>
      <c r="G16" s="583" t="s">
        <v>13</v>
      </c>
      <c r="H16" s="233" t="s">
        <v>420</v>
      </c>
      <c r="I16" s="797"/>
      <c r="J16" s="217">
        <f>+'16'!J16</f>
        <v>0</v>
      </c>
      <c r="K16" s="242"/>
      <c r="L16" s="232"/>
      <c r="M16" s="120">
        <f>+K16+'16'!M16+L16</f>
        <v>0</v>
      </c>
    </row>
    <row r="17" spans="1:13" ht="13.5" thickBot="1">
      <c r="A17" s="799"/>
      <c r="B17" s="218"/>
      <c r="C17" s="219"/>
      <c r="D17" s="220"/>
      <c r="E17" s="228"/>
      <c r="F17" s="231">
        <v>8</v>
      </c>
      <c r="G17" s="583" t="s">
        <v>13</v>
      </c>
      <c r="H17" s="236" t="s">
        <v>419</v>
      </c>
      <c r="I17" s="797"/>
      <c r="J17" s="217">
        <f>+'16'!J17</f>
        <v>0</v>
      </c>
      <c r="K17" s="242"/>
      <c r="L17" s="232"/>
      <c r="M17" s="120">
        <f>+K17+'16'!M17+L17</f>
        <v>0</v>
      </c>
    </row>
    <row r="18" spans="1:13" ht="26.25" thickBot="1">
      <c r="A18" s="799"/>
      <c r="B18" s="218"/>
      <c r="C18" s="219"/>
      <c r="D18" s="220"/>
      <c r="E18" s="228"/>
      <c r="F18" s="231"/>
      <c r="G18" s="240" t="s">
        <v>14</v>
      </c>
      <c r="H18" s="236" t="s">
        <v>750</v>
      </c>
      <c r="I18" s="797"/>
      <c r="J18" s="217">
        <f>+'16'!J18</f>
        <v>0</v>
      </c>
      <c r="K18" s="242"/>
      <c r="L18" s="242"/>
      <c r="M18" s="120">
        <f>+K18+'16'!M18+L18</f>
        <v>0</v>
      </c>
    </row>
    <row r="19" spans="1:13" ht="13.5" thickBot="1">
      <c r="A19" s="799"/>
      <c r="B19" s="218"/>
      <c r="C19" s="219"/>
      <c r="D19" s="220"/>
      <c r="E19" s="228"/>
      <c r="F19" s="238"/>
      <c r="G19" s="235"/>
      <c r="H19" s="236"/>
      <c r="I19" s="797"/>
      <c r="J19" s="217">
        <f>+'16'!J19</f>
        <v>0</v>
      </c>
      <c r="K19" s="242"/>
      <c r="L19" s="242"/>
      <c r="M19" s="120">
        <f>+K19+'16'!M19+L19</f>
        <v>0</v>
      </c>
    </row>
    <row r="20" spans="1:13" ht="13.5" thickBot="1">
      <c r="A20" s="799"/>
      <c r="B20" s="218"/>
      <c r="C20" s="219"/>
      <c r="D20" s="220"/>
      <c r="E20" s="228"/>
      <c r="F20" s="231"/>
      <c r="G20" s="235"/>
      <c r="H20" s="236"/>
      <c r="I20" s="797"/>
      <c r="J20" s="217">
        <f>+'16'!J20</f>
        <v>0</v>
      </c>
      <c r="K20" s="242"/>
      <c r="L20" s="243"/>
      <c r="M20" s="120">
        <f>+K20+'16'!M20+L20</f>
        <v>0</v>
      </c>
    </row>
    <row r="21" spans="1:13" ht="13.5" thickBot="1">
      <c r="A21" s="799"/>
      <c r="B21" s="218"/>
      <c r="C21" s="219"/>
      <c r="D21" s="220"/>
      <c r="E21" s="228"/>
      <c r="F21" s="234"/>
      <c r="G21" s="235"/>
      <c r="H21" s="236"/>
      <c r="I21" s="797"/>
      <c r="J21" s="217">
        <f>+'16'!J21</f>
        <v>0</v>
      </c>
      <c r="K21" s="242"/>
      <c r="L21" s="242"/>
      <c r="M21" s="120">
        <f>+K21+'16'!M21+L21</f>
        <v>0</v>
      </c>
    </row>
    <row r="22" spans="1:13" ht="13.5" thickBot="1">
      <c r="A22" s="799"/>
      <c r="B22" s="218"/>
      <c r="C22" s="219"/>
      <c r="D22" s="220"/>
      <c r="E22" s="228"/>
      <c r="F22" s="239"/>
      <c r="G22" s="235"/>
      <c r="H22" s="236"/>
      <c r="I22" s="798"/>
      <c r="J22" s="217">
        <f>+'16'!J22</f>
        <v>0</v>
      </c>
      <c r="K22" s="242"/>
      <c r="L22" s="242"/>
      <c r="M22" s="120">
        <f>+K22+'16'!M22+L22</f>
        <v>0</v>
      </c>
    </row>
    <row r="23" spans="1:13" ht="13.5" thickBot="1">
      <c r="A23" s="800"/>
      <c r="B23" s="168" t="s">
        <v>3</v>
      </c>
      <c r="C23" s="103">
        <f>SUM(C16:C22)</f>
        <v>17305</v>
      </c>
      <c r="D23" s="114">
        <f>SUM(D16:D22)</f>
        <v>0</v>
      </c>
      <c r="E23" s="115">
        <f>SUM(E18:E22)</f>
        <v>0</v>
      </c>
      <c r="F23" s="105">
        <f>SUM(F15:F22)</f>
        <v>12</v>
      </c>
      <c r="G23" s="162"/>
      <c r="H23" s="169"/>
      <c r="I23" s="172"/>
      <c r="J23" s="217">
        <f>+'16'!J23</f>
        <v>0</v>
      </c>
      <c r="K23" s="242"/>
      <c r="L23" s="242"/>
      <c r="M23" s="120">
        <f>+K23+'16'!M23+L23</f>
        <v>0</v>
      </c>
    </row>
    <row r="24" spans="1:13" ht="13.5" customHeight="1" thickBot="1">
      <c r="A24" s="793" t="s">
        <v>431</v>
      </c>
      <c r="B24" s="173"/>
      <c r="C24" s="116">
        <f>C23/($C$23+$D$23+$E$23)</f>
        <v>1</v>
      </c>
      <c r="D24" s="117">
        <f>D23/($C$23+$D$23+$E$23)</f>
        <v>0</v>
      </c>
      <c r="E24" s="118">
        <f>E23/($C$23+$D$23+$E$23)</f>
        <v>0</v>
      </c>
      <c r="F24" s="231"/>
      <c r="G24" s="232" t="s">
        <v>13</v>
      </c>
      <c r="H24" s="233" t="s">
        <v>391</v>
      </c>
      <c r="I24" s="796" t="s">
        <v>742</v>
      </c>
      <c r="J24" s="217">
        <f>+'16'!J24</f>
        <v>0</v>
      </c>
      <c r="K24" s="242"/>
      <c r="L24" s="242"/>
      <c r="M24" s="120">
        <f>+K24+'16'!M24+L24</f>
        <v>0</v>
      </c>
    </row>
    <row r="25" spans="1:13" ht="13.5" thickBot="1">
      <c r="A25" s="799"/>
      <c r="B25" s="218" t="s">
        <v>589</v>
      </c>
      <c r="C25" s="229">
        <v>18031</v>
      </c>
      <c r="D25" s="220"/>
      <c r="E25" s="228"/>
      <c r="F25" s="234">
        <v>4</v>
      </c>
      <c r="G25" s="583" t="s">
        <v>13</v>
      </c>
      <c r="H25" s="233" t="s">
        <v>420</v>
      </c>
      <c r="I25" s="797"/>
      <c r="J25" s="217">
        <f>+'16'!J25</f>
        <v>0</v>
      </c>
      <c r="K25" s="242"/>
      <c r="L25" s="242"/>
      <c r="M25" s="120">
        <f>+K25+'16'!M25+L25</f>
        <v>0</v>
      </c>
    </row>
    <row r="26" spans="1:13" ht="13.5" thickBot="1">
      <c r="A26" s="799"/>
      <c r="B26" s="218"/>
      <c r="C26" s="229"/>
      <c r="D26" s="220"/>
      <c r="E26" s="230"/>
      <c r="F26" s="231">
        <v>8</v>
      </c>
      <c r="G26" s="583" t="s">
        <v>13</v>
      </c>
      <c r="H26" s="236" t="s">
        <v>419</v>
      </c>
      <c r="I26" s="797"/>
      <c r="J26" s="217">
        <f>+'16'!J26</f>
        <v>0</v>
      </c>
      <c r="K26" s="242"/>
      <c r="L26" s="242"/>
      <c r="M26" s="120">
        <f>+K26+'16'!M26+L26</f>
        <v>0</v>
      </c>
    </row>
    <row r="27" spans="1:13" ht="26.25" thickBot="1">
      <c r="A27" s="799"/>
      <c r="B27" s="218"/>
      <c r="C27" s="219"/>
      <c r="D27" s="220"/>
      <c r="E27" s="228"/>
      <c r="F27" s="231"/>
      <c r="G27" s="240" t="s">
        <v>14</v>
      </c>
      <c r="H27" s="236" t="s">
        <v>750</v>
      </c>
      <c r="I27" s="797"/>
      <c r="J27" s="217">
        <f>+'16'!J27</f>
        <v>0</v>
      </c>
      <c r="K27" s="242"/>
      <c r="L27" s="242"/>
      <c r="M27" s="120">
        <f>+K27+'16'!M27+L27</f>
        <v>0</v>
      </c>
    </row>
    <row r="28" spans="1:13" ht="13.5" thickBot="1">
      <c r="A28" s="799"/>
      <c r="B28" s="218"/>
      <c r="C28" s="219"/>
      <c r="D28" s="220"/>
      <c r="E28" s="228"/>
      <c r="F28" s="234"/>
      <c r="G28" s="235"/>
      <c r="H28" s="236"/>
      <c r="I28" s="797"/>
      <c r="J28" s="217">
        <f>+'16'!J28</f>
        <v>0</v>
      </c>
      <c r="K28" s="242"/>
      <c r="L28" s="242"/>
      <c r="M28" s="120">
        <f>+K28+'16'!M28+L28</f>
        <v>0</v>
      </c>
    </row>
    <row r="29" spans="1:13" ht="13.5" thickBot="1">
      <c r="A29" s="799"/>
      <c r="B29" s="218"/>
      <c r="C29" s="219"/>
      <c r="D29" s="220"/>
      <c r="E29" s="228"/>
      <c r="F29" s="239"/>
      <c r="G29" s="235"/>
      <c r="H29" s="236"/>
      <c r="I29" s="797"/>
      <c r="J29" s="217">
        <f>+'16'!J29</f>
        <v>0</v>
      </c>
      <c r="K29" s="242"/>
      <c r="L29" s="242"/>
      <c r="M29" s="120">
        <f>+K29+'16'!M29+L29</f>
        <v>0</v>
      </c>
    </row>
    <row r="30" spans="1:13" ht="13.5" thickBot="1">
      <c r="A30" s="799"/>
      <c r="B30" s="218"/>
      <c r="C30" s="229"/>
      <c r="D30" s="220"/>
      <c r="E30" s="228"/>
      <c r="F30" s="239"/>
      <c r="G30" s="235"/>
      <c r="H30" s="236"/>
      <c r="I30" s="797"/>
      <c r="J30" s="217">
        <f>+'16'!J30</f>
        <v>0</v>
      </c>
      <c r="K30" s="242"/>
      <c r="L30" s="242"/>
      <c r="M30" s="120">
        <f>+K30+'16'!M30+L30</f>
        <v>0</v>
      </c>
    </row>
    <row r="31" spans="1:13" ht="13.5" thickBot="1">
      <c r="A31" s="799"/>
      <c r="B31" s="218"/>
      <c r="C31" s="229"/>
      <c r="D31" s="220"/>
      <c r="E31" s="228"/>
      <c r="F31" s="239"/>
      <c r="G31" s="240"/>
      <c r="H31" s="237"/>
      <c r="I31" s="798"/>
      <c r="J31" s="217">
        <f>+'16'!J31</f>
        <v>0</v>
      </c>
      <c r="K31" s="242"/>
      <c r="L31" s="242"/>
      <c r="M31" s="120">
        <f>+K31+'16'!M31+L31</f>
        <v>0</v>
      </c>
    </row>
    <row r="32" spans="1:13" ht="13.5" thickBot="1">
      <c r="A32" s="800"/>
      <c r="B32" s="168" t="s">
        <v>3</v>
      </c>
      <c r="C32" s="102">
        <f>SUM(C25:C31)</f>
        <v>18031</v>
      </c>
      <c r="D32" s="103">
        <f>SUM(D25:D31)</f>
        <v>0</v>
      </c>
      <c r="E32" s="104">
        <f>SUM(E25:E31)</f>
        <v>0</v>
      </c>
      <c r="F32" s="105">
        <f>SUM(F24:F31)</f>
        <v>12</v>
      </c>
      <c r="G32" s="174"/>
      <c r="H32" s="175"/>
      <c r="I32" s="172"/>
      <c r="J32" s="217">
        <f>+'16'!J32</f>
        <v>0</v>
      </c>
      <c r="K32" s="244"/>
      <c r="L32" s="246"/>
      <c r="M32" s="120">
        <f>+K32+'16'!M32+L32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801" t="s">
        <v>70</v>
      </c>
      <c r="B34" s="802"/>
      <c r="C34" s="110">
        <f>C14+C23+C32</f>
        <v>53382</v>
      </c>
      <c r="D34" s="110">
        <f>D14+D23+D32</f>
        <v>0</v>
      </c>
      <c r="E34" s="110">
        <f>E14+E23+E32</f>
        <v>0</v>
      </c>
      <c r="F34" s="111">
        <f>F14+F23+F32</f>
        <v>37</v>
      </c>
      <c r="H34" s="181"/>
      <c r="I34" s="181"/>
      <c r="J34" s="126" t="s">
        <v>29</v>
      </c>
      <c r="K34" s="127">
        <f>SUM(K7:K32)</f>
        <v>53382</v>
      </c>
      <c r="L34" s="215">
        <f>SUM(L7:L32)</f>
        <v>0</v>
      </c>
      <c r="M34" s="123">
        <f>SUM(M7:M32)</f>
        <v>752977</v>
      </c>
      <c r="N34" s="158"/>
    </row>
    <row r="35" spans="1:14" ht="13.5" thickBot="1">
      <c r="A35" s="182"/>
      <c r="B35" s="183"/>
      <c r="C35" s="107">
        <f>C34/($C$34+$D$34+$E$34)</f>
        <v>1</v>
      </c>
      <c r="D35" s="107">
        <f>D34/($C$34+$D$34+$E$34)</f>
        <v>0</v>
      </c>
      <c r="E35" s="112">
        <f>E34/($C$34+$D$34+$E$34)</f>
        <v>0</v>
      </c>
      <c r="K35" s="158"/>
      <c r="L35" s="792" t="s">
        <v>187</v>
      </c>
      <c r="M35" s="792"/>
      <c r="N35" s="158"/>
    </row>
    <row r="36" spans="1:14" ht="13.5" thickBot="1">
      <c r="A36" s="181"/>
      <c r="B36" s="181"/>
      <c r="C36" s="158"/>
      <c r="D36" s="158"/>
      <c r="E36" s="158"/>
      <c r="G36" s="158"/>
      <c r="H36" s="184"/>
      <c r="I36" s="165" t="s">
        <v>41</v>
      </c>
      <c r="J36" s="165" t="s">
        <v>42</v>
      </c>
      <c r="K36" s="185"/>
      <c r="L36" s="165" t="s">
        <v>41</v>
      </c>
      <c r="M36" s="165" t="s">
        <v>42</v>
      </c>
      <c r="N36" s="158"/>
    </row>
    <row r="37" spans="1:14" ht="17.45" customHeight="1" thickBot="1">
      <c r="A37" s="790" t="s">
        <v>71</v>
      </c>
      <c r="B37" s="791"/>
      <c r="C37" s="165" t="s">
        <v>72</v>
      </c>
      <c r="D37" s="186" t="s">
        <v>73</v>
      </c>
      <c r="E37" s="187" t="s">
        <v>74</v>
      </c>
      <c r="F37" s="365"/>
      <c r="G37" s="367"/>
      <c r="H37" s="189" t="s">
        <v>75</v>
      </c>
      <c r="I37" s="247">
        <f>(22*1440)/1440*G42*2.75*1440/1000000</f>
        <v>55.443167999999993</v>
      </c>
      <c r="J37" s="128">
        <f>+I37+'16'!J37</f>
        <v>813.93927869587742</v>
      </c>
      <c r="K37" s="129" t="s">
        <v>76</v>
      </c>
      <c r="L37" s="426"/>
      <c r="M37" s="427"/>
      <c r="N37" s="158"/>
    </row>
    <row r="38" spans="1:14" ht="17.45" customHeight="1">
      <c r="A38" s="786" t="s">
        <v>13</v>
      </c>
      <c r="B38" s="787"/>
      <c r="C38" s="167">
        <f>SUMIF($G$7:$G$31,"Process",$F$7:$F$31)</f>
        <v>30</v>
      </c>
      <c r="D38" s="121">
        <f>+C38+'16'!D38</f>
        <v>1225</v>
      </c>
      <c r="E38" s="146">
        <f t="shared" ref="E38:E51" si="1">D38/60</f>
        <v>20.416666666666668</v>
      </c>
      <c r="F38" s="365">
        <v>740</v>
      </c>
      <c r="G38" s="365">
        <v>636.4</v>
      </c>
      <c r="H38" s="190" t="s">
        <v>77</v>
      </c>
      <c r="I38" s="547">
        <f>17.656+18.191+18.191</f>
        <v>54.037999999999997</v>
      </c>
      <c r="J38" s="130">
        <f>+I38+'16'!J38</f>
        <v>769.62630000000001</v>
      </c>
      <c r="K38" s="131" t="s">
        <v>76</v>
      </c>
      <c r="L38" s="428"/>
      <c r="M38" s="429"/>
      <c r="N38" s="158"/>
    </row>
    <row r="39" spans="1:14" ht="17.45" customHeight="1">
      <c r="A39" s="782" t="s">
        <v>14</v>
      </c>
      <c r="B39" s="783"/>
      <c r="C39" s="167">
        <f>SUMIF($G$7:$G$31,"Cleaning",$F$7:$F$31)</f>
        <v>7</v>
      </c>
      <c r="D39" s="121">
        <f>+C39+'16'!D39</f>
        <v>181</v>
      </c>
      <c r="E39" s="146">
        <f t="shared" si="1"/>
        <v>3.0166666666666666</v>
      </c>
      <c r="F39" s="365">
        <v>740</v>
      </c>
      <c r="G39" s="365">
        <v>636.4</v>
      </c>
      <c r="H39" s="190" t="s">
        <v>78</v>
      </c>
      <c r="I39" s="145"/>
      <c r="J39" s="132">
        <f>J37/G4</f>
        <v>47.878781099757497</v>
      </c>
      <c r="K39" s="133" t="s">
        <v>76</v>
      </c>
      <c r="L39" s="428"/>
      <c r="M39" s="429"/>
      <c r="N39" s="158"/>
    </row>
    <row r="40" spans="1:14" ht="17.45" customHeight="1">
      <c r="A40" s="782" t="s">
        <v>79</v>
      </c>
      <c r="B40" s="783"/>
      <c r="C40" s="167">
        <f>SUMIF($G$7:$G$31,"Mechanical",$F$7:$F$31)</f>
        <v>0</v>
      </c>
      <c r="D40" s="121">
        <f>+C40+'16'!D40</f>
        <v>120</v>
      </c>
      <c r="E40" s="146">
        <f t="shared" si="1"/>
        <v>2</v>
      </c>
      <c r="F40" s="365">
        <v>740</v>
      </c>
      <c r="G40" s="365">
        <v>636.4</v>
      </c>
      <c r="H40" s="190" t="s">
        <v>80</v>
      </c>
      <c r="I40" s="121">
        <f>(K34+L34)/1000</f>
        <v>53.381999999999998</v>
      </c>
      <c r="J40" s="134">
        <f>+I40+'16'!J40</f>
        <v>752.97699999999998</v>
      </c>
      <c r="K40" s="133" t="s">
        <v>76</v>
      </c>
      <c r="L40" s="428"/>
      <c r="M40" s="429"/>
      <c r="N40" s="158"/>
    </row>
    <row r="41" spans="1:14" ht="17.45" customHeight="1">
      <c r="A41" s="782" t="s">
        <v>81</v>
      </c>
      <c r="B41" s="783"/>
      <c r="C41" s="167">
        <f>SUMIF($G$7:$G$31,"Electrical",$F$7:$F$31)</f>
        <v>0</v>
      </c>
      <c r="D41" s="121">
        <f>+C41+'16'!D41</f>
        <v>65</v>
      </c>
      <c r="E41" s="146">
        <f t="shared" si="1"/>
        <v>1.0833333333333333</v>
      </c>
      <c r="F41" s="365"/>
      <c r="G41" s="365"/>
      <c r="H41" s="190" t="s">
        <v>82</v>
      </c>
      <c r="I41" s="145"/>
      <c r="J41" s="132">
        <f>J40/G4</f>
        <v>44.292764705882348</v>
      </c>
      <c r="K41" s="133" t="s">
        <v>76</v>
      </c>
      <c r="L41" s="428"/>
      <c r="M41" s="429"/>
      <c r="N41" s="158"/>
    </row>
    <row r="42" spans="1:14" ht="17.45" customHeight="1">
      <c r="A42" s="782" t="s">
        <v>17</v>
      </c>
      <c r="B42" s="783"/>
      <c r="C42" s="167">
        <f>SUMIF($G$7:$G$31,"Instrument",$F$7:$F$31)</f>
        <v>0</v>
      </c>
      <c r="D42" s="121">
        <f>+C42+'16'!D42</f>
        <v>0</v>
      </c>
      <c r="E42" s="146">
        <f t="shared" si="1"/>
        <v>0</v>
      </c>
      <c r="F42" s="365">
        <f>+(480*F38+480*F39+480*F40)/1440</f>
        <v>740</v>
      </c>
      <c r="G42" s="365">
        <f>+(480*G38+480*G39+480*G40)/1440</f>
        <v>636.4</v>
      </c>
      <c r="H42" s="190" t="s">
        <v>83</v>
      </c>
      <c r="I42" s="249" t="s">
        <v>615</v>
      </c>
      <c r="J42" s="135"/>
      <c r="K42" s="133" t="s">
        <v>84</v>
      </c>
      <c r="L42" s="428"/>
      <c r="M42" s="429"/>
      <c r="N42" s="158"/>
    </row>
    <row r="43" spans="1:14" ht="17.45" customHeight="1">
      <c r="A43" s="782" t="s">
        <v>85</v>
      </c>
      <c r="B43" s="783"/>
      <c r="C43" s="167">
        <f>SUMIF($G$7:$G$31,"Water",$F$7:$F$31)</f>
        <v>0</v>
      </c>
      <c r="D43" s="121">
        <f>+C43+'16'!D43</f>
        <v>0</v>
      </c>
      <c r="E43" s="146">
        <f t="shared" si="1"/>
        <v>0</v>
      </c>
      <c r="F43" s="365"/>
      <c r="G43" s="366"/>
      <c r="H43" s="191" t="s">
        <v>86</v>
      </c>
      <c r="I43" s="121">
        <f>+Report1!AH25</f>
        <v>71.3</v>
      </c>
      <c r="J43" s="136">
        <f>+I43+'16'!J43</f>
        <v>1078.2</v>
      </c>
      <c r="K43" s="133" t="s">
        <v>76</v>
      </c>
      <c r="L43" s="430">
        <f>+Report1!AN25</f>
        <v>0</v>
      </c>
      <c r="M43" s="431">
        <f>+L43+'16'!M43</f>
        <v>0</v>
      </c>
      <c r="N43" s="158"/>
    </row>
    <row r="44" spans="1:14" ht="17.45" customHeight="1">
      <c r="A44" s="782" t="s">
        <v>18</v>
      </c>
      <c r="B44" s="783"/>
      <c r="C44" s="167">
        <f>SUMIF($G$7:$G$31,"PLN",$F$7:$F$31)</f>
        <v>0</v>
      </c>
      <c r="D44" s="121">
        <f>+C44+'16'!D44</f>
        <v>0</v>
      </c>
      <c r="E44" s="146">
        <f t="shared" si="1"/>
        <v>0</v>
      </c>
      <c r="F44" s="365"/>
      <c r="G44" s="366"/>
      <c r="H44" s="191" t="s">
        <v>87</v>
      </c>
      <c r="I44" s="121">
        <f>I43/I38</f>
        <v>1.3194418742366483</v>
      </c>
      <c r="J44" s="137">
        <f>J43/J38</f>
        <v>1.4009396508409342</v>
      </c>
      <c r="K44" s="133" t="s">
        <v>76</v>
      </c>
      <c r="L44" s="432">
        <f>+L43/I38</f>
        <v>0</v>
      </c>
      <c r="M44" s="433">
        <f>+M43/J38</f>
        <v>0</v>
      </c>
      <c r="N44" s="158"/>
    </row>
    <row r="45" spans="1:14" ht="17.45" customHeight="1">
      <c r="A45" s="782" t="s">
        <v>19</v>
      </c>
      <c r="B45" s="783"/>
      <c r="C45" s="167">
        <f>SUMIF($G$7:$G$31,"Boiler",$F$7:$F$31)</f>
        <v>0</v>
      </c>
      <c r="D45" s="121">
        <f>+C45+'16'!D45</f>
        <v>0</v>
      </c>
      <c r="E45" s="146">
        <f t="shared" si="1"/>
        <v>0</v>
      </c>
      <c r="F45" s="365"/>
      <c r="G45" s="368"/>
      <c r="H45" s="191" t="s">
        <v>88</v>
      </c>
      <c r="I45" s="121">
        <f>I43/I40</f>
        <v>1.3356562137049941</v>
      </c>
      <c r="J45" s="137">
        <f>J43/J40</f>
        <v>1.4319162471098057</v>
      </c>
      <c r="K45" s="133" t="s">
        <v>76</v>
      </c>
      <c r="L45" s="432">
        <f>+L43/I40</f>
        <v>0</v>
      </c>
      <c r="M45" s="433">
        <f>+M43/J40</f>
        <v>0</v>
      </c>
      <c r="N45" s="158"/>
    </row>
    <row r="46" spans="1:14" ht="17.45" customHeight="1">
      <c r="A46" s="782" t="s">
        <v>89</v>
      </c>
      <c r="B46" s="783"/>
      <c r="C46" s="167">
        <f>SUMIF($G$7:$G$31,"Gas",$F$7:$F$31)</f>
        <v>0</v>
      </c>
      <c r="D46" s="121">
        <f>+C46+'16'!D46</f>
        <v>0</v>
      </c>
      <c r="E46" s="146">
        <f t="shared" si="1"/>
        <v>0</v>
      </c>
      <c r="F46" s="365"/>
      <c r="G46" s="366"/>
      <c r="H46" s="191" t="s">
        <v>90</v>
      </c>
      <c r="I46" s="143">
        <f>+SUMIF(Listrik!P24,"&gt;0")</f>
        <v>42228.059999999932</v>
      </c>
      <c r="J46" s="138">
        <f>+I46+'16'!J46</f>
        <v>626304.73999999987</v>
      </c>
      <c r="K46" s="133" t="s">
        <v>91</v>
      </c>
      <c r="L46" s="432">
        <f>+Listrik!AF24</f>
        <v>0</v>
      </c>
      <c r="M46" s="434">
        <f>+L46+'16'!M46</f>
        <v>0</v>
      </c>
      <c r="N46" s="158"/>
    </row>
    <row r="47" spans="1:14" ht="17.45" customHeight="1">
      <c r="A47" s="782" t="s">
        <v>92</v>
      </c>
      <c r="B47" s="783"/>
      <c r="C47" s="167">
        <f>SUMIF($G$7:$G$31,"Gas",$F$7:$F$31)</f>
        <v>0</v>
      </c>
      <c r="D47" s="121">
        <f>+C47+'16'!D47</f>
        <v>0</v>
      </c>
      <c r="E47" s="146">
        <f t="shared" si="1"/>
        <v>0</v>
      </c>
      <c r="F47" s="365"/>
      <c r="G47" s="366"/>
      <c r="H47" s="191" t="s">
        <v>93</v>
      </c>
      <c r="I47" s="121">
        <f>I46/I38</f>
        <v>781.45120100669783</v>
      </c>
      <c r="J47" s="138">
        <f>J46/J38</f>
        <v>813.77772563125745</v>
      </c>
      <c r="K47" s="133" t="s">
        <v>25</v>
      </c>
      <c r="L47" s="432">
        <f>+L46/I38</f>
        <v>0</v>
      </c>
      <c r="M47" s="433">
        <f>+M46/J38</f>
        <v>0</v>
      </c>
    </row>
    <row r="48" spans="1:14" ht="17.45" customHeight="1">
      <c r="A48" s="782" t="s">
        <v>15</v>
      </c>
      <c r="B48" s="783"/>
      <c r="C48" s="167">
        <f>SUMIF($G$7:$G$31,"Start Up",$F$7:$F$31)</f>
        <v>0</v>
      </c>
      <c r="D48" s="121">
        <f>+C48+'16'!D48</f>
        <v>0</v>
      </c>
      <c r="E48" s="146">
        <f t="shared" si="1"/>
        <v>0</v>
      </c>
      <c r="F48" s="365"/>
      <c r="G48" s="366"/>
      <c r="H48" s="191" t="s">
        <v>94</v>
      </c>
      <c r="I48" s="121">
        <f>I46/I40</f>
        <v>791.05428796223327</v>
      </c>
      <c r="J48" s="138">
        <f>J46/J40</f>
        <v>831.77140868844583</v>
      </c>
      <c r="K48" s="133" t="s">
        <v>25</v>
      </c>
      <c r="L48" s="432">
        <f>+L46/I38</f>
        <v>0</v>
      </c>
      <c r="M48" s="433">
        <f>+M46/J40</f>
        <v>0</v>
      </c>
    </row>
    <row r="49" spans="1:13" ht="17.45" customHeight="1">
      <c r="A49" s="782" t="s">
        <v>21</v>
      </c>
      <c r="B49" s="783"/>
      <c r="C49" s="167">
        <f>SUMIF($G$7:$G$31,"Others",$F$7:$F$31)</f>
        <v>0</v>
      </c>
      <c r="D49" s="121">
        <f>+C49+'16'!D49</f>
        <v>924</v>
      </c>
      <c r="E49" s="146">
        <f t="shared" si="1"/>
        <v>15.4</v>
      </c>
      <c r="F49" s="188"/>
      <c r="H49" s="191" t="s">
        <v>95</v>
      </c>
      <c r="I49" s="121">
        <f>+Report1!AB25</f>
        <v>6150.8539374638094</v>
      </c>
      <c r="J49" s="138">
        <f>+I49+'16'!J49</f>
        <v>66889.021588464137</v>
      </c>
      <c r="K49" s="133" t="s">
        <v>96</v>
      </c>
      <c r="L49" s="428"/>
      <c r="M49" s="429"/>
    </row>
    <row r="50" spans="1:13" ht="17.45" customHeight="1">
      <c r="A50" s="782" t="s">
        <v>20</v>
      </c>
      <c r="B50" s="783"/>
      <c r="C50" s="167">
        <f>SUMIF($G$7:$G$31,"Steam",$F$7:$F$31)</f>
        <v>0</v>
      </c>
      <c r="D50" s="121">
        <f>+C50+'16'!D50</f>
        <v>0</v>
      </c>
      <c r="E50" s="146">
        <f t="shared" si="1"/>
        <v>0</v>
      </c>
      <c r="F50" s="188"/>
      <c r="H50" s="191" t="s">
        <v>97</v>
      </c>
      <c r="I50" s="143">
        <f>I49/I38</f>
        <v>113.82460375039435</v>
      </c>
      <c r="J50" s="136">
        <f>J49/J38</f>
        <v>86.911039277717165</v>
      </c>
      <c r="K50" s="133" t="s">
        <v>96</v>
      </c>
      <c r="L50" s="428"/>
      <c r="M50" s="429"/>
    </row>
    <row r="51" spans="1:13" ht="17.45" customHeight="1" thickBot="1">
      <c r="A51" s="784" t="s">
        <v>98</v>
      </c>
      <c r="B51" s="785"/>
      <c r="C51" s="167">
        <f>SUMIF($G$7:$G$31,"Planned shut",$F$7:$F$31)</f>
        <v>0</v>
      </c>
      <c r="D51" s="121">
        <f>+C51+'16'!D51</f>
        <v>0</v>
      </c>
      <c r="E51" s="146">
        <f t="shared" si="1"/>
        <v>0</v>
      </c>
      <c r="F51" s="188"/>
      <c r="H51" s="193" t="s">
        <v>99</v>
      </c>
      <c r="I51" s="144">
        <f>I49/I40</f>
        <v>115.22337000231931</v>
      </c>
      <c r="J51" s="139">
        <f>J49/J40</f>
        <v>88.832755301243111</v>
      </c>
      <c r="K51" s="140" t="s">
        <v>96</v>
      </c>
      <c r="L51" s="428"/>
      <c r="M51" s="429"/>
    </row>
    <row r="52" spans="1:13" ht="13.5" thickBot="1">
      <c r="A52" s="786" t="s">
        <v>29</v>
      </c>
      <c r="B52" s="787"/>
      <c r="C52" s="147">
        <f>SUM(C38:C51)</f>
        <v>37</v>
      </c>
      <c r="D52" s="147">
        <f>SUM(D38:D51)</f>
        <v>2515</v>
      </c>
      <c r="E52" s="148">
        <f>SUM(E38:E51)</f>
        <v>41.916666666666664</v>
      </c>
      <c r="F52" s="188"/>
      <c r="H52" s="194"/>
      <c r="I52" s="195"/>
      <c r="J52" s="141"/>
      <c r="K52" s="142"/>
      <c r="L52" s="435"/>
      <c r="M52" s="436"/>
    </row>
    <row r="53" spans="1:13" ht="13.5" thickBot="1">
      <c r="A53" s="788"/>
      <c r="B53" s="789"/>
      <c r="C53" s="149">
        <f>C52/(24*60)</f>
        <v>2.5694444444444443E-2</v>
      </c>
      <c r="D53" s="149">
        <f>D52/(24*60*G4)</f>
        <v>0.10273692810457516</v>
      </c>
      <c r="E53" s="150">
        <f>E52/(G4*24)</f>
        <v>0.10273692810457516</v>
      </c>
      <c r="F53" s="188"/>
    </row>
    <row r="54" spans="1:13">
      <c r="E54" s="196"/>
      <c r="F54" s="188"/>
    </row>
    <row r="55" spans="1:13">
      <c r="E55" s="196"/>
    </row>
    <row r="56" spans="1:13">
      <c r="A56" s="197" t="s">
        <v>100</v>
      </c>
      <c r="B56" s="198"/>
      <c r="C56" s="199"/>
      <c r="D56" s="199"/>
      <c r="E56" s="199"/>
      <c r="F56" s="200"/>
      <c r="G56" s="199"/>
      <c r="H56" s="201"/>
      <c r="I56" s="202" t="s">
        <v>101</v>
      </c>
      <c r="J56" s="203">
        <f>+D34+'16'!J56</f>
        <v>2180</v>
      </c>
      <c r="K56" s="204">
        <f>J56/(J40+J56/1000)/1000</f>
        <v>2.886816913568967E-3</v>
      </c>
    </row>
    <row r="57" spans="1:13">
      <c r="A57" s="179"/>
      <c r="I57" s="202" t="s">
        <v>102</v>
      </c>
      <c r="J57" s="203">
        <f>+E34+'16'!J57</f>
        <v>0</v>
      </c>
      <c r="K57" s="204">
        <f>J57/(J40+J57/1000)/1000</f>
        <v>0</v>
      </c>
    </row>
    <row r="58" spans="1:13">
      <c r="A58" s="205"/>
      <c r="B58" s="206"/>
      <c r="F58" s="188"/>
      <c r="H58" s="207"/>
    </row>
    <row r="59" spans="1:13">
      <c r="A59" s="208"/>
      <c r="B59" s="179"/>
      <c r="C59" s="179"/>
      <c r="D59" s="179"/>
      <c r="E59" s="179"/>
      <c r="F59" s="192"/>
      <c r="G59" s="179"/>
      <c r="H59" s="207"/>
      <c r="J59" s="158"/>
    </row>
    <row r="60" spans="1:13">
      <c r="H60" s="207"/>
    </row>
    <row r="61" spans="1:13">
      <c r="A61" s="209"/>
      <c r="B61" s="210"/>
      <c r="C61" s="210"/>
      <c r="D61" s="210"/>
      <c r="E61" s="210"/>
      <c r="F61" s="211"/>
      <c r="G61" s="210"/>
      <c r="H61" s="212"/>
    </row>
  </sheetData>
  <mergeCells count="25">
    <mergeCell ref="A7:A14"/>
    <mergeCell ref="I7:I13"/>
    <mergeCell ref="A15:A23"/>
    <mergeCell ref="I15:I22"/>
    <mergeCell ref="A34:B34"/>
    <mergeCell ref="I24:I31"/>
    <mergeCell ref="A24:A32"/>
    <mergeCell ref="A39:B39"/>
    <mergeCell ref="A40:B40"/>
    <mergeCell ref="A41:B41"/>
    <mergeCell ref="A37:B37"/>
    <mergeCell ref="L35:M35"/>
    <mergeCell ref="A38:B38"/>
    <mergeCell ref="A52:B52"/>
    <mergeCell ref="A53:B53"/>
    <mergeCell ref="A47:B47"/>
    <mergeCell ref="A48:B48"/>
    <mergeCell ref="A49:B49"/>
    <mergeCell ref="A50:B50"/>
    <mergeCell ref="A51:B51"/>
    <mergeCell ref="A42:B42"/>
    <mergeCell ref="A43:B43"/>
    <mergeCell ref="A44:B44"/>
    <mergeCell ref="A45:B45"/>
    <mergeCell ref="A46:B46"/>
  </mergeCells>
  <phoneticPr fontId="31" type="noConversion"/>
  <printOptions horizontalCentered="1"/>
  <pageMargins left="0.74791666666666667" right="0.74791666666666667" top="0.39027777777777778" bottom="0.39027777777777778" header="0" footer="0"/>
  <pageSetup paperSize="9" scale="59"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S61"/>
  <sheetViews>
    <sheetView view="pageBreakPreview" topLeftCell="C13" zoomScale="80" zoomScaleNormal="80" zoomScaleSheetLayoutView="80" workbookViewId="0">
      <selection activeCell="F38" sqref="F38:G4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9.42578125" style="152" customWidth="1"/>
    <col min="11" max="11" width="12.5703125" style="152" bestFit="1" customWidth="1"/>
    <col min="12" max="12" width="8.28515625" style="152" customWidth="1"/>
    <col min="13" max="13" width="12.140625" style="152" customWidth="1"/>
    <col min="14" max="14" width="12.28515625" style="152" bestFit="1" customWidth="1"/>
    <col min="15" max="16384" width="9.140625" style="152"/>
  </cols>
  <sheetData>
    <row r="1" spans="1:19" ht="15.75">
      <c r="A1" s="151"/>
    </row>
    <row r="2" spans="1:19" ht="15.75">
      <c r="A2" s="151" t="s">
        <v>185</v>
      </c>
    </row>
    <row r="3" spans="1:19" ht="15">
      <c r="A3" s="153"/>
    </row>
    <row r="4" spans="1:19" ht="20.25">
      <c r="A4" s="154" t="s">
        <v>5</v>
      </c>
      <c r="B4" s="155"/>
      <c r="F4" s="156" t="s">
        <v>30</v>
      </c>
      <c r="G4" s="157">
        <v>16</v>
      </c>
      <c r="H4" s="157" t="str">
        <f>+'1'!H4</f>
        <v>.03.26</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581</v>
      </c>
      <c r="O6" s="152">
        <v>740</v>
      </c>
      <c r="P6" s="152">
        <f t="shared" ref="P6:P8" si="0">+O6-(O6*0.14)</f>
        <v>636.4</v>
      </c>
      <c r="Q6" s="152">
        <v>480</v>
      </c>
      <c r="R6" s="152">
        <f t="shared" ref="R6:R8" si="1">+O6*Q6</f>
        <v>355200</v>
      </c>
      <c r="S6" s="152">
        <f t="shared" ref="S6:S8" si="2">+P6*Q6</f>
        <v>305472</v>
      </c>
    </row>
    <row r="7" spans="1:19" ht="13.5" customHeight="1" thickBot="1">
      <c r="A7" s="793" t="s">
        <v>432</v>
      </c>
      <c r="B7" s="218" t="s">
        <v>589</v>
      </c>
      <c r="C7" s="219">
        <v>17344</v>
      </c>
      <c r="D7" s="220"/>
      <c r="E7" s="221"/>
      <c r="F7" s="231"/>
      <c r="G7" s="232" t="s">
        <v>13</v>
      </c>
      <c r="H7" s="233" t="s">
        <v>391</v>
      </c>
      <c r="I7" s="796" t="s">
        <v>742</v>
      </c>
      <c r="J7" s="217" t="str">
        <f>+'15'!J7</f>
        <v>T 14 RC HW</v>
      </c>
      <c r="K7" s="241"/>
      <c r="L7" s="245"/>
      <c r="M7" s="120">
        <f>+K7+'15'!M7+L7</f>
        <v>41293</v>
      </c>
      <c r="O7" s="152">
        <v>740</v>
      </c>
      <c r="P7" s="152">
        <f t="shared" si="0"/>
        <v>636.4</v>
      </c>
      <c r="Q7" s="152">
        <v>480</v>
      </c>
      <c r="R7" s="152">
        <f t="shared" si="1"/>
        <v>355200</v>
      </c>
      <c r="S7" s="152">
        <f t="shared" si="2"/>
        <v>305472</v>
      </c>
    </row>
    <row r="8" spans="1:19" ht="13.5" thickBot="1">
      <c r="A8" s="794"/>
      <c r="B8" s="218"/>
      <c r="C8" s="219"/>
      <c r="D8" s="220"/>
      <c r="E8" s="222"/>
      <c r="F8" s="234">
        <v>1</v>
      </c>
      <c r="G8" s="583" t="s">
        <v>13</v>
      </c>
      <c r="H8" s="233" t="s">
        <v>455</v>
      </c>
      <c r="I8" s="797"/>
      <c r="J8" s="217" t="str">
        <f>+'15'!J8</f>
        <v>T 15,5 RC HW</v>
      </c>
      <c r="K8" s="242"/>
      <c r="L8" s="242"/>
      <c r="M8" s="120">
        <f>+K8+'15'!M8+L8</f>
        <v>139937</v>
      </c>
      <c r="O8" s="152">
        <v>740</v>
      </c>
      <c r="P8" s="152">
        <f t="shared" si="0"/>
        <v>636.4</v>
      </c>
      <c r="Q8" s="152">
        <v>480</v>
      </c>
      <c r="R8" s="152">
        <f t="shared" si="1"/>
        <v>355200</v>
      </c>
      <c r="S8" s="152">
        <f t="shared" si="2"/>
        <v>305472</v>
      </c>
    </row>
    <row r="9" spans="1:19" ht="13.5" thickBot="1">
      <c r="A9" s="794"/>
      <c r="B9" s="218"/>
      <c r="C9" s="219"/>
      <c r="D9" s="220"/>
      <c r="E9" s="223"/>
      <c r="F9" s="231">
        <v>6</v>
      </c>
      <c r="G9" s="583" t="s">
        <v>13</v>
      </c>
      <c r="H9" s="236" t="s">
        <v>419</v>
      </c>
      <c r="I9" s="797"/>
      <c r="J9" s="217" t="str">
        <f>+'15'!J9</f>
        <v>T 13,5 RC HW</v>
      </c>
      <c r="K9" s="242"/>
      <c r="L9" s="242"/>
      <c r="M9" s="120">
        <f>+K9+'15'!M9+L9</f>
        <v>31497</v>
      </c>
    </row>
    <row r="10" spans="1:19" ht="26.25" thickBot="1">
      <c r="A10" s="794"/>
      <c r="B10" s="218"/>
      <c r="C10" s="219"/>
      <c r="D10" s="220"/>
      <c r="E10" s="222"/>
      <c r="F10" s="231">
        <v>8</v>
      </c>
      <c r="G10" s="240" t="s">
        <v>14</v>
      </c>
      <c r="H10" s="236" t="s">
        <v>750</v>
      </c>
      <c r="I10" s="797"/>
      <c r="J10" s="217" t="str">
        <f>+'15'!J10</f>
        <v>T 20 RC HW</v>
      </c>
      <c r="K10" s="242"/>
      <c r="L10" s="242"/>
      <c r="M10" s="120">
        <f>+K10+'15'!M10+L10</f>
        <v>35769</v>
      </c>
    </row>
    <row r="11" spans="1:19" ht="13.5" thickBot="1">
      <c r="A11" s="794"/>
      <c r="B11" s="218"/>
      <c r="C11" s="219"/>
      <c r="D11" s="220"/>
      <c r="E11" s="222"/>
      <c r="F11" s="231"/>
      <c r="G11" s="235"/>
      <c r="H11" s="236"/>
      <c r="I11" s="797"/>
      <c r="J11" s="217" t="str">
        <f>+'15'!J11</f>
        <v>T 17 RC HW</v>
      </c>
      <c r="K11" s="242"/>
      <c r="L11" s="242"/>
      <c r="M11" s="120">
        <f>+K11+'15'!M11+L11</f>
        <v>18517</v>
      </c>
    </row>
    <row r="12" spans="1:19" ht="13.5" thickBot="1">
      <c r="A12" s="794"/>
      <c r="B12" s="218"/>
      <c r="C12" s="219"/>
      <c r="D12" s="220"/>
      <c r="E12" s="222"/>
      <c r="F12" s="231"/>
      <c r="G12" s="235"/>
      <c r="H12" s="236"/>
      <c r="I12" s="797"/>
      <c r="J12" s="217" t="str">
        <f>+'15'!J12</f>
        <v>T 16 RC HW</v>
      </c>
      <c r="K12" s="242"/>
      <c r="L12" s="242"/>
      <c r="M12" s="120">
        <f>+K12+'15'!M12+L12</f>
        <v>38417</v>
      </c>
    </row>
    <row r="13" spans="1:19" ht="13.5" thickBot="1">
      <c r="A13" s="794"/>
      <c r="B13" s="218"/>
      <c r="C13" s="219"/>
      <c r="D13" s="219"/>
      <c r="E13" s="222"/>
      <c r="F13" s="231"/>
      <c r="G13" s="235"/>
      <c r="H13" s="236"/>
      <c r="I13" s="798"/>
      <c r="J13" s="217" t="str">
        <f>+'15'!J13</f>
        <v>N 15,5 RC HW</v>
      </c>
      <c r="K13" s="242"/>
      <c r="L13" s="242"/>
      <c r="M13" s="120">
        <f>+K13+'15'!M13+L13</f>
        <v>72746</v>
      </c>
      <c r="Q13" s="179">
        <f>SUM(Q6:Q12)</f>
        <v>1440</v>
      </c>
      <c r="R13" s="179">
        <f>SUM(R6:R12)</f>
        <v>1065600</v>
      </c>
      <c r="S13" s="179">
        <f>SUM(S6:S12)</f>
        <v>916416</v>
      </c>
    </row>
    <row r="14" spans="1:19" ht="13.5" thickBot="1">
      <c r="A14" s="795"/>
      <c r="B14" s="168" t="s">
        <v>3</v>
      </c>
      <c r="C14" s="102">
        <f>SUM(C7:C13)</f>
        <v>17344</v>
      </c>
      <c r="D14" s="114">
        <f>SUM(D7:D13)</f>
        <v>0</v>
      </c>
      <c r="E14" s="115">
        <f>SUM(E5:E13)</f>
        <v>0</v>
      </c>
      <c r="F14" s="105">
        <f>SUM(F6:F13)</f>
        <v>15</v>
      </c>
      <c r="G14" s="162"/>
      <c r="H14" s="169"/>
      <c r="I14" s="170"/>
      <c r="J14" s="217" t="str">
        <f>+'15'!J14</f>
        <v>TW 22 RC HW</v>
      </c>
      <c r="K14" s="242">
        <f>+C34</f>
        <v>53363</v>
      </c>
      <c r="L14" s="242"/>
      <c r="M14" s="120">
        <f>+K14+'15'!M14+L14</f>
        <v>321419</v>
      </c>
      <c r="Q14" s="152">
        <f>480-Q13</f>
        <v>-960</v>
      </c>
      <c r="R14" s="179">
        <f>+R13/Q13</f>
        <v>740</v>
      </c>
      <c r="S14" s="179">
        <f>+S13/Q13</f>
        <v>636.4</v>
      </c>
    </row>
    <row r="15" spans="1:19" ht="13.5" customHeight="1" thickBot="1">
      <c r="A15" s="793" t="s">
        <v>477</v>
      </c>
      <c r="B15" s="168"/>
      <c r="C15" s="116">
        <f>C14/($C$23+$D$23+$E$23)</f>
        <v>0.98809320344100726</v>
      </c>
      <c r="D15" s="117">
        <f>D14/($C$23+$D$23+$E$23)</f>
        <v>0</v>
      </c>
      <c r="E15" s="118">
        <f>E14/($C$23+$D$23+$E$23)</f>
        <v>0</v>
      </c>
      <c r="F15" s="231"/>
      <c r="G15" s="232" t="s">
        <v>13</v>
      </c>
      <c r="H15" s="233" t="s">
        <v>391</v>
      </c>
      <c r="I15" s="796" t="s">
        <v>742</v>
      </c>
      <c r="J15" s="217">
        <f>+'15'!J15</f>
        <v>0</v>
      </c>
      <c r="K15" s="242"/>
      <c r="L15" s="242"/>
      <c r="M15" s="120">
        <f>+K15+'15'!M15+L15</f>
        <v>0</v>
      </c>
    </row>
    <row r="16" spans="1:19" ht="13.5" thickBot="1">
      <c r="A16" s="799"/>
      <c r="B16" s="218" t="s">
        <v>589</v>
      </c>
      <c r="C16" s="225">
        <v>17553</v>
      </c>
      <c r="D16" s="226"/>
      <c r="E16" s="227"/>
      <c r="F16" s="234">
        <v>3</v>
      </c>
      <c r="G16" s="583" t="s">
        <v>13</v>
      </c>
      <c r="H16" s="233" t="s">
        <v>455</v>
      </c>
      <c r="I16" s="797"/>
      <c r="J16" s="217">
        <f>+'15'!J16</f>
        <v>0</v>
      </c>
      <c r="K16" s="242"/>
      <c r="L16" s="242"/>
      <c r="M16" s="120">
        <f>+K16+'15'!M16+L16</f>
        <v>0</v>
      </c>
    </row>
    <row r="17" spans="1:14" ht="13.5" thickBot="1">
      <c r="A17" s="799"/>
      <c r="B17" s="218"/>
      <c r="C17" s="219"/>
      <c r="D17" s="220"/>
      <c r="E17" s="228"/>
      <c r="F17" s="231">
        <v>10</v>
      </c>
      <c r="G17" s="583" t="s">
        <v>13</v>
      </c>
      <c r="H17" s="236" t="s">
        <v>419</v>
      </c>
      <c r="I17" s="797"/>
      <c r="J17" s="217">
        <f>+'15'!J17</f>
        <v>0</v>
      </c>
      <c r="K17" s="242"/>
      <c r="L17" s="242"/>
      <c r="M17" s="120">
        <f>+K17+'15'!M17+L17</f>
        <v>0</v>
      </c>
    </row>
    <row r="18" spans="1:14" ht="26.25" thickBot="1">
      <c r="A18" s="799"/>
      <c r="B18" s="218"/>
      <c r="C18" s="219"/>
      <c r="D18" s="220"/>
      <c r="E18" s="228"/>
      <c r="F18" s="231"/>
      <c r="G18" s="240" t="s">
        <v>14</v>
      </c>
      <c r="H18" s="236" t="s">
        <v>750</v>
      </c>
      <c r="I18" s="797"/>
      <c r="J18" s="217">
        <f>+'15'!J18</f>
        <v>0</v>
      </c>
      <c r="K18" s="242"/>
      <c r="L18" s="242"/>
      <c r="M18" s="120">
        <f>+K18+'15'!M18+L18</f>
        <v>0</v>
      </c>
    </row>
    <row r="19" spans="1:14" ht="13.5" thickBot="1">
      <c r="A19" s="799"/>
      <c r="B19" s="218"/>
      <c r="C19" s="219"/>
      <c r="D19" s="220"/>
      <c r="E19" s="228"/>
      <c r="F19" s="238"/>
      <c r="G19" s="235"/>
      <c r="H19" s="236"/>
      <c r="I19" s="797"/>
      <c r="J19" s="217">
        <f>+'15'!J19</f>
        <v>0</v>
      </c>
      <c r="K19" s="242"/>
      <c r="L19" s="242"/>
      <c r="M19" s="120">
        <f>+K19+'15'!M19+L19</f>
        <v>0</v>
      </c>
    </row>
    <row r="20" spans="1:14" ht="13.5" thickBot="1">
      <c r="A20" s="799"/>
      <c r="B20" s="218"/>
      <c r="C20" s="219"/>
      <c r="D20" s="220"/>
      <c r="E20" s="228"/>
      <c r="F20" s="231"/>
      <c r="G20" s="235"/>
      <c r="H20" s="236"/>
      <c r="I20" s="797"/>
      <c r="J20" s="217">
        <f>+'15'!J20</f>
        <v>0</v>
      </c>
      <c r="K20" s="242"/>
      <c r="L20" s="242"/>
      <c r="M20" s="120">
        <f>+K20+'15'!M20+L20</f>
        <v>0</v>
      </c>
    </row>
    <row r="21" spans="1:14" ht="13.5" thickBot="1">
      <c r="A21" s="799"/>
      <c r="B21" s="218"/>
      <c r="C21" s="219"/>
      <c r="D21" s="220"/>
      <c r="E21" s="228"/>
      <c r="F21" s="234"/>
      <c r="G21" s="235"/>
      <c r="H21" s="236"/>
      <c r="I21" s="797"/>
      <c r="J21" s="217">
        <f>+'15'!J21</f>
        <v>0</v>
      </c>
      <c r="K21" s="242"/>
      <c r="L21" s="242"/>
      <c r="M21" s="120">
        <f>+K21+'15'!M21+L21</f>
        <v>0</v>
      </c>
    </row>
    <row r="22" spans="1:14" ht="13.5" thickBot="1">
      <c r="A22" s="799"/>
      <c r="B22" s="218"/>
      <c r="C22" s="219"/>
      <c r="D22" s="220"/>
      <c r="E22" s="228"/>
      <c r="F22" s="239"/>
      <c r="G22" s="235"/>
      <c r="H22" s="236"/>
      <c r="I22" s="798"/>
      <c r="J22" s="217">
        <f>+'15'!J22</f>
        <v>0</v>
      </c>
      <c r="K22" s="242"/>
      <c r="L22" s="242"/>
      <c r="M22" s="120">
        <f>+K22+'15'!M22+L22</f>
        <v>0</v>
      </c>
    </row>
    <row r="23" spans="1:14" ht="13.5" thickBot="1">
      <c r="A23" s="800"/>
      <c r="B23" s="168" t="s">
        <v>3</v>
      </c>
      <c r="C23" s="103">
        <f>SUM(C16:C22)</f>
        <v>17553</v>
      </c>
      <c r="D23" s="114">
        <f>SUM(D16:D22)</f>
        <v>0</v>
      </c>
      <c r="E23" s="115">
        <f>SUM(E18:E22)</f>
        <v>0</v>
      </c>
      <c r="F23" s="105">
        <f>SUM(F15:F22)</f>
        <v>13</v>
      </c>
      <c r="G23" s="162"/>
      <c r="H23" s="169"/>
      <c r="I23" s="172"/>
      <c r="J23" s="217">
        <f>+'15'!J23</f>
        <v>0</v>
      </c>
      <c r="K23" s="242"/>
      <c r="L23" s="242"/>
      <c r="M23" s="120">
        <f>+K23+'15'!M23+L23</f>
        <v>0</v>
      </c>
    </row>
    <row r="24" spans="1:14" ht="13.5" customHeight="1" thickBot="1">
      <c r="A24" s="793" t="s">
        <v>431</v>
      </c>
      <c r="B24" s="173"/>
      <c r="C24" s="116">
        <f>C23/($C$23+$D$23+$E$23)</f>
        <v>1</v>
      </c>
      <c r="D24" s="117">
        <f>D23/($C$23+$D$23+$E$23)</f>
        <v>0</v>
      </c>
      <c r="E24" s="118">
        <f>E23/($C$23+$D$23+$E$23)</f>
        <v>0</v>
      </c>
      <c r="F24" s="231"/>
      <c r="G24" s="232" t="s">
        <v>13</v>
      </c>
      <c r="H24" s="233" t="s">
        <v>391</v>
      </c>
      <c r="I24" s="796" t="s">
        <v>742</v>
      </c>
      <c r="J24" s="217">
        <f>+'15'!J24</f>
        <v>0</v>
      </c>
      <c r="K24" s="242"/>
      <c r="L24" s="242"/>
      <c r="M24" s="120">
        <f>+K24+'15'!M24+L24</f>
        <v>0</v>
      </c>
    </row>
    <row r="25" spans="1:14" ht="13.5" thickBot="1">
      <c r="A25" s="799"/>
      <c r="B25" s="218" t="s">
        <v>589</v>
      </c>
      <c r="C25" s="229">
        <v>18466</v>
      </c>
      <c r="D25" s="220"/>
      <c r="E25" s="228"/>
      <c r="F25" s="234">
        <v>3</v>
      </c>
      <c r="G25" s="583" t="s">
        <v>13</v>
      </c>
      <c r="H25" s="233" t="s">
        <v>420</v>
      </c>
      <c r="I25" s="797"/>
      <c r="J25" s="217">
        <f>+'15'!J25</f>
        <v>0</v>
      </c>
      <c r="K25" s="242"/>
      <c r="L25" s="242"/>
      <c r="M25" s="120">
        <f>+K25+'15'!M25+L25</f>
        <v>0</v>
      </c>
    </row>
    <row r="26" spans="1:14" ht="13.5" thickBot="1">
      <c r="A26" s="799"/>
      <c r="B26" s="218"/>
      <c r="C26" s="229"/>
      <c r="D26" s="220"/>
      <c r="E26" s="230"/>
      <c r="F26" s="231">
        <v>10</v>
      </c>
      <c r="G26" s="583" t="s">
        <v>13</v>
      </c>
      <c r="H26" s="236" t="s">
        <v>419</v>
      </c>
      <c r="I26" s="797"/>
      <c r="J26" s="217">
        <f>+'15'!J26</f>
        <v>0</v>
      </c>
      <c r="K26" s="242"/>
      <c r="L26" s="242"/>
      <c r="M26" s="120">
        <f>+K26+'15'!M26+L26</f>
        <v>0</v>
      </c>
    </row>
    <row r="27" spans="1:14" ht="26.25" thickBot="1">
      <c r="A27" s="799"/>
      <c r="B27" s="218"/>
      <c r="C27" s="219"/>
      <c r="D27" s="220"/>
      <c r="E27" s="228"/>
      <c r="F27" s="231"/>
      <c r="G27" s="240" t="s">
        <v>14</v>
      </c>
      <c r="H27" s="236" t="s">
        <v>750</v>
      </c>
      <c r="I27" s="797"/>
      <c r="J27" s="217">
        <f>+'15'!J27</f>
        <v>0</v>
      </c>
      <c r="K27" s="242"/>
      <c r="L27" s="242"/>
      <c r="M27" s="120">
        <f>+K27+'15'!M27+L27</f>
        <v>0</v>
      </c>
    </row>
    <row r="28" spans="1:14" ht="39" thickBot="1">
      <c r="A28" s="799"/>
      <c r="B28" s="218"/>
      <c r="C28" s="219"/>
      <c r="D28" s="220"/>
      <c r="E28" s="228"/>
      <c r="F28" s="234"/>
      <c r="G28" s="235"/>
      <c r="H28" s="236" t="s">
        <v>620</v>
      </c>
      <c r="I28" s="797"/>
      <c r="J28" s="217">
        <f>+'15'!J28</f>
        <v>0</v>
      </c>
      <c r="K28" s="242"/>
      <c r="L28" s="242"/>
      <c r="M28" s="120">
        <f>+K28+'15'!M28+L28</f>
        <v>0</v>
      </c>
    </row>
    <row r="29" spans="1:14" ht="13.5" thickBot="1">
      <c r="A29" s="799"/>
      <c r="B29" s="218"/>
      <c r="C29" s="219"/>
      <c r="D29" s="220"/>
      <c r="E29" s="228"/>
      <c r="F29" s="239"/>
      <c r="G29" s="235"/>
      <c r="H29" s="236"/>
      <c r="I29" s="797"/>
      <c r="J29" s="217">
        <f>+'15'!J29</f>
        <v>0</v>
      </c>
      <c r="K29" s="242"/>
      <c r="L29" s="242"/>
      <c r="M29" s="120">
        <f>+K29+'15'!M29+L29</f>
        <v>0</v>
      </c>
    </row>
    <row r="30" spans="1:14" ht="13.5" thickBot="1">
      <c r="A30" s="799"/>
      <c r="B30" s="218"/>
      <c r="C30" s="229"/>
      <c r="D30" s="220"/>
      <c r="E30" s="228"/>
      <c r="F30" s="239"/>
      <c r="G30" s="235"/>
      <c r="H30" s="236"/>
      <c r="I30" s="797"/>
      <c r="J30" s="217">
        <f>+'15'!J30</f>
        <v>0</v>
      </c>
      <c r="K30" s="242"/>
      <c r="L30" s="242"/>
      <c r="M30" s="120">
        <f>+K30+'15'!M30+L30</f>
        <v>0</v>
      </c>
      <c r="N30" s="158"/>
    </row>
    <row r="31" spans="1:14" ht="13.5" thickBot="1">
      <c r="A31" s="799"/>
      <c r="B31" s="218"/>
      <c r="C31" s="229"/>
      <c r="D31" s="220"/>
      <c r="E31" s="228"/>
      <c r="F31" s="239"/>
      <c r="G31" s="240"/>
      <c r="H31" s="237"/>
      <c r="I31" s="798"/>
      <c r="J31" s="217">
        <f>+'15'!J31</f>
        <v>0</v>
      </c>
      <c r="K31" s="242"/>
      <c r="L31" s="242"/>
      <c r="M31" s="120">
        <f>+K31+'15'!M31+L31</f>
        <v>0</v>
      </c>
    </row>
    <row r="32" spans="1:14" ht="13.5" thickBot="1">
      <c r="A32" s="800"/>
      <c r="B32" s="168" t="s">
        <v>3</v>
      </c>
      <c r="C32" s="102">
        <f>SUM(C25:C31)</f>
        <v>18466</v>
      </c>
      <c r="D32" s="103">
        <f>SUM(D25:D31)</f>
        <v>0</v>
      </c>
      <c r="E32" s="104">
        <f>SUM(E25:E31)</f>
        <v>0</v>
      </c>
      <c r="F32" s="105">
        <f>SUM(F24:F31)</f>
        <v>13</v>
      </c>
      <c r="G32" s="174"/>
      <c r="H32" s="175"/>
      <c r="I32" s="172"/>
      <c r="J32" s="217">
        <f>+'15'!J32</f>
        <v>0</v>
      </c>
      <c r="K32" s="244"/>
      <c r="L32" s="246"/>
      <c r="M32" s="120">
        <f>+K32+'15'!M32+L32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801" t="s">
        <v>70</v>
      </c>
      <c r="B34" s="802"/>
      <c r="C34" s="110">
        <f>C14+C23+C32</f>
        <v>53363</v>
      </c>
      <c r="D34" s="110">
        <f>D14+D23+D32</f>
        <v>0</v>
      </c>
      <c r="E34" s="110">
        <f>E14+E23+E32</f>
        <v>0</v>
      </c>
      <c r="F34" s="111">
        <f>F14+F23+F32</f>
        <v>41</v>
      </c>
      <c r="H34" s="181"/>
      <c r="I34" s="181"/>
      <c r="J34" s="126" t="s">
        <v>29</v>
      </c>
      <c r="K34" s="127">
        <f>SUM(K7:K32)</f>
        <v>53363</v>
      </c>
      <c r="L34" s="215">
        <f>SUM(L7:L32)</f>
        <v>0</v>
      </c>
      <c r="M34" s="123">
        <f>SUM(M7:M32)</f>
        <v>699595</v>
      </c>
      <c r="N34" s="158"/>
    </row>
    <row r="35" spans="1:14" ht="13.5" thickBot="1">
      <c r="A35" s="182"/>
      <c r="B35" s="183"/>
      <c r="C35" s="107">
        <f>C34/($C$34+$D$34+$E$34)</f>
        <v>1</v>
      </c>
      <c r="D35" s="107">
        <f>D34/($C$34+$D$34+$E$34)</f>
        <v>0</v>
      </c>
      <c r="E35" s="112">
        <f>E34/($C$34+$D$34+$E$34)</f>
        <v>0</v>
      </c>
      <c r="K35" s="158"/>
      <c r="L35" s="792" t="s">
        <v>187</v>
      </c>
      <c r="M35" s="792"/>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90" t="s">
        <v>71</v>
      </c>
      <c r="B37" s="791"/>
      <c r="C37" s="165" t="s">
        <v>72</v>
      </c>
      <c r="D37" s="186" t="s">
        <v>73</v>
      </c>
      <c r="E37" s="187" t="s">
        <v>74</v>
      </c>
      <c r="F37" s="365"/>
      <c r="G37" s="367"/>
      <c r="H37" s="189" t="s">
        <v>75</v>
      </c>
      <c r="I37" s="247">
        <f>(22*1440)/1440*G42*2.75*1440/1000000</f>
        <v>55.443167999999993</v>
      </c>
      <c r="J37" s="128">
        <f>+I37+'15'!J37</f>
        <v>758.49611069587741</v>
      </c>
      <c r="K37" s="129" t="s">
        <v>76</v>
      </c>
      <c r="L37" s="426"/>
      <c r="M37" s="427"/>
    </row>
    <row r="38" spans="1:14" ht="17.45" customHeight="1">
      <c r="A38" s="786" t="s">
        <v>13</v>
      </c>
      <c r="B38" s="787"/>
      <c r="C38" s="167">
        <f>SUMIF($G$7:$G$31,"Process",$F$7:$F$31)</f>
        <v>33</v>
      </c>
      <c r="D38" s="121">
        <f>+C38+'15'!D38</f>
        <v>1195</v>
      </c>
      <c r="E38" s="146">
        <f t="shared" ref="E38:E51" si="3">D38/60</f>
        <v>19.916666666666668</v>
      </c>
      <c r="F38" s="365">
        <v>740</v>
      </c>
      <c r="G38" s="365">
        <v>636.4</v>
      </c>
      <c r="H38" s="190" t="s">
        <v>77</v>
      </c>
      <c r="I38" s="547">
        <f>17.478+18.436+17.591</f>
        <v>53.505000000000003</v>
      </c>
      <c r="J38" s="130">
        <f>+I38+'15'!J38</f>
        <v>715.5883</v>
      </c>
      <c r="K38" s="131" t="s">
        <v>76</v>
      </c>
      <c r="L38" s="428"/>
      <c r="M38" s="429"/>
    </row>
    <row r="39" spans="1:14" ht="17.45" customHeight="1">
      <c r="A39" s="782" t="s">
        <v>14</v>
      </c>
      <c r="B39" s="783"/>
      <c r="C39" s="167">
        <f>SUMIF($G$7:$G$31,"Cleaning",$F$7:$F$31)</f>
        <v>8</v>
      </c>
      <c r="D39" s="121">
        <f>+C39+'15'!D39</f>
        <v>174</v>
      </c>
      <c r="E39" s="146">
        <f t="shared" si="3"/>
        <v>2.9</v>
      </c>
      <c r="F39" s="365">
        <v>740</v>
      </c>
      <c r="G39" s="365">
        <v>636.4</v>
      </c>
      <c r="H39" s="190" t="s">
        <v>78</v>
      </c>
      <c r="I39" s="145"/>
      <c r="J39" s="132">
        <f>J37/G4</f>
        <v>47.406006918492338</v>
      </c>
      <c r="K39" s="133" t="s">
        <v>76</v>
      </c>
      <c r="L39" s="428"/>
      <c r="M39" s="429"/>
    </row>
    <row r="40" spans="1:14" ht="17.45" customHeight="1">
      <c r="A40" s="782" t="s">
        <v>79</v>
      </c>
      <c r="B40" s="783"/>
      <c r="C40" s="167">
        <f>SUMIF($G$7:$G$31,"Mechanical",$F$7:$F$31)</f>
        <v>0</v>
      </c>
      <c r="D40" s="121">
        <f>+C40+'15'!D40</f>
        <v>120</v>
      </c>
      <c r="E40" s="146">
        <f t="shared" si="3"/>
        <v>2</v>
      </c>
      <c r="F40" s="365">
        <v>740</v>
      </c>
      <c r="G40" s="365">
        <v>636.4</v>
      </c>
      <c r="H40" s="190" t="s">
        <v>80</v>
      </c>
      <c r="I40" s="121">
        <f>(K34+L34)/1000</f>
        <v>53.363</v>
      </c>
      <c r="J40" s="134">
        <f>+I40+'15'!J40</f>
        <v>699.59500000000003</v>
      </c>
      <c r="K40" s="133" t="s">
        <v>76</v>
      </c>
      <c r="L40" s="428"/>
      <c r="M40" s="429"/>
    </row>
    <row r="41" spans="1:14" ht="17.45" customHeight="1">
      <c r="A41" s="782" t="s">
        <v>81</v>
      </c>
      <c r="B41" s="783"/>
      <c r="C41" s="167">
        <f>SUMIF($G$7:$G$31,"Electrical",$F$7:$F$31)</f>
        <v>0</v>
      </c>
      <c r="D41" s="121">
        <f>+C41+'15'!D41</f>
        <v>65</v>
      </c>
      <c r="E41" s="146">
        <f t="shared" si="3"/>
        <v>1.0833333333333333</v>
      </c>
      <c r="F41" s="365"/>
      <c r="G41" s="365"/>
      <c r="H41" s="190" t="s">
        <v>82</v>
      </c>
      <c r="I41" s="145"/>
      <c r="J41" s="132">
        <f>J40/G4</f>
        <v>43.724687500000002</v>
      </c>
      <c r="K41" s="133" t="s">
        <v>76</v>
      </c>
      <c r="L41" s="428"/>
      <c r="M41" s="429"/>
    </row>
    <row r="42" spans="1:14" ht="17.45" customHeight="1">
      <c r="A42" s="782" t="s">
        <v>17</v>
      </c>
      <c r="B42" s="783"/>
      <c r="C42" s="167">
        <f>SUMIF($G$7:$G$31,"Instrument",$F$7:$F$31)</f>
        <v>0</v>
      </c>
      <c r="D42" s="121">
        <f>+C42+'15'!D42</f>
        <v>0</v>
      </c>
      <c r="E42" s="146">
        <f t="shared" si="3"/>
        <v>0</v>
      </c>
      <c r="F42" s="365">
        <f>+(480*F38+480*F39+480*F40)/1440</f>
        <v>740</v>
      </c>
      <c r="G42" s="365">
        <f>+(480*G38+480*G39+480*G40)/1440</f>
        <v>636.4</v>
      </c>
      <c r="H42" s="190" t="s">
        <v>83</v>
      </c>
      <c r="I42" s="249"/>
      <c r="J42" s="135"/>
      <c r="K42" s="133" t="s">
        <v>84</v>
      </c>
      <c r="L42" s="428"/>
      <c r="M42" s="429"/>
    </row>
    <row r="43" spans="1:14" ht="17.45" customHeight="1">
      <c r="A43" s="782" t="s">
        <v>85</v>
      </c>
      <c r="B43" s="783"/>
      <c r="C43" s="167">
        <f>SUMIF($G$7:$G$31,"Water",$F$7:$F$31)</f>
        <v>0</v>
      </c>
      <c r="D43" s="121">
        <f>+C43+'15'!D43</f>
        <v>0</v>
      </c>
      <c r="E43" s="146">
        <f t="shared" si="3"/>
        <v>0</v>
      </c>
      <c r="F43" s="365"/>
      <c r="G43" s="366"/>
      <c r="H43" s="191" t="s">
        <v>86</v>
      </c>
      <c r="I43" s="121">
        <f>+Report1!AH24</f>
        <v>70.599999999999994</v>
      </c>
      <c r="J43" s="136">
        <f>+I43+'15'!J43</f>
        <v>1006.9000000000001</v>
      </c>
      <c r="K43" s="133" t="s">
        <v>76</v>
      </c>
      <c r="L43" s="430">
        <f>+Report1!AN24</f>
        <v>0</v>
      </c>
      <c r="M43" s="431">
        <f>+L43+'15'!M43</f>
        <v>0</v>
      </c>
    </row>
    <row r="44" spans="1:14" ht="17.45" customHeight="1">
      <c r="A44" s="782" t="s">
        <v>18</v>
      </c>
      <c r="B44" s="783"/>
      <c r="C44" s="167">
        <f>SUMIF($G$7:$G$31,"PLN",$F$7:$F$31)</f>
        <v>0</v>
      </c>
      <c r="D44" s="121">
        <f>+C44+'15'!D44</f>
        <v>0</v>
      </c>
      <c r="E44" s="146">
        <f t="shared" si="3"/>
        <v>0</v>
      </c>
      <c r="F44" s="365"/>
      <c r="G44" s="366"/>
      <c r="H44" s="191" t="s">
        <v>87</v>
      </c>
      <c r="I44" s="121">
        <f>I43/I38</f>
        <v>1.3195028502009156</v>
      </c>
      <c r="J44" s="137">
        <f>J43/J38</f>
        <v>1.4070939952483852</v>
      </c>
      <c r="K44" s="133" t="s">
        <v>76</v>
      </c>
      <c r="L44" s="432">
        <f>+L43/I38</f>
        <v>0</v>
      </c>
      <c r="M44" s="433">
        <f>+M43/J38</f>
        <v>0</v>
      </c>
    </row>
    <row r="45" spans="1:14" ht="17.45" customHeight="1">
      <c r="A45" s="782" t="s">
        <v>19</v>
      </c>
      <c r="B45" s="783"/>
      <c r="C45" s="167">
        <f>SUMIF($G$7:$G$31,"Boiler",$F$7:$F$31)</f>
        <v>0</v>
      </c>
      <c r="D45" s="121">
        <f>+C45+'15'!D45</f>
        <v>0</v>
      </c>
      <c r="E45" s="146">
        <f t="shared" si="3"/>
        <v>0</v>
      </c>
      <c r="F45" s="365"/>
      <c r="G45" s="368"/>
      <c r="H45" s="191" t="s">
        <v>88</v>
      </c>
      <c r="I45" s="121">
        <f>I43/I40</f>
        <v>1.3230140734216591</v>
      </c>
      <c r="J45" s="137">
        <f>J43/J40</f>
        <v>1.4392612868874135</v>
      </c>
      <c r="K45" s="133" t="s">
        <v>76</v>
      </c>
      <c r="L45" s="432">
        <f>+L43/I40</f>
        <v>0</v>
      </c>
      <c r="M45" s="433">
        <f>+M43/J40</f>
        <v>0</v>
      </c>
    </row>
    <row r="46" spans="1:14" ht="17.45" customHeight="1">
      <c r="A46" s="782" t="s">
        <v>89</v>
      </c>
      <c r="B46" s="783"/>
      <c r="C46" s="167">
        <f>SUMIF($G$7:$G$31,"Gas",$F$7:$F$31)</f>
        <v>0</v>
      </c>
      <c r="D46" s="121">
        <f>+C46+'15'!D46</f>
        <v>0</v>
      </c>
      <c r="E46" s="146">
        <f t="shared" si="3"/>
        <v>0</v>
      </c>
      <c r="F46" s="365"/>
      <c r="G46" s="366"/>
      <c r="H46" s="191" t="s">
        <v>90</v>
      </c>
      <c r="I46" s="143">
        <f>+SUMIF(Listrik!P23,"&gt;0")</f>
        <v>43306.800000000047</v>
      </c>
      <c r="J46" s="138">
        <f>+I46+'15'!J46</f>
        <v>584076.67999999993</v>
      </c>
      <c r="K46" s="133" t="s">
        <v>91</v>
      </c>
      <c r="L46" s="432">
        <f>+Listrik!AF23</f>
        <v>0</v>
      </c>
      <c r="M46" s="434">
        <f>+L46+'15'!M46</f>
        <v>0</v>
      </c>
    </row>
    <row r="47" spans="1:14" ht="17.45" customHeight="1">
      <c r="A47" s="782" t="s">
        <v>92</v>
      </c>
      <c r="B47" s="783"/>
      <c r="C47" s="167">
        <f>SUMIF($G$7:$G$31,"Gas",$F$7:$F$31)</f>
        <v>0</v>
      </c>
      <c r="D47" s="121">
        <f>+C47+'15'!D47</f>
        <v>0</v>
      </c>
      <c r="E47" s="146">
        <f t="shared" si="3"/>
        <v>0</v>
      </c>
      <c r="F47" s="365"/>
      <c r="G47" s="366"/>
      <c r="H47" s="191" t="s">
        <v>93</v>
      </c>
      <c r="I47" s="121">
        <f>I46/I38</f>
        <v>809.39725259321642</v>
      </c>
      <c r="J47" s="138">
        <f>J46/J38</f>
        <v>816.21887892800919</v>
      </c>
      <c r="K47" s="133" t="s">
        <v>25</v>
      </c>
      <c r="L47" s="432">
        <f>+L46/I38</f>
        <v>0</v>
      </c>
      <c r="M47" s="433">
        <f>+M46/J38</f>
        <v>0</v>
      </c>
    </row>
    <row r="48" spans="1:14" ht="17.45" customHeight="1">
      <c r="A48" s="782" t="s">
        <v>15</v>
      </c>
      <c r="B48" s="783"/>
      <c r="C48" s="167">
        <f>SUMIF($G$7:$G$31,"Start Up",$F$7:$F$31)</f>
        <v>0</v>
      </c>
      <c r="D48" s="121">
        <f>+C48+'15'!D48</f>
        <v>0</v>
      </c>
      <c r="E48" s="146">
        <f t="shared" si="3"/>
        <v>0</v>
      </c>
      <c r="F48" s="365"/>
      <c r="G48" s="366"/>
      <c r="H48" s="191" t="s">
        <v>94</v>
      </c>
      <c r="I48" s="121">
        <f>I46/I40</f>
        <v>811.5510747146908</v>
      </c>
      <c r="J48" s="138">
        <f>J46/J40</f>
        <v>834.87829387002466</v>
      </c>
      <c r="K48" s="133" t="s">
        <v>25</v>
      </c>
      <c r="L48" s="432">
        <f>+L46/I38</f>
        <v>0</v>
      </c>
      <c r="M48" s="433">
        <f>+M46/J40</f>
        <v>0</v>
      </c>
    </row>
    <row r="49" spans="1:13" ht="17.45" customHeight="1">
      <c r="A49" s="782" t="s">
        <v>21</v>
      </c>
      <c r="B49" s="783"/>
      <c r="C49" s="167">
        <f>SUMIF($G$7:$G$31,"Others",$F$7:$F$31)</f>
        <v>0</v>
      </c>
      <c r="D49" s="121">
        <f>+C49+'15'!D49</f>
        <v>924</v>
      </c>
      <c r="E49" s="146">
        <f t="shared" si="3"/>
        <v>15.4</v>
      </c>
      <c r="F49" s="188"/>
      <c r="H49" s="191" t="s">
        <v>95</v>
      </c>
      <c r="I49" s="121">
        <f>+Report1!AB24</f>
        <v>3865.9083988281363</v>
      </c>
      <c r="J49" s="138">
        <f>+I49+'15'!J49</f>
        <v>60738.167651000324</v>
      </c>
      <c r="K49" s="133" t="s">
        <v>96</v>
      </c>
      <c r="L49" s="428"/>
      <c r="M49" s="429"/>
    </row>
    <row r="50" spans="1:13" ht="17.45" customHeight="1">
      <c r="A50" s="782" t="s">
        <v>20</v>
      </c>
      <c r="B50" s="783"/>
      <c r="C50" s="167">
        <f>SUMIF($G$7:$G$31,"Steam",$F$7:$F$31)</f>
        <v>0</v>
      </c>
      <c r="D50" s="121">
        <f>+C50+'15'!D50</f>
        <v>0</v>
      </c>
      <c r="E50" s="146">
        <f t="shared" si="3"/>
        <v>0</v>
      </c>
      <c r="F50" s="188"/>
      <c r="H50" s="191" t="s">
        <v>97</v>
      </c>
      <c r="I50" s="143">
        <f>I49/I38</f>
        <v>72.253217434410544</v>
      </c>
      <c r="J50" s="136">
        <f>J49/J38</f>
        <v>84.878648310767971</v>
      </c>
      <c r="K50" s="133" t="s">
        <v>96</v>
      </c>
      <c r="L50" s="428"/>
      <c r="M50" s="429"/>
    </row>
    <row r="51" spans="1:13" ht="17.45" customHeight="1" thickBot="1">
      <c r="A51" s="784" t="s">
        <v>98</v>
      </c>
      <c r="B51" s="785"/>
      <c r="C51" s="167">
        <f>SUMIF($G$7:$G$31,"Planned shut",$F$7:$F$31)</f>
        <v>0</v>
      </c>
      <c r="D51" s="121">
        <f>+C51+'15'!D51</f>
        <v>0</v>
      </c>
      <c r="E51" s="146">
        <f t="shared" si="3"/>
        <v>0</v>
      </c>
      <c r="F51" s="188"/>
      <c r="H51" s="193" t="s">
        <v>99</v>
      </c>
      <c r="I51" s="144">
        <f>I49/I40</f>
        <v>72.445484677175884</v>
      </c>
      <c r="J51" s="139">
        <f>J49/J40</f>
        <v>86.819041947127005</v>
      </c>
      <c r="K51" s="140" t="s">
        <v>96</v>
      </c>
      <c r="L51" s="428"/>
      <c r="M51" s="429"/>
    </row>
    <row r="52" spans="1:13" ht="13.5" thickBot="1">
      <c r="A52" s="786" t="s">
        <v>29</v>
      </c>
      <c r="B52" s="787"/>
      <c r="C52" s="147">
        <f>SUM(C38:C51)</f>
        <v>41</v>
      </c>
      <c r="D52" s="147">
        <f>SUM(D38:D51)</f>
        <v>2478</v>
      </c>
      <c r="E52" s="148">
        <f>SUM(E38:E51)</f>
        <v>41.3</v>
      </c>
      <c r="F52" s="188"/>
      <c r="H52" s="194"/>
      <c r="I52" s="195"/>
      <c r="J52" s="141"/>
      <c r="K52" s="142"/>
      <c r="L52" s="435"/>
      <c r="M52" s="436"/>
    </row>
    <row r="53" spans="1:13" ht="13.5" thickBot="1">
      <c r="A53" s="788"/>
      <c r="B53" s="789"/>
      <c r="C53" s="149">
        <f>C52/(24*60)</f>
        <v>2.8472222222222222E-2</v>
      </c>
      <c r="D53" s="149">
        <f>D52/(24*60*G4)</f>
        <v>0.10755208333333334</v>
      </c>
      <c r="E53" s="150">
        <f>E52/(G4*24)</f>
        <v>0.10755208333333333</v>
      </c>
      <c r="F53" s="188"/>
    </row>
    <row r="54" spans="1:13">
      <c r="E54" s="196"/>
      <c r="F54" s="188"/>
    </row>
    <row r="55" spans="1:13">
      <c r="E55" s="196"/>
    </row>
    <row r="56" spans="1:13">
      <c r="A56" s="197" t="s">
        <v>100</v>
      </c>
      <c r="B56" s="198"/>
      <c r="C56" s="199"/>
      <c r="D56" s="199"/>
      <c r="E56" s="199"/>
      <c r="F56" s="200"/>
      <c r="G56" s="199"/>
      <c r="H56" s="201"/>
      <c r="I56" s="202" t="s">
        <v>101</v>
      </c>
      <c r="J56" s="203">
        <f>+D34+'15'!J56</f>
        <v>2180</v>
      </c>
      <c r="K56" s="204">
        <f>J56/(J40+J56/1000)/1000</f>
        <v>3.1064087492429912E-3</v>
      </c>
    </row>
    <row r="57" spans="1:13">
      <c r="A57" s="179"/>
      <c r="I57" s="202" t="s">
        <v>102</v>
      </c>
      <c r="J57" s="203">
        <f>+E34+'15'!J57</f>
        <v>0</v>
      </c>
      <c r="K57" s="204">
        <f>J57/(J40+J57/1000)/1000</f>
        <v>0</v>
      </c>
    </row>
    <row r="58" spans="1:13">
      <c r="A58" s="205"/>
      <c r="B58" s="206"/>
      <c r="F58" s="188"/>
      <c r="H58" s="207"/>
      <c r="J58" s="152">
        <v>325</v>
      </c>
    </row>
    <row r="59" spans="1:13">
      <c r="A59" s="208"/>
      <c r="B59" s="179"/>
      <c r="C59" s="179"/>
      <c r="D59" s="179"/>
      <c r="E59" s="179"/>
      <c r="F59" s="192"/>
      <c r="G59" s="179"/>
      <c r="H59" s="207"/>
      <c r="J59" s="158">
        <f>+J56+J58</f>
        <v>2505</v>
      </c>
    </row>
    <row r="60" spans="1:13">
      <c r="H60" s="207"/>
    </row>
    <row r="61" spans="1:13">
      <c r="A61" s="209"/>
      <c r="B61" s="210"/>
      <c r="C61" s="210"/>
      <c r="D61" s="210"/>
      <c r="E61" s="210"/>
      <c r="F61" s="211"/>
      <c r="G61" s="210"/>
      <c r="H61" s="212"/>
    </row>
  </sheetData>
  <mergeCells count="25">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 ref="A53:B53"/>
    <mergeCell ref="A48:B48"/>
    <mergeCell ref="A49:B49"/>
    <mergeCell ref="A50:B50"/>
    <mergeCell ref="A51:B51"/>
    <mergeCell ref="A52:B52"/>
    <mergeCell ref="L35:M35"/>
    <mergeCell ref="A24:A32"/>
    <mergeCell ref="A34:B34"/>
    <mergeCell ref="A37:B37"/>
    <mergeCell ref="A38:B38"/>
  </mergeCells>
  <phoneticPr fontId="31"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colBreaks count="1" manualBreakCount="1">
    <brk id="13"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S61"/>
  <sheetViews>
    <sheetView view="pageBreakPreview" topLeftCell="C10" zoomScale="80" zoomScaleNormal="75" zoomScaleSheetLayoutView="80" workbookViewId="0">
      <selection activeCell="F42" sqref="F42:G4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28515625" style="152" bestFit="1" customWidth="1"/>
    <col min="11" max="11" width="12.5703125" style="152" bestFit="1" customWidth="1"/>
    <col min="12" max="12" width="8.28515625" style="152" customWidth="1"/>
    <col min="13" max="13" width="12.140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15</v>
      </c>
      <c r="H4" s="157" t="str">
        <f>+'1'!H4</f>
        <v>.03.26</v>
      </c>
      <c r="J4" s="152">
        <v>554</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581</v>
      </c>
      <c r="O6" s="152">
        <v>740</v>
      </c>
      <c r="P6" s="152">
        <f t="shared" ref="P6" si="0">+O6-(O6*0.14)</f>
        <v>636.4</v>
      </c>
      <c r="Q6" s="152">
        <v>480</v>
      </c>
      <c r="R6" s="152">
        <f t="shared" ref="R6" si="1">+O6*Q6</f>
        <v>355200</v>
      </c>
      <c r="S6" s="152">
        <f t="shared" ref="S6" si="2">+P6*Q6</f>
        <v>305472</v>
      </c>
    </row>
    <row r="7" spans="1:19" ht="13.5" customHeight="1" thickBot="1">
      <c r="A7" s="793" t="s">
        <v>432</v>
      </c>
      <c r="B7" s="218" t="s">
        <v>589</v>
      </c>
      <c r="C7" s="219">
        <v>16952</v>
      </c>
      <c r="D7" s="220"/>
      <c r="E7" s="221"/>
      <c r="F7" s="231"/>
      <c r="G7" s="232" t="s">
        <v>13</v>
      </c>
      <c r="H7" s="233" t="s">
        <v>391</v>
      </c>
      <c r="I7" s="796" t="s">
        <v>742</v>
      </c>
      <c r="J7" s="217" t="str">
        <f>+'14'!J7</f>
        <v>T 14 RC HW</v>
      </c>
      <c r="K7" s="241"/>
      <c r="L7" s="245"/>
      <c r="M7" s="120">
        <f>+K7+'14'!M7+L7</f>
        <v>41293</v>
      </c>
      <c r="O7" s="152">
        <v>740</v>
      </c>
      <c r="P7" s="152">
        <f t="shared" ref="P7:P8" si="3">+O7-(O7*0.14)</f>
        <v>636.4</v>
      </c>
      <c r="Q7" s="152">
        <v>480</v>
      </c>
      <c r="R7" s="152">
        <f t="shared" ref="R7:R8" si="4">+O7*Q7</f>
        <v>355200</v>
      </c>
      <c r="S7" s="152">
        <f t="shared" ref="S7:S8" si="5">+P7*Q7</f>
        <v>305472</v>
      </c>
    </row>
    <row r="8" spans="1:19" ht="13.5" thickBot="1">
      <c r="A8" s="794"/>
      <c r="B8" s="218"/>
      <c r="C8" s="219"/>
      <c r="D8" s="220"/>
      <c r="E8" s="222"/>
      <c r="F8" s="234">
        <v>2</v>
      </c>
      <c r="G8" s="583" t="s">
        <v>13</v>
      </c>
      <c r="H8" s="233" t="s">
        <v>420</v>
      </c>
      <c r="I8" s="797"/>
      <c r="J8" s="217" t="str">
        <f>+'14'!J8</f>
        <v>T 15,5 RC HW</v>
      </c>
      <c r="K8" s="242"/>
      <c r="L8" s="242"/>
      <c r="M8" s="120">
        <f>+K8+'14'!M8+L8</f>
        <v>139937</v>
      </c>
      <c r="O8" s="152">
        <v>740</v>
      </c>
      <c r="P8" s="152">
        <f t="shared" si="3"/>
        <v>636.4</v>
      </c>
      <c r="Q8" s="152">
        <v>480</v>
      </c>
      <c r="R8" s="152">
        <f t="shared" si="4"/>
        <v>355200</v>
      </c>
      <c r="S8" s="152">
        <f t="shared" si="5"/>
        <v>305472</v>
      </c>
    </row>
    <row r="9" spans="1:19" ht="13.5" thickBot="1">
      <c r="A9" s="794"/>
      <c r="B9" s="218"/>
      <c r="C9" s="219"/>
      <c r="D9" s="220"/>
      <c r="E9" s="223"/>
      <c r="F9" s="231">
        <v>9</v>
      </c>
      <c r="G9" s="583" t="s">
        <v>13</v>
      </c>
      <c r="H9" s="236" t="s">
        <v>421</v>
      </c>
      <c r="I9" s="797"/>
      <c r="J9" s="217" t="str">
        <f>+'14'!J9</f>
        <v>T 13,5 RC HW</v>
      </c>
      <c r="K9" s="242"/>
      <c r="L9" s="242"/>
      <c r="M9" s="120">
        <f>+K9+'14'!M9+L9</f>
        <v>31497</v>
      </c>
    </row>
    <row r="10" spans="1:19" ht="26.25" thickBot="1">
      <c r="A10" s="794"/>
      <c r="B10" s="218"/>
      <c r="C10" s="219"/>
      <c r="D10" s="220"/>
      <c r="E10" s="222"/>
      <c r="F10" s="231">
        <v>8</v>
      </c>
      <c r="G10" s="240" t="s">
        <v>14</v>
      </c>
      <c r="H10" s="236" t="s">
        <v>750</v>
      </c>
      <c r="I10" s="797"/>
      <c r="J10" s="217" t="str">
        <f>+'14'!J10</f>
        <v>T 20 RC HW</v>
      </c>
      <c r="K10" s="242"/>
      <c r="L10" s="242"/>
      <c r="M10" s="120">
        <f>+K10+'14'!M10+L10</f>
        <v>35769</v>
      </c>
    </row>
    <row r="11" spans="1:19" ht="13.5" thickBot="1">
      <c r="A11" s="794"/>
      <c r="B11" s="218"/>
      <c r="C11" s="219"/>
      <c r="D11" s="220"/>
      <c r="E11" s="222"/>
      <c r="F11" s="231"/>
      <c r="G11" s="235"/>
      <c r="H11" s="236"/>
      <c r="I11" s="797"/>
      <c r="J11" s="217" t="str">
        <f>+'14'!J11</f>
        <v>T 17 RC HW</v>
      </c>
      <c r="K11" s="242"/>
      <c r="L11" s="242"/>
      <c r="M11" s="120">
        <f>+K11+'14'!M11+L11</f>
        <v>18517</v>
      </c>
    </row>
    <row r="12" spans="1:19" ht="13.5" thickBot="1">
      <c r="A12" s="794"/>
      <c r="B12" s="218"/>
      <c r="C12" s="219"/>
      <c r="D12" s="220"/>
      <c r="E12" s="222"/>
      <c r="F12" s="231"/>
      <c r="G12" s="235"/>
      <c r="H12" s="236"/>
      <c r="I12" s="797"/>
      <c r="J12" s="217" t="str">
        <f>+'14'!J12</f>
        <v>T 16 RC HW</v>
      </c>
      <c r="K12" s="242"/>
      <c r="L12" s="242"/>
      <c r="M12" s="120">
        <f>+K12+'14'!M12+L12</f>
        <v>38417</v>
      </c>
    </row>
    <row r="13" spans="1:19" ht="13.5" thickBot="1">
      <c r="A13" s="794"/>
      <c r="B13" s="218"/>
      <c r="C13" s="219"/>
      <c r="D13" s="219"/>
      <c r="E13" s="222"/>
      <c r="F13" s="231"/>
      <c r="G13" s="235"/>
      <c r="H13" s="236"/>
      <c r="I13" s="798"/>
      <c r="J13" s="217" t="str">
        <f>+'14'!J13</f>
        <v>N 15,5 RC HW</v>
      </c>
      <c r="K13" s="242"/>
      <c r="L13" s="242"/>
      <c r="M13" s="120">
        <f>+K13+'14'!M13+L13</f>
        <v>72746</v>
      </c>
      <c r="Q13" s="179">
        <f>SUM(Q6:Q12)</f>
        <v>1440</v>
      </c>
      <c r="R13" s="179">
        <f>SUM(R6:R12)</f>
        <v>1065600</v>
      </c>
      <c r="S13" s="179">
        <f>SUM(S6:S12)</f>
        <v>916416</v>
      </c>
    </row>
    <row r="14" spans="1:19" ht="13.5" thickBot="1">
      <c r="A14" s="795"/>
      <c r="B14" s="168" t="s">
        <v>3</v>
      </c>
      <c r="C14" s="102">
        <f>SUM(C7:C13)</f>
        <v>16952</v>
      </c>
      <c r="D14" s="114">
        <f>SUM(D7:D13)</f>
        <v>0</v>
      </c>
      <c r="E14" s="115">
        <f>SUM(E5:E13)</f>
        <v>0</v>
      </c>
      <c r="F14" s="105">
        <f>SUM(F6:F13)</f>
        <v>19</v>
      </c>
      <c r="G14" s="162"/>
      <c r="H14" s="169"/>
      <c r="I14" s="170"/>
      <c r="J14" s="217" t="str">
        <f>+'14'!J14</f>
        <v>TW 22 RC HW</v>
      </c>
      <c r="K14" s="242">
        <f>+C34</f>
        <v>52259</v>
      </c>
      <c r="L14" s="242"/>
      <c r="M14" s="120">
        <f>+K14+'14'!M14+L14</f>
        <v>268056</v>
      </c>
      <c r="Q14" s="152">
        <f>480-Q13</f>
        <v>-960</v>
      </c>
      <c r="R14" s="179">
        <f>+R13/Q13</f>
        <v>740</v>
      </c>
      <c r="S14" s="179">
        <f>+S13/Q13</f>
        <v>636.4</v>
      </c>
    </row>
    <row r="15" spans="1:19" ht="13.5" customHeight="1" thickBot="1">
      <c r="A15" s="793" t="s">
        <v>477</v>
      </c>
      <c r="B15" s="168"/>
      <c r="C15" s="116">
        <f>C14/($C$23+$D$23+$E$23)</f>
        <v>0.90516873131140541</v>
      </c>
      <c r="D15" s="117">
        <f>D14/($C$23+$D$23+$E$23)</f>
        <v>0</v>
      </c>
      <c r="E15" s="118">
        <f>E14/($C$23+$D$23+$E$23)</f>
        <v>0</v>
      </c>
      <c r="F15" s="231">
        <v>2</v>
      </c>
      <c r="G15" s="232" t="s">
        <v>13</v>
      </c>
      <c r="H15" s="233" t="s">
        <v>453</v>
      </c>
      <c r="I15" s="796" t="s">
        <v>742</v>
      </c>
      <c r="J15" s="217">
        <f>+'14'!J15</f>
        <v>0</v>
      </c>
      <c r="K15" s="242"/>
      <c r="L15" s="242"/>
      <c r="M15" s="120">
        <f>+K15+'14'!M15+L15</f>
        <v>0</v>
      </c>
    </row>
    <row r="16" spans="1:19" ht="13.5" thickBot="1">
      <c r="A16" s="799"/>
      <c r="B16" s="218" t="s">
        <v>589</v>
      </c>
      <c r="C16" s="225">
        <v>17778</v>
      </c>
      <c r="D16" s="226">
        <v>950</v>
      </c>
      <c r="E16" s="227"/>
      <c r="F16" s="234">
        <v>6</v>
      </c>
      <c r="G16" s="583" t="s">
        <v>13</v>
      </c>
      <c r="H16" s="233" t="s">
        <v>420</v>
      </c>
      <c r="I16" s="797"/>
      <c r="J16" s="217">
        <f>+'14'!J16</f>
        <v>0</v>
      </c>
      <c r="K16" s="242"/>
      <c r="L16" s="232"/>
      <c r="M16" s="120">
        <f>+K16+'14'!M16+L16</f>
        <v>0</v>
      </c>
    </row>
    <row r="17" spans="1:14" ht="13.5" thickBot="1">
      <c r="A17" s="799"/>
      <c r="B17" s="218"/>
      <c r="C17" s="219"/>
      <c r="D17" s="220"/>
      <c r="E17" s="228"/>
      <c r="F17" s="231">
        <f>17-8</f>
        <v>9</v>
      </c>
      <c r="G17" s="583" t="s">
        <v>13</v>
      </c>
      <c r="H17" s="236" t="s">
        <v>421</v>
      </c>
      <c r="I17" s="797"/>
      <c r="J17" s="217">
        <f>+'14'!J17</f>
        <v>0</v>
      </c>
      <c r="K17" s="242"/>
      <c r="L17" s="232"/>
      <c r="M17" s="120">
        <f>+K17+'14'!M17+L17</f>
        <v>0</v>
      </c>
    </row>
    <row r="18" spans="1:14" ht="26.25" thickBot="1">
      <c r="A18" s="799"/>
      <c r="B18" s="218"/>
      <c r="C18" s="219"/>
      <c r="D18" s="220"/>
      <c r="E18" s="228"/>
      <c r="F18" s="231"/>
      <c r="G18" s="240" t="s">
        <v>14</v>
      </c>
      <c r="H18" s="236" t="s">
        <v>750</v>
      </c>
      <c r="I18" s="797"/>
      <c r="J18" s="217">
        <f>+'14'!J18</f>
        <v>0</v>
      </c>
      <c r="K18" s="242"/>
      <c r="L18" s="242"/>
      <c r="M18" s="120">
        <f>+K18+'14'!M18+L18</f>
        <v>0</v>
      </c>
    </row>
    <row r="19" spans="1:14" ht="13.5" thickBot="1">
      <c r="A19" s="799"/>
      <c r="B19" s="218"/>
      <c r="C19" s="219"/>
      <c r="D19" s="220"/>
      <c r="E19" s="228"/>
      <c r="F19" s="238"/>
      <c r="G19" s="235"/>
      <c r="H19" s="236"/>
      <c r="I19" s="797"/>
      <c r="J19" s="217">
        <f>+'14'!J19</f>
        <v>0</v>
      </c>
      <c r="K19" s="242"/>
      <c r="L19" s="242"/>
      <c r="M19" s="120">
        <f>+K19+'14'!M19+L19</f>
        <v>0</v>
      </c>
    </row>
    <row r="20" spans="1:14" ht="13.5" thickBot="1">
      <c r="A20" s="799"/>
      <c r="B20" s="218"/>
      <c r="C20" s="219"/>
      <c r="D20" s="220"/>
      <c r="E20" s="228"/>
      <c r="F20" s="231"/>
      <c r="G20" s="235"/>
      <c r="H20" s="236"/>
      <c r="I20" s="797"/>
      <c r="J20" s="217">
        <f>+'14'!J20</f>
        <v>0</v>
      </c>
      <c r="K20" s="242"/>
      <c r="L20" s="243"/>
      <c r="M20" s="120">
        <f>+K20+'14'!M20+L20</f>
        <v>0</v>
      </c>
    </row>
    <row r="21" spans="1:14" ht="13.5" thickBot="1">
      <c r="A21" s="799"/>
      <c r="B21" s="218"/>
      <c r="C21" s="219"/>
      <c r="D21" s="220"/>
      <c r="E21" s="228"/>
      <c r="F21" s="234"/>
      <c r="G21" s="235"/>
      <c r="H21" s="236"/>
      <c r="I21" s="797"/>
      <c r="J21" s="217">
        <f>+'14'!J21</f>
        <v>0</v>
      </c>
      <c r="K21" s="242"/>
      <c r="L21" s="242"/>
      <c r="M21" s="120">
        <f>+K21+'14'!M21+L21</f>
        <v>0</v>
      </c>
    </row>
    <row r="22" spans="1:14" ht="13.5" thickBot="1">
      <c r="A22" s="799"/>
      <c r="B22" s="218"/>
      <c r="C22" s="219"/>
      <c r="D22" s="220"/>
      <c r="E22" s="228"/>
      <c r="F22" s="239"/>
      <c r="G22" s="235"/>
      <c r="H22" s="236"/>
      <c r="I22" s="798"/>
      <c r="J22" s="217">
        <f>+'14'!J22</f>
        <v>0</v>
      </c>
      <c r="K22" s="242"/>
      <c r="L22" s="242"/>
      <c r="M22" s="120">
        <f>+K22+'14'!M22+L22</f>
        <v>0</v>
      </c>
    </row>
    <row r="23" spans="1:14" ht="13.5" thickBot="1">
      <c r="A23" s="800"/>
      <c r="B23" s="168" t="s">
        <v>3</v>
      </c>
      <c r="C23" s="103">
        <f>SUM(C16:C22)</f>
        <v>17778</v>
      </c>
      <c r="D23" s="114">
        <f>SUM(D16:D22)</f>
        <v>950</v>
      </c>
      <c r="E23" s="115">
        <f>SUM(E18:E22)</f>
        <v>0</v>
      </c>
      <c r="F23" s="105">
        <f>SUM(F15:F22)</f>
        <v>17</v>
      </c>
      <c r="G23" s="162"/>
      <c r="H23" s="169"/>
      <c r="I23" s="172"/>
      <c r="J23" s="217">
        <f>+'14'!J23</f>
        <v>0</v>
      </c>
      <c r="K23" s="242"/>
      <c r="L23" s="242"/>
      <c r="M23" s="120">
        <f>+K23+'14'!M23+L23</f>
        <v>0</v>
      </c>
    </row>
    <row r="24" spans="1:14" ht="13.5" customHeight="1" thickBot="1">
      <c r="A24" s="793" t="s">
        <v>431</v>
      </c>
      <c r="B24" s="173"/>
      <c r="C24" s="116">
        <f>C23/($C$23+$D$23+$E$23)</f>
        <v>0.9492738146091414</v>
      </c>
      <c r="D24" s="117">
        <f>D23/($C$23+$D$23+$E$23)</f>
        <v>5.0726185390858609E-2</v>
      </c>
      <c r="E24" s="118">
        <f>E23/($C$23+$D$23+$E$23)</f>
        <v>0</v>
      </c>
      <c r="F24" s="231">
        <v>2</v>
      </c>
      <c r="G24" s="232" t="s">
        <v>13</v>
      </c>
      <c r="H24" s="233" t="s">
        <v>453</v>
      </c>
      <c r="I24" s="796" t="s">
        <v>742</v>
      </c>
      <c r="J24" s="217">
        <f>+'14'!J24</f>
        <v>0</v>
      </c>
      <c r="K24" s="242"/>
      <c r="L24" s="242"/>
      <c r="M24" s="120">
        <f>+K24+'14'!M24+L24</f>
        <v>0</v>
      </c>
    </row>
    <row r="25" spans="1:14" ht="13.5" thickBot="1">
      <c r="A25" s="799"/>
      <c r="B25" s="218" t="s">
        <v>589</v>
      </c>
      <c r="C25" s="229">
        <v>17529</v>
      </c>
      <c r="D25" s="220"/>
      <c r="E25" s="228"/>
      <c r="F25" s="234">
        <v>6</v>
      </c>
      <c r="G25" s="583" t="s">
        <v>13</v>
      </c>
      <c r="H25" s="233" t="s">
        <v>420</v>
      </c>
      <c r="I25" s="797"/>
      <c r="J25" s="217">
        <f>+'14'!J25</f>
        <v>0</v>
      </c>
      <c r="K25" s="242"/>
      <c r="L25" s="242"/>
      <c r="M25" s="120">
        <f>+K25+'14'!M25+L25</f>
        <v>0</v>
      </c>
    </row>
    <row r="26" spans="1:14" ht="13.5" thickBot="1">
      <c r="A26" s="799"/>
      <c r="B26" s="218"/>
      <c r="C26" s="229"/>
      <c r="D26" s="220"/>
      <c r="E26" s="230"/>
      <c r="F26" s="231">
        <f>15-8</f>
        <v>7</v>
      </c>
      <c r="G26" s="583" t="s">
        <v>13</v>
      </c>
      <c r="H26" s="236" t="s">
        <v>456</v>
      </c>
      <c r="I26" s="797"/>
      <c r="J26" s="217">
        <f>+'14'!J26</f>
        <v>0</v>
      </c>
      <c r="K26" s="242"/>
      <c r="L26" s="242"/>
      <c r="M26" s="120">
        <f>+K26+'14'!M26+L26</f>
        <v>0</v>
      </c>
    </row>
    <row r="27" spans="1:14" ht="26.25" thickBot="1">
      <c r="A27" s="799"/>
      <c r="B27" s="218"/>
      <c r="C27" s="219"/>
      <c r="D27" s="220"/>
      <c r="E27" s="228"/>
      <c r="F27" s="231"/>
      <c r="G27" s="240" t="s">
        <v>14</v>
      </c>
      <c r="H27" s="236" t="s">
        <v>750</v>
      </c>
      <c r="I27" s="797"/>
      <c r="J27" s="217">
        <f>+'14'!J27</f>
        <v>0</v>
      </c>
      <c r="K27" s="242"/>
      <c r="L27" s="242"/>
      <c r="M27" s="120">
        <f>+K27+'14'!M27+L27</f>
        <v>0</v>
      </c>
    </row>
    <row r="28" spans="1:14" ht="26.25" thickBot="1">
      <c r="A28" s="799"/>
      <c r="B28" s="218"/>
      <c r="C28" s="219"/>
      <c r="D28" s="220"/>
      <c r="E28" s="228"/>
      <c r="F28" s="234"/>
      <c r="G28" s="235"/>
      <c r="H28" s="236" t="s">
        <v>613</v>
      </c>
      <c r="I28" s="797"/>
      <c r="J28" s="217">
        <f>+'14'!J28</f>
        <v>0</v>
      </c>
      <c r="K28" s="242"/>
      <c r="L28" s="242"/>
      <c r="M28" s="120">
        <f>+K28+'14'!M28+L28</f>
        <v>0</v>
      </c>
    </row>
    <row r="29" spans="1:14" ht="13.5" thickBot="1">
      <c r="A29" s="799"/>
      <c r="B29" s="218"/>
      <c r="C29" s="219"/>
      <c r="D29" s="220"/>
      <c r="E29" s="228"/>
      <c r="F29" s="239"/>
      <c r="G29" s="235"/>
      <c r="H29" s="236"/>
      <c r="I29" s="797"/>
      <c r="J29" s="217">
        <f>+'14'!J29</f>
        <v>0</v>
      </c>
      <c r="K29" s="242"/>
      <c r="L29" s="242"/>
      <c r="M29" s="120">
        <f>+K29+'14'!M29+L29</f>
        <v>0</v>
      </c>
    </row>
    <row r="30" spans="1:14" ht="13.5" thickBot="1">
      <c r="A30" s="799"/>
      <c r="B30" s="218"/>
      <c r="C30" s="229"/>
      <c r="D30" s="220"/>
      <c r="E30" s="228"/>
      <c r="F30" s="239"/>
      <c r="G30" s="235"/>
      <c r="H30" s="236"/>
      <c r="I30" s="797"/>
      <c r="J30" s="217">
        <f>+'14'!J30</f>
        <v>0</v>
      </c>
      <c r="K30" s="242"/>
      <c r="L30" s="242"/>
      <c r="M30" s="120">
        <f>+K30+'14'!M30+L30</f>
        <v>0</v>
      </c>
      <c r="N30" s="158"/>
    </row>
    <row r="31" spans="1:14" ht="13.5" thickBot="1">
      <c r="A31" s="799"/>
      <c r="B31" s="218"/>
      <c r="C31" s="229"/>
      <c r="D31" s="220"/>
      <c r="E31" s="228"/>
      <c r="F31" s="239"/>
      <c r="G31" s="240"/>
      <c r="H31" s="237"/>
      <c r="I31" s="798"/>
      <c r="J31" s="217">
        <f>+'14'!J31</f>
        <v>0</v>
      </c>
      <c r="K31" s="242"/>
      <c r="L31" s="242"/>
      <c r="M31" s="120">
        <f>+K31+'14'!M31+L31</f>
        <v>0</v>
      </c>
    </row>
    <row r="32" spans="1:14" ht="13.5" thickBot="1">
      <c r="A32" s="800"/>
      <c r="B32" s="168" t="s">
        <v>3</v>
      </c>
      <c r="C32" s="102">
        <f>SUM(C25:C31)</f>
        <v>17529</v>
      </c>
      <c r="D32" s="103">
        <f>SUM(D25:D31)</f>
        <v>0</v>
      </c>
      <c r="E32" s="104">
        <f>SUM(E25:E31)</f>
        <v>0</v>
      </c>
      <c r="F32" s="105">
        <f>SUM(F24:F31)</f>
        <v>15</v>
      </c>
      <c r="G32" s="174"/>
      <c r="H32" s="175"/>
      <c r="I32" s="172"/>
      <c r="J32" s="217">
        <f>+'14'!J32</f>
        <v>0</v>
      </c>
      <c r="K32" s="244"/>
      <c r="L32" s="246"/>
      <c r="M32" s="120">
        <f>+K32+'14'!M32+L32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801" t="s">
        <v>70</v>
      </c>
      <c r="B34" s="802"/>
      <c r="C34" s="110">
        <f>C14+C23+C32</f>
        <v>52259</v>
      </c>
      <c r="D34" s="110">
        <f>D14+D23+D32</f>
        <v>950</v>
      </c>
      <c r="E34" s="110">
        <f>E14+E23+E32</f>
        <v>0</v>
      </c>
      <c r="F34" s="111">
        <f>F14+F23+F32</f>
        <v>51</v>
      </c>
      <c r="H34" s="181"/>
      <c r="I34" s="181"/>
      <c r="J34" s="126" t="s">
        <v>29</v>
      </c>
      <c r="K34" s="127">
        <f>SUM(K7:K32)</f>
        <v>52259</v>
      </c>
      <c r="L34" s="215">
        <f>SUM(L7:L32)</f>
        <v>0</v>
      </c>
      <c r="M34" s="123">
        <f>SUM(M7:M32)</f>
        <v>646232</v>
      </c>
      <c r="N34" s="158"/>
    </row>
    <row r="35" spans="1:14" ht="13.5" thickBot="1">
      <c r="A35" s="182"/>
      <c r="B35" s="183"/>
      <c r="C35" s="107">
        <f>C34/($C$34+$D$34+$E$34)</f>
        <v>0.98214587757710159</v>
      </c>
      <c r="D35" s="107">
        <f>D34/($C$34+$D$34+$E$34)</f>
        <v>1.7854122422898383E-2</v>
      </c>
      <c r="E35" s="112">
        <f>E34/($C$34+$D$34+$E$34)</f>
        <v>0</v>
      </c>
      <c r="K35" s="158"/>
      <c r="L35" s="792" t="s">
        <v>187</v>
      </c>
      <c r="M35" s="792"/>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90" t="s">
        <v>71</v>
      </c>
      <c r="B37" s="791"/>
      <c r="C37" s="165" t="s">
        <v>72</v>
      </c>
      <c r="D37" s="186" t="s">
        <v>73</v>
      </c>
      <c r="E37" s="187" t="s">
        <v>74</v>
      </c>
      <c r="F37" s="365"/>
      <c r="G37" s="367"/>
      <c r="H37" s="189" t="s">
        <v>75</v>
      </c>
      <c r="I37" s="247">
        <f>(22*1440)/1440*G42*2.75*1440/1000000</f>
        <v>55.443167999999993</v>
      </c>
      <c r="J37" s="128">
        <f>+I37+'14'!J37</f>
        <v>703.05294269587739</v>
      </c>
      <c r="K37" s="129" t="s">
        <v>76</v>
      </c>
      <c r="L37" s="426"/>
      <c r="M37" s="427"/>
    </row>
    <row r="38" spans="1:14" ht="17.45" customHeight="1">
      <c r="A38" s="786" t="s">
        <v>13</v>
      </c>
      <c r="B38" s="787"/>
      <c r="C38" s="167">
        <f>SUMIF($G$7:$G$31,"Process",$F$7:$F$31)</f>
        <v>43</v>
      </c>
      <c r="D38" s="121">
        <f>+C38+'14'!D38</f>
        <v>1162</v>
      </c>
      <c r="E38" s="146">
        <f t="shared" ref="E38:E51" si="6">D38/60</f>
        <v>19.366666666666667</v>
      </c>
      <c r="F38" s="365">
        <v>740</v>
      </c>
      <c r="G38" s="365">
        <v>636.4</v>
      </c>
      <c r="H38" s="190" t="s">
        <v>77</v>
      </c>
      <c r="I38" s="248">
        <f>17.129+17.197+18.542</f>
        <v>52.868000000000002</v>
      </c>
      <c r="J38" s="130">
        <f>+I38+'14'!J38</f>
        <v>662.08330000000001</v>
      </c>
      <c r="K38" s="131" t="s">
        <v>76</v>
      </c>
      <c r="L38" s="428"/>
      <c r="M38" s="429"/>
    </row>
    <row r="39" spans="1:14" ht="17.45" customHeight="1">
      <c r="A39" s="782" t="s">
        <v>14</v>
      </c>
      <c r="B39" s="783"/>
      <c r="C39" s="167">
        <f>SUMIF($G$7:$G$31,"Cleaning",$F$7:$F$31)</f>
        <v>8</v>
      </c>
      <c r="D39" s="121">
        <f>+C39+'14'!D39</f>
        <v>166</v>
      </c>
      <c r="E39" s="146">
        <f t="shared" si="6"/>
        <v>2.7666666666666666</v>
      </c>
      <c r="F39" s="365">
        <v>740</v>
      </c>
      <c r="G39" s="365">
        <v>636.4</v>
      </c>
      <c r="H39" s="190" t="s">
        <v>78</v>
      </c>
      <c r="I39" s="145"/>
      <c r="J39" s="132">
        <f>J37/G4</f>
        <v>46.870196179725163</v>
      </c>
      <c r="K39" s="133" t="s">
        <v>76</v>
      </c>
      <c r="L39" s="428"/>
      <c r="M39" s="429"/>
    </row>
    <row r="40" spans="1:14" ht="17.45" customHeight="1">
      <c r="A40" s="782" t="s">
        <v>79</v>
      </c>
      <c r="B40" s="783"/>
      <c r="C40" s="167">
        <f>SUMIF($G$7:$G$31,"Mechanical",$F$7:$F$31)</f>
        <v>0</v>
      </c>
      <c r="D40" s="121">
        <f>+C40+'14'!D40</f>
        <v>120</v>
      </c>
      <c r="E40" s="146">
        <f t="shared" si="6"/>
        <v>2</v>
      </c>
      <c r="F40" s="365">
        <v>740</v>
      </c>
      <c r="G40" s="365">
        <v>636.4</v>
      </c>
      <c r="H40" s="190" t="s">
        <v>80</v>
      </c>
      <c r="I40" s="121">
        <f>(K34+L34)/1000</f>
        <v>52.259</v>
      </c>
      <c r="J40" s="134">
        <f>+I40+'14'!J40</f>
        <v>646.23200000000008</v>
      </c>
      <c r="K40" s="133" t="s">
        <v>76</v>
      </c>
      <c r="L40" s="428"/>
      <c r="M40" s="429"/>
    </row>
    <row r="41" spans="1:14" ht="17.45" customHeight="1">
      <c r="A41" s="782" t="s">
        <v>81</v>
      </c>
      <c r="B41" s="783"/>
      <c r="C41" s="167">
        <f>SUMIF($G$7:$G$31,"Electrical",$F$7:$F$31)</f>
        <v>0</v>
      </c>
      <c r="D41" s="121">
        <f>+C41+'14'!D41</f>
        <v>65</v>
      </c>
      <c r="E41" s="146">
        <f t="shared" si="6"/>
        <v>1.0833333333333333</v>
      </c>
      <c r="F41" s="365"/>
      <c r="G41" s="365"/>
      <c r="H41" s="190" t="s">
        <v>82</v>
      </c>
      <c r="I41" s="145"/>
      <c r="J41" s="132">
        <f>J40/G4</f>
        <v>43.082133333333338</v>
      </c>
      <c r="K41" s="133" t="s">
        <v>76</v>
      </c>
      <c r="L41" s="428"/>
      <c r="M41" s="429"/>
    </row>
    <row r="42" spans="1:14" ht="17.45" customHeight="1">
      <c r="A42" s="782" t="s">
        <v>17</v>
      </c>
      <c r="B42" s="783"/>
      <c r="C42" s="167">
        <f>SUMIF($G$7:$G$31,"Instrument",$F$7:$F$31)</f>
        <v>0</v>
      </c>
      <c r="D42" s="121">
        <f>+C42+'14'!D42</f>
        <v>0</v>
      </c>
      <c r="E42" s="146">
        <f t="shared" si="6"/>
        <v>0</v>
      </c>
      <c r="F42" s="365">
        <f>+(480*F38+480*F39+480*F40)/1440</f>
        <v>740</v>
      </c>
      <c r="G42" s="365">
        <f>+(480*G38+480*G39+480*G40)/1440</f>
        <v>636.4</v>
      </c>
      <c r="H42" s="190" t="s">
        <v>83</v>
      </c>
      <c r="I42" s="249" t="s">
        <v>615</v>
      </c>
      <c r="J42" s="135"/>
      <c r="K42" s="133" t="s">
        <v>84</v>
      </c>
      <c r="L42" s="428"/>
      <c r="M42" s="429"/>
    </row>
    <row r="43" spans="1:14" ht="17.45" customHeight="1">
      <c r="A43" s="782" t="s">
        <v>202</v>
      </c>
      <c r="B43" s="783"/>
      <c r="C43" s="167">
        <f>SUMIF($G$7:$G$31,"Change Grade",$F$7:$F$31)</f>
        <v>0</v>
      </c>
      <c r="D43" s="121">
        <f>+C43+'14'!D43</f>
        <v>0</v>
      </c>
      <c r="E43" s="146">
        <f t="shared" si="6"/>
        <v>0</v>
      </c>
      <c r="F43" s="365"/>
      <c r="G43" s="366"/>
      <c r="H43" s="191" t="s">
        <v>86</v>
      </c>
      <c r="I43" s="121">
        <f>+Report1!AH23</f>
        <v>69.400000000000006</v>
      </c>
      <c r="J43" s="136">
        <f>+I43+'14'!J43</f>
        <v>936.30000000000007</v>
      </c>
      <c r="K43" s="133" t="s">
        <v>76</v>
      </c>
      <c r="L43" s="430">
        <f>+Report1!AN23</f>
        <v>0</v>
      </c>
      <c r="M43" s="431">
        <f>+L43+'14'!M43</f>
        <v>0</v>
      </c>
    </row>
    <row r="44" spans="1:14" ht="17.45" customHeight="1">
      <c r="A44" s="782" t="s">
        <v>18</v>
      </c>
      <c r="B44" s="783"/>
      <c r="C44" s="167">
        <f>SUMIF($G$7:$G$31,"PLN",$F$7:$F$31)</f>
        <v>0</v>
      </c>
      <c r="D44" s="121">
        <f>+C44+'14'!D44</f>
        <v>0</v>
      </c>
      <c r="E44" s="146">
        <f t="shared" si="6"/>
        <v>0</v>
      </c>
      <c r="F44" s="365"/>
      <c r="G44" s="366"/>
      <c r="H44" s="191" t="s">
        <v>87</v>
      </c>
      <c r="I44" s="121">
        <f>I43/I38</f>
        <v>1.3127033366119392</v>
      </c>
      <c r="J44" s="137">
        <f>J43/J38</f>
        <v>1.4141725066921338</v>
      </c>
      <c r="K44" s="133" t="s">
        <v>76</v>
      </c>
      <c r="L44" s="432">
        <f>+L43/I38</f>
        <v>0</v>
      </c>
      <c r="M44" s="433">
        <f>+M43/J38</f>
        <v>0</v>
      </c>
    </row>
    <row r="45" spans="1:14" ht="17.45" customHeight="1">
      <c r="A45" s="782" t="s">
        <v>19</v>
      </c>
      <c r="B45" s="783"/>
      <c r="C45" s="167">
        <f>SUMIF($G$7:$G$31,"Boiler",$F$7:$F$31)</f>
        <v>0</v>
      </c>
      <c r="D45" s="121">
        <f>+C45+'14'!D45</f>
        <v>0</v>
      </c>
      <c r="E45" s="146">
        <f t="shared" si="6"/>
        <v>0</v>
      </c>
      <c r="F45" s="365"/>
      <c r="G45" s="368"/>
      <c r="H45" s="191" t="s">
        <v>88</v>
      </c>
      <c r="I45" s="121">
        <f>I43/I40</f>
        <v>1.3280009185020762</v>
      </c>
      <c r="J45" s="137">
        <f>J43/J40</f>
        <v>1.4488604711620594</v>
      </c>
      <c r="K45" s="133" t="s">
        <v>76</v>
      </c>
      <c r="L45" s="432">
        <f>+L43/I40</f>
        <v>0</v>
      </c>
      <c r="M45" s="433">
        <f>+M43/J40</f>
        <v>0</v>
      </c>
    </row>
    <row r="46" spans="1:14" ht="17.45" customHeight="1">
      <c r="A46" s="782" t="s">
        <v>89</v>
      </c>
      <c r="B46" s="783"/>
      <c r="C46" s="167">
        <f>SUMIF($G$7:$G$31,"Gas",$F$7:$F$31)</f>
        <v>0</v>
      </c>
      <c r="D46" s="121">
        <f>+C46+'14'!D46</f>
        <v>0</v>
      </c>
      <c r="E46" s="146">
        <f t="shared" si="6"/>
        <v>0</v>
      </c>
      <c r="F46" s="365"/>
      <c r="G46" s="366"/>
      <c r="H46" s="191" t="s">
        <v>90</v>
      </c>
      <c r="I46" s="143">
        <f>+SUMIF(Listrik!P22,"&gt;0")</f>
        <v>38173.700000000012</v>
      </c>
      <c r="J46" s="138">
        <f>+I46+'14'!J46</f>
        <v>540769.87999999989</v>
      </c>
      <c r="K46" s="133" t="s">
        <v>91</v>
      </c>
      <c r="L46" s="432">
        <f>+Listrik!AF22</f>
        <v>0</v>
      </c>
      <c r="M46" s="434">
        <f>+L46+'14'!M46</f>
        <v>0</v>
      </c>
    </row>
    <row r="47" spans="1:14" ht="17.45" customHeight="1">
      <c r="A47" s="782" t="s">
        <v>92</v>
      </c>
      <c r="B47" s="783"/>
      <c r="C47" s="167">
        <f>SUMIF($G$7:$G$31,"Gas",$F$7:$F$31)</f>
        <v>0</v>
      </c>
      <c r="D47" s="121">
        <f>+C47+'14'!D47</f>
        <v>0</v>
      </c>
      <c r="E47" s="146">
        <f t="shared" si="6"/>
        <v>0</v>
      </c>
      <c r="F47" s="365"/>
      <c r="G47" s="366"/>
      <c r="H47" s="191" t="s">
        <v>93</v>
      </c>
      <c r="I47" s="121">
        <f>I46/I38</f>
        <v>722.05682076114113</v>
      </c>
      <c r="J47" s="138">
        <f>J46/J38</f>
        <v>816.77015565866088</v>
      </c>
      <c r="K47" s="133" t="s">
        <v>25</v>
      </c>
      <c r="L47" s="432">
        <f>+L46/I38</f>
        <v>0</v>
      </c>
      <c r="M47" s="433">
        <f>+M46/J38</f>
        <v>0</v>
      </c>
    </row>
    <row r="48" spans="1:14" ht="17.45" customHeight="1">
      <c r="A48" s="782" t="s">
        <v>15</v>
      </c>
      <c r="B48" s="783"/>
      <c r="C48" s="167">
        <f>SUMIF($G$7:$G$31,"Start Up",$F$7:$F$31)</f>
        <v>0</v>
      </c>
      <c r="D48" s="121">
        <f>+C48+'14'!D48</f>
        <v>0</v>
      </c>
      <c r="E48" s="146">
        <f t="shared" si="6"/>
        <v>0</v>
      </c>
      <c r="F48" s="365"/>
      <c r="G48" s="366"/>
      <c r="H48" s="191" t="s">
        <v>94</v>
      </c>
      <c r="I48" s="121">
        <f>I46/I40</f>
        <v>730.47130637784903</v>
      </c>
      <c r="J48" s="138">
        <f>J46/J40</f>
        <v>836.80455316356949</v>
      </c>
      <c r="K48" s="133" t="s">
        <v>25</v>
      </c>
      <c r="L48" s="432">
        <f>+L46/I38</f>
        <v>0</v>
      </c>
      <c r="M48" s="433">
        <f>+M46/J40</f>
        <v>0</v>
      </c>
    </row>
    <row r="49" spans="1:13" ht="17.45" customHeight="1">
      <c r="A49" s="782" t="s">
        <v>21</v>
      </c>
      <c r="B49" s="783"/>
      <c r="C49" s="167">
        <f>SUMIF($G$7:$G$31,"Others",$F$7:$F$31)</f>
        <v>0</v>
      </c>
      <c r="D49" s="121">
        <f>+C49+'14'!D49</f>
        <v>924</v>
      </c>
      <c r="E49" s="146">
        <f t="shared" si="6"/>
        <v>15.4</v>
      </c>
      <c r="F49" s="188"/>
      <c r="H49" s="191" t="s">
        <v>95</v>
      </c>
      <c r="I49" s="121">
        <f>+Report1!AB23</f>
        <v>4374.4160874854915</v>
      </c>
      <c r="J49" s="138">
        <f>+I49+'14'!J49</f>
        <v>56872.259252172189</v>
      </c>
      <c r="K49" s="133" t="s">
        <v>96</v>
      </c>
      <c r="L49" s="428"/>
      <c r="M49" s="429"/>
    </row>
    <row r="50" spans="1:13" ht="17.45" customHeight="1">
      <c r="A50" s="782" t="s">
        <v>20</v>
      </c>
      <c r="B50" s="783"/>
      <c r="C50" s="167">
        <f>SUMIF($G$7:$G$31,"Steam",$F$7:$F$31)</f>
        <v>0</v>
      </c>
      <c r="D50" s="121">
        <f>+C50+'14'!D50</f>
        <v>0</v>
      </c>
      <c r="E50" s="146">
        <f t="shared" si="6"/>
        <v>0</v>
      </c>
      <c r="F50" s="188"/>
      <c r="H50" s="191" t="s">
        <v>97</v>
      </c>
      <c r="I50" s="143">
        <f>I49/I38</f>
        <v>82.742227575953152</v>
      </c>
      <c r="J50" s="136">
        <f>J49/J38</f>
        <v>85.898948443756524</v>
      </c>
      <c r="K50" s="133" t="s">
        <v>96</v>
      </c>
      <c r="L50" s="428"/>
      <c r="M50" s="429"/>
    </row>
    <row r="51" spans="1:13" ht="17.45" customHeight="1" thickBot="1">
      <c r="A51" s="784" t="s">
        <v>98</v>
      </c>
      <c r="B51" s="785"/>
      <c r="C51" s="167">
        <f>SUMIF($G$7:$G$31,"Planned shut",$F$7:$F$31)</f>
        <v>0</v>
      </c>
      <c r="D51" s="121">
        <f>+C51+'14'!D51</f>
        <v>0</v>
      </c>
      <c r="E51" s="146">
        <f t="shared" si="6"/>
        <v>0</v>
      </c>
      <c r="F51" s="188"/>
      <c r="H51" s="193" t="s">
        <v>99</v>
      </c>
      <c r="I51" s="144">
        <f>I49/I40</f>
        <v>83.706463718890362</v>
      </c>
      <c r="J51" s="139">
        <f>J49/J40</f>
        <v>88.00594717094198</v>
      </c>
      <c r="K51" s="140" t="s">
        <v>96</v>
      </c>
      <c r="L51" s="428"/>
      <c r="M51" s="429"/>
    </row>
    <row r="52" spans="1:13" ht="13.5" thickBot="1">
      <c r="A52" s="786" t="s">
        <v>29</v>
      </c>
      <c r="B52" s="787"/>
      <c r="C52" s="147">
        <f>SUM(C38:C51)</f>
        <v>51</v>
      </c>
      <c r="D52" s="147">
        <f>SUM(D38:D51)</f>
        <v>2437</v>
      </c>
      <c r="E52" s="148">
        <f>SUM(E38:E51)</f>
        <v>40.616666666666667</v>
      </c>
      <c r="F52" s="188"/>
      <c r="H52" s="194"/>
      <c r="I52" s="195"/>
      <c r="J52" s="141"/>
      <c r="K52" s="142"/>
      <c r="L52" s="435"/>
      <c r="M52" s="436"/>
    </row>
    <row r="53" spans="1:13" ht="13.5" thickBot="1">
      <c r="A53" s="788"/>
      <c r="B53" s="789"/>
      <c r="C53" s="149">
        <f>C52/(24*60)</f>
        <v>3.5416666666666666E-2</v>
      </c>
      <c r="D53" s="149">
        <f>D52/(24*60*G4)</f>
        <v>0.11282407407407408</v>
      </c>
      <c r="E53" s="150">
        <f>E52/(G4*24)</f>
        <v>0.11282407407407408</v>
      </c>
      <c r="F53" s="188"/>
    </row>
    <row r="54" spans="1:13">
      <c r="E54" s="196"/>
      <c r="F54" s="188"/>
    </row>
    <row r="55" spans="1:13">
      <c r="E55" s="196"/>
    </row>
    <row r="56" spans="1:13">
      <c r="A56" s="197" t="s">
        <v>100</v>
      </c>
      <c r="B56" s="198"/>
      <c r="C56" s="199"/>
      <c r="D56" s="199"/>
      <c r="E56" s="199"/>
      <c r="F56" s="200"/>
      <c r="G56" s="199"/>
      <c r="H56" s="201"/>
      <c r="I56" s="202" t="s">
        <v>101</v>
      </c>
      <c r="J56" s="203">
        <f>+D34+'14'!J56</f>
        <v>2180</v>
      </c>
      <c r="K56" s="204">
        <f>J56/(J40+J56/1000)/1000</f>
        <v>3.3620599248625873E-3</v>
      </c>
    </row>
    <row r="57" spans="1:13">
      <c r="A57" s="179"/>
      <c r="I57" s="202" t="s">
        <v>102</v>
      </c>
      <c r="J57" s="203">
        <f>+E34+'14'!J57</f>
        <v>0</v>
      </c>
      <c r="K57" s="204">
        <f>J57/(J40+J57/1000)/1000</f>
        <v>0</v>
      </c>
    </row>
    <row r="58" spans="1:13">
      <c r="A58" s="205"/>
      <c r="B58" s="206"/>
      <c r="F58" s="188"/>
      <c r="H58" s="207"/>
      <c r="J58" s="152">
        <v>325</v>
      </c>
    </row>
    <row r="59" spans="1:13">
      <c r="A59" s="208"/>
      <c r="B59" s="179"/>
      <c r="C59" s="179"/>
      <c r="D59" s="179"/>
      <c r="E59" s="179"/>
      <c r="F59" s="192"/>
      <c r="G59" s="179"/>
      <c r="H59" s="207"/>
      <c r="J59" s="158">
        <f>+J56+J58</f>
        <v>2505</v>
      </c>
    </row>
    <row r="60" spans="1:13">
      <c r="H60" s="207"/>
    </row>
    <row r="61" spans="1:13">
      <c r="A61" s="209"/>
      <c r="B61" s="210"/>
      <c r="C61" s="210"/>
      <c r="D61" s="210"/>
      <c r="E61" s="210"/>
      <c r="F61" s="211"/>
      <c r="G61" s="210"/>
      <c r="H61" s="212"/>
    </row>
  </sheetData>
  <mergeCells count="25">
    <mergeCell ref="A39:B39"/>
    <mergeCell ref="L35:M35"/>
    <mergeCell ref="I24:I31"/>
    <mergeCell ref="A24:A32"/>
    <mergeCell ref="I7:I13"/>
    <mergeCell ref="A7:A14"/>
    <mergeCell ref="A34:B34"/>
    <mergeCell ref="A15:A23"/>
    <mergeCell ref="I15:I22"/>
    <mergeCell ref="A47:B47"/>
    <mergeCell ref="A37:B37"/>
    <mergeCell ref="A38:B38"/>
    <mergeCell ref="A53:B53"/>
    <mergeCell ref="A48:B48"/>
    <mergeCell ref="A49:B49"/>
    <mergeCell ref="A50:B50"/>
    <mergeCell ref="A51:B51"/>
    <mergeCell ref="A52:B52"/>
    <mergeCell ref="A44:B44"/>
    <mergeCell ref="A46:B46"/>
    <mergeCell ref="A40:B40"/>
    <mergeCell ref="A41:B41"/>
    <mergeCell ref="A43:B43"/>
    <mergeCell ref="A45:B45"/>
    <mergeCell ref="A42:B42"/>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S61"/>
  <sheetViews>
    <sheetView view="pageBreakPreview" topLeftCell="F10" zoomScale="80" zoomScaleNormal="75" zoomScaleSheetLayoutView="80" workbookViewId="0">
      <selection activeCell="F42" sqref="F42:G4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28515625" style="152" bestFit="1" customWidth="1"/>
    <col min="11" max="11" width="12.5703125" style="152" bestFit="1" customWidth="1"/>
    <col min="12" max="12" width="8.28515625" style="152" customWidth="1"/>
    <col min="13" max="13" width="12.140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14</v>
      </c>
      <c r="H4" s="157" t="str">
        <f>+'1'!H4</f>
        <v>.03.26</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581</v>
      </c>
      <c r="O6" s="152">
        <v>740</v>
      </c>
      <c r="P6" s="152">
        <f t="shared" ref="P6" si="0">+O6-(O6*0.14)</f>
        <v>636.4</v>
      </c>
      <c r="Q6" s="152">
        <f>480-Q5</f>
        <v>480</v>
      </c>
      <c r="R6" s="152">
        <f t="shared" ref="R6:R8" si="1">+O6*Q6</f>
        <v>355200</v>
      </c>
      <c r="S6" s="152">
        <f t="shared" ref="S6:S8" si="2">+P6*Q6</f>
        <v>305472</v>
      </c>
    </row>
    <row r="7" spans="1:19" ht="13.5" customHeight="1" thickBot="1">
      <c r="A7" s="793" t="s">
        <v>432</v>
      </c>
      <c r="B7" s="218" t="s">
        <v>589</v>
      </c>
      <c r="C7" s="219">
        <v>18128</v>
      </c>
      <c r="D7" s="220"/>
      <c r="E7" s="221"/>
      <c r="F7" s="231"/>
      <c r="G7" s="232" t="s">
        <v>13</v>
      </c>
      <c r="H7" s="233" t="s">
        <v>391</v>
      </c>
      <c r="I7" s="796" t="s">
        <v>742</v>
      </c>
      <c r="J7" s="217" t="str">
        <f>+'13'!J7</f>
        <v>T 14 RC HW</v>
      </c>
      <c r="K7" s="241"/>
      <c r="L7" s="245"/>
      <c r="M7" s="120">
        <f>+K7+'13'!M7+L7</f>
        <v>41293</v>
      </c>
    </row>
    <row r="8" spans="1:19" ht="13.5" thickBot="1">
      <c r="A8" s="794"/>
      <c r="B8" s="218"/>
      <c r="C8" s="219"/>
      <c r="D8" s="220"/>
      <c r="E8" s="222"/>
      <c r="F8" s="234">
        <v>2</v>
      </c>
      <c r="G8" s="583" t="s">
        <v>13</v>
      </c>
      <c r="H8" s="233" t="s">
        <v>420</v>
      </c>
      <c r="I8" s="797"/>
      <c r="J8" s="217" t="str">
        <f>+'13'!J8</f>
        <v>T 15,5 RC HW</v>
      </c>
      <c r="K8" s="242"/>
      <c r="L8" s="242"/>
      <c r="M8" s="120">
        <f>+K8+'13'!M8+L8</f>
        <v>139937</v>
      </c>
      <c r="P8" s="152">
        <f t="shared" ref="P8" si="3">+O8-(O8*0.14)</f>
        <v>0</v>
      </c>
      <c r="R8" s="152">
        <f t="shared" si="1"/>
        <v>0</v>
      </c>
      <c r="S8" s="152">
        <f t="shared" si="2"/>
        <v>0</v>
      </c>
    </row>
    <row r="9" spans="1:19" ht="13.5" thickBot="1">
      <c r="A9" s="794"/>
      <c r="B9" s="218"/>
      <c r="C9" s="219"/>
      <c r="D9" s="220"/>
      <c r="E9" s="223"/>
      <c r="F9" s="231">
        <v>8</v>
      </c>
      <c r="G9" s="583" t="s">
        <v>13</v>
      </c>
      <c r="H9" s="236" t="s">
        <v>456</v>
      </c>
      <c r="I9" s="797"/>
      <c r="J9" s="217" t="str">
        <f>+'13'!J9</f>
        <v>T 13,5 RC HW</v>
      </c>
      <c r="K9" s="242"/>
      <c r="L9" s="242"/>
      <c r="M9" s="120">
        <f>+K9+'13'!M9+L9</f>
        <v>31497</v>
      </c>
    </row>
    <row r="10" spans="1:19" ht="26.25" thickBot="1">
      <c r="A10" s="794"/>
      <c r="B10" s="218"/>
      <c r="C10" s="219"/>
      <c r="D10" s="220"/>
      <c r="E10" s="222"/>
      <c r="F10" s="231">
        <v>8</v>
      </c>
      <c r="G10" s="240" t="s">
        <v>14</v>
      </c>
      <c r="H10" s="236" t="s">
        <v>747</v>
      </c>
      <c r="I10" s="797"/>
      <c r="J10" s="217" t="str">
        <f>+'13'!J10</f>
        <v>T 20 RC HW</v>
      </c>
      <c r="K10" s="242"/>
      <c r="L10" s="242"/>
      <c r="M10" s="120">
        <f>+K10+'13'!M10+L10</f>
        <v>35769</v>
      </c>
    </row>
    <row r="11" spans="1:19" ht="13.5" thickBot="1">
      <c r="A11" s="794"/>
      <c r="B11" s="218"/>
      <c r="C11" s="219"/>
      <c r="D11" s="220"/>
      <c r="E11" s="222"/>
      <c r="F11" s="231"/>
      <c r="G11" s="235"/>
      <c r="H11" s="236"/>
      <c r="I11" s="797"/>
      <c r="J11" s="217" t="str">
        <f>+'13'!J11</f>
        <v>T 17 RC HW</v>
      </c>
      <c r="K11" s="242"/>
      <c r="L11" s="242"/>
      <c r="M11" s="120">
        <f>+K11+'13'!M11+L11</f>
        <v>18517</v>
      </c>
    </row>
    <row r="12" spans="1:19" ht="13.5" thickBot="1">
      <c r="A12" s="794"/>
      <c r="B12" s="218"/>
      <c r="C12" s="219"/>
      <c r="D12" s="220"/>
      <c r="E12" s="222"/>
      <c r="F12" s="231"/>
      <c r="G12" s="235"/>
      <c r="H12" s="236"/>
      <c r="I12" s="797"/>
      <c r="J12" s="217" t="str">
        <f>+'13'!J12</f>
        <v>T 16 RC HW</v>
      </c>
      <c r="K12" s="242"/>
      <c r="L12" s="242"/>
      <c r="M12" s="120">
        <f>+K12+'13'!M12+L12</f>
        <v>38417</v>
      </c>
    </row>
    <row r="13" spans="1:19" ht="13.5" thickBot="1">
      <c r="A13" s="794"/>
      <c r="B13" s="218"/>
      <c r="C13" s="219"/>
      <c r="D13" s="219"/>
      <c r="E13" s="222"/>
      <c r="F13" s="231"/>
      <c r="G13" s="235"/>
      <c r="H13" s="236"/>
      <c r="I13" s="798"/>
      <c r="J13" s="217" t="str">
        <f>+'13'!J13</f>
        <v>N 15,5 RC HW</v>
      </c>
      <c r="K13" s="242"/>
      <c r="L13" s="242"/>
      <c r="M13" s="120">
        <f>+K13+'13'!M13+L13</f>
        <v>72746</v>
      </c>
      <c r="Q13" s="179">
        <f>SUM(Q6:Q12)</f>
        <v>480</v>
      </c>
      <c r="R13" s="179">
        <f>SUM(R6:R12)</f>
        <v>355200</v>
      </c>
      <c r="S13" s="179">
        <f>SUM(S6:S12)</f>
        <v>305472</v>
      </c>
    </row>
    <row r="14" spans="1:19" ht="13.5" thickBot="1">
      <c r="A14" s="795"/>
      <c r="B14" s="168" t="s">
        <v>3</v>
      </c>
      <c r="C14" s="102">
        <f>SUM(C7:C13)</f>
        <v>18128</v>
      </c>
      <c r="D14" s="114">
        <f>SUM(D7:D13)</f>
        <v>0</v>
      </c>
      <c r="E14" s="115">
        <f>SUM(E5:E13)</f>
        <v>0</v>
      </c>
      <c r="F14" s="105">
        <f>SUM(F6:F13)</f>
        <v>18</v>
      </c>
      <c r="G14" s="162"/>
      <c r="H14" s="169"/>
      <c r="I14" s="170"/>
      <c r="J14" s="217" t="str">
        <f>+'13'!J14</f>
        <v>TW 22 RC HW</v>
      </c>
      <c r="K14" s="242">
        <f>+C34</f>
        <v>51557</v>
      </c>
      <c r="L14" s="242"/>
      <c r="M14" s="120">
        <f>+K14+'13'!M14+L14</f>
        <v>215797</v>
      </c>
      <c r="Q14" s="152">
        <f>480-Q13</f>
        <v>0</v>
      </c>
      <c r="R14" s="179">
        <f>+R13/Q13</f>
        <v>740</v>
      </c>
      <c r="S14" s="179">
        <f>+S13/Q13</f>
        <v>636.4</v>
      </c>
    </row>
    <row r="15" spans="1:19" ht="13.5" customHeight="1" thickBot="1">
      <c r="A15" s="793" t="s">
        <v>477</v>
      </c>
      <c r="B15" s="168"/>
      <c r="C15" s="116">
        <f>C14/($C$23+$D$23+$E$23)</f>
        <v>1.051752146669761</v>
      </c>
      <c r="D15" s="117">
        <f>D14/($C$23+$D$23+$E$23)</f>
        <v>0</v>
      </c>
      <c r="E15" s="118">
        <f>E14/($C$23+$D$23+$E$23)</f>
        <v>0</v>
      </c>
      <c r="F15" s="231">
        <v>2</v>
      </c>
      <c r="G15" s="232" t="s">
        <v>13</v>
      </c>
      <c r="H15" s="233" t="s">
        <v>453</v>
      </c>
      <c r="I15" s="796" t="s">
        <v>749</v>
      </c>
      <c r="J15" s="217">
        <f>+'13'!J15</f>
        <v>0</v>
      </c>
      <c r="K15" s="242"/>
      <c r="L15" s="242"/>
      <c r="M15" s="120">
        <f>+K15+'13'!M15+L15</f>
        <v>0</v>
      </c>
    </row>
    <row r="16" spans="1:19" ht="13.5" thickBot="1">
      <c r="A16" s="799"/>
      <c r="B16" s="218" t="s">
        <v>589</v>
      </c>
      <c r="C16" s="225">
        <v>17236</v>
      </c>
      <c r="D16" s="226"/>
      <c r="E16" s="227"/>
      <c r="F16" s="234">
        <v>2</v>
      </c>
      <c r="G16" s="583" t="s">
        <v>13</v>
      </c>
      <c r="H16" s="233" t="s">
        <v>420</v>
      </c>
      <c r="I16" s="797"/>
      <c r="J16" s="217">
        <f>+'13'!J16</f>
        <v>0</v>
      </c>
      <c r="K16" s="242"/>
      <c r="L16" s="232"/>
      <c r="M16" s="120">
        <f>+K16+'13'!M16+L16</f>
        <v>0</v>
      </c>
      <c r="N16" s="152" t="s">
        <v>581</v>
      </c>
      <c r="O16" s="152">
        <v>740</v>
      </c>
      <c r="P16" s="152">
        <f t="shared" ref="P16:P17" si="4">+O16-(O16*0.14)</f>
        <v>636.4</v>
      </c>
      <c r="Q16" s="152">
        <v>240</v>
      </c>
      <c r="R16" s="152">
        <f t="shared" ref="R16:R17" si="5">+O16*Q16</f>
        <v>177600</v>
      </c>
      <c r="S16" s="152">
        <f t="shared" ref="S16:S17" si="6">+P16*Q16</f>
        <v>152736</v>
      </c>
    </row>
    <row r="17" spans="1:19" ht="13.5" thickBot="1">
      <c r="A17" s="799"/>
      <c r="B17" s="218"/>
      <c r="C17" s="219"/>
      <c r="D17" s="220"/>
      <c r="E17" s="228"/>
      <c r="F17" s="231">
        <v>4</v>
      </c>
      <c r="G17" s="583" t="s">
        <v>13</v>
      </c>
      <c r="H17" s="236" t="s">
        <v>456</v>
      </c>
      <c r="I17" s="797"/>
      <c r="J17" s="217">
        <f>+'13'!J17</f>
        <v>0</v>
      </c>
      <c r="K17" s="242"/>
      <c r="L17" s="232"/>
      <c r="M17" s="120">
        <f>+K17+'13'!M17+L17</f>
        <v>0</v>
      </c>
      <c r="O17" s="152">
        <v>760</v>
      </c>
      <c r="P17" s="152">
        <f t="shared" si="4"/>
        <v>653.6</v>
      </c>
      <c r="Q17" s="152">
        <v>240</v>
      </c>
      <c r="R17" s="152">
        <f t="shared" si="5"/>
        <v>182400</v>
      </c>
      <c r="S17" s="152">
        <f t="shared" si="6"/>
        <v>156864</v>
      </c>
    </row>
    <row r="18" spans="1:19" ht="26.25" thickBot="1">
      <c r="A18" s="799"/>
      <c r="B18" s="218"/>
      <c r="C18" s="219"/>
      <c r="D18" s="220"/>
      <c r="E18" s="228"/>
      <c r="F18" s="231">
        <v>5</v>
      </c>
      <c r="G18" s="240" t="s">
        <v>14</v>
      </c>
      <c r="H18" s="236" t="s">
        <v>747</v>
      </c>
      <c r="I18" s="797"/>
      <c r="J18" s="217">
        <f>+'13'!J18</f>
        <v>0</v>
      </c>
      <c r="K18" s="242"/>
      <c r="L18" s="242"/>
      <c r="M18" s="120">
        <f>+K18+'13'!M18+L18</f>
        <v>0</v>
      </c>
      <c r="P18" s="152">
        <f t="shared" ref="P18" si="7">+O18-(O18*0.14)</f>
        <v>0</v>
      </c>
      <c r="R18" s="152">
        <f t="shared" ref="R18" si="8">+O18*Q18</f>
        <v>0</v>
      </c>
      <c r="S18" s="152">
        <f t="shared" ref="S18" si="9">+P18*Q18</f>
        <v>0</v>
      </c>
    </row>
    <row r="19" spans="1:19" ht="64.5" thickBot="1">
      <c r="A19" s="799"/>
      <c r="B19" s="218"/>
      <c r="C19" s="219"/>
      <c r="D19" s="220"/>
      <c r="E19" s="228"/>
      <c r="F19" s="238"/>
      <c r="G19" s="235"/>
      <c r="H19" s="236" t="s">
        <v>748</v>
      </c>
      <c r="I19" s="797"/>
      <c r="J19" s="217">
        <f>+'13'!J19</f>
        <v>0</v>
      </c>
      <c r="K19" s="242"/>
      <c r="L19" s="242"/>
      <c r="M19" s="120">
        <f>+K19+'13'!M19+L19</f>
        <v>0</v>
      </c>
    </row>
    <row r="20" spans="1:19" ht="13.5" thickBot="1">
      <c r="A20" s="799"/>
      <c r="B20" s="218"/>
      <c r="C20" s="219"/>
      <c r="D20" s="220"/>
      <c r="E20" s="228"/>
      <c r="F20" s="231"/>
      <c r="G20" s="235"/>
      <c r="H20" s="236"/>
      <c r="I20" s="797"/>
      <c r="J20" s="217">
        <f>+'13'!J20</f>
        <v>0</v>
      </c>
      <c r="K20" s="242"/>
      <c r="L20" s="243"/>
      <c r="M20" s="120">
        <f>+K20+'13'!M20+L20</f>
        <v>0</v>
      </c>
    </row>
    <row r="21" spans="1:19" ht="13.5" thickBot="1">
      <c r="A21" s="799"/>
      <c r="B21" s="218"/>
      <c r="C21" s="219"/>
      <c r="D21" s="220"/>
      <c r="E21" s="228"/>
      <c r="F21" s="234"/>
      <c r="G21" s="235"/>
      <c r="H21" s="236"/>
      <c r="I21" s="797"/>
      <c r="J21" s="217">
        <f>+'13'!J21</f>
        <v>0</v>
      </c>
      <c r="K21" s="242"/>
      <c r="L21" s="242"/>
      <c r="M21" s="120">
        <f>+K21+'13'!M21+L21</f>
        <v>0</v>
      </c>
    </row>
    <row r="22" spans="1:19" ht="13.5" thickBot="1">
      <c r="A22" s="799"/>
      <c r="B22" s="218"/>
      <c r="C22" s="219"/>
      <c r="D22" s="220"/>
      <c r="E22" s="228"/>
      <c r="F22" s="239"/>
      <c r="G22" s="235"/>
      <c r="H22" s="236"/>
      <c r="I22" s="798"/>
      <c r="J22" s="217">
        <f>+'13'!J22</f>
        <v>0</v>
      </c>
      <c r="K22" s="242"/>
      <c r="L22" s="242"/>
      <c r="M22" s="120">
        <f>+K22+'13'!M22+L22</f>
        <v>0</v>
      </c>
    </row>
    <row r="23" spans="1:19" ht="13.5" thickBot="1">
      <c r="A23" s="800"/>
      <c r="B23" s="168" t="s">
        <v>3</v>
      </c>
      <c r="C23" s="103">
        <f>SUM(C16:C22)</f>
        <v>17236</v>
      </c>
      <c r="D23" s="114">
        <f>SUM(D16:D22)</f>
        <v>0</v>
      </c>
      <c r="E23" s="115">
        <f>SUM(E18:E22)</f>
        <v>0</v>
      </c>
      <c r="F23" s="105">
        <f>SUM(F15:F22)</f>
        <v>13</v>
      </c>
      <c r="G23" s="162"/>
      <c r="H23" s="169"/>
      <c r="I23" s="172"/>
      <c r="J23" s="217">
        <f>+'13'!J23</f>
        <v>0</v>
      </c>
      <c r="K23" s="242"/>
      <c r="L23" s="242"/>
      <c r="M23" s="120">
        <f>+K23+'13'!M23+L23</f>
        <v>0</v>
      </c>
      <c r="Q23" s="179">
        <f>SUM(Q16:Q22)</f>
        <v>480</v>
      </c>
      <c r="R23" s="179">
        <f>SUM(R16:R22)</f>
        <v>360000</v>
      </c>
      <c r="S23" s="179">
        <f>SUM(S16:S22)</f>
        <v>309600</v>
      </c>
    </row>
    <row r="24" spans="1:19" ht="13.5" customHeight="1" thickBot="1">
      <c r="A24" s="793" t="s">
        <v>430</v>
      </c>
      <c r="B24" s="173"/>
      <c r="C24" s="116">
        <f>C23/($C$23+$D$23+$E$23)</f>
        <v>1</v>
      </c>
      <c r="D24" s="117">
        <f>D23/($C$23+$D$23+$E$23)</f>
        <v>0</v>
      </c>
      <c r="E24" s="118">
        <f>E23/($C$23+$D$23+$E$23)</f>
        <v>0</v>
      </c>
      <c r="F24" s="231">
        <v>2</v>
      </c>
      <c r="G24" s="232" t="s">
        <v>13</v>
      </c>
      <c r="H24" s="233" t="s">
        <v>453</v>
      </c>
      <c r="I24" s="796" t="s">
        <v>742</v>
      </c>
      <c r="J24" s="217">
        <f>+'13'!J24</f>
        <v>0</v>
      </c>
      <c r="K24" s="242"/>
      <c r="L24" s="242"/>
      <c r="M24" s="120">
        <f>+K24+'13'!M24+L24</f>
        <v>0</v>
      </c>
      <c r="Q24" s="152">
        <f>480-Q23</f>
        <v>0</v>
      </c>
      <c r="R24" s="179">
        <f>+R23/Q23</f>
        <v>750</v>
      </c>
      <c r="S24" s="179">
        <f>+S23/Q23</f>
        <v>645</v>
      </c>
    </row>
    <row r="25" spans="1:19" ht="13.5" thickBot="1">
      <c r="A25" s="799"/>
      <c r="B25" s="218" t="s">
        <v>589</v>
      </c>
      <c r="C25" s="229">
        <v>16193</v>
      </c>
      <c r="D25" s="220"/>
      <c r="E25" s="228"/>
      <c r="F25" s="234">
        <v>2</v>
      </c>
      <c r="G25" s="583" t="s">
        <v>13</v>
      </c>
      <c r="H25" s="233" t="s">
        <v>420</v>
      </c>
      <c r="I25" s="797"/>
      <c r="J25" s="217">
        <f>+'13'!J25</f>
        <v>0</v>
      </c>
      <c r="K25" s="242"/>
      <c r="L25" s="242"/>
      <c r="M25" s="120">
        <f>+K25+'13'!M25+L25</f>
        <v>0</v>
      </c>
      <c r="N25" s="152" t="s">
        <v>581</v>
      </c>
      <c r="O25" s="152">
        <v>740</v>
      </c>
      <c r="P25" s="152">
        <f t="shared" ref="P25:P27" si="10">+O25-(O25*0.14)</f>
        <v>636.4</v>
      </c>
      <c r="Q25" s="152">
        <v>480</v>
      </c>
      <c r="R25" s="152">
        <f t="shared" ref="R25:R27" si="11">+O25*Q25</f>
        <v>355200</v>
      </c>
      <c r="S25" s="152">
        <f t="shared" ref="S25:S27" si="12">+P25*Q25</f>
        <v>305472</v>
      </c>
    </row>
    <row r="26" spans="1:19" ht="13.5" thickBot="1">
      <c r="A26" s="799"/>
      <c r="B26" s="218"/>
      <c r="C26" s="229"/>
      <c r="D26" s="220"/>
      <c r="E26" s="230"/>
      <c r="F26" s="231">
        <v>6</v>
      </c>
      <c r="G26" s="583" t="s">
        <v>13</v>
      </c>
      <c r="H26" s="236" t="s">
        <v>617</v>
      </c>
      <c r="I26" s="797"/>
      <c r="J26" s="217">
        <f>+'13'!J26</f>
        <v>0</v>
      </c>
      <c r="K26" s="242"/>
      <c r="L26" s="242"/>
      <c r="M26" s="120">
        <f>+K26+'13'!M26+L26</f>
        <v>0</v>
      </c>
    </row>
    <row r="27" spans="1:19" ht="26.25" thickBot="1">
      <c r="A27" s="799"/>
      <c r="B27" s="218"/>
      <c r="C27" s="219"/>
      <c r="D27" s="220"/>
      <c r="E27" s="228"/>
      <c r="F27" s="231">
        <v>6</v>
      </c>
      <c r="G27" s="240" t="s">
        <v>14</v>
      </c>
      <c r="H27" s="236" t="s">
        <v>747</v>
      </c>
      <c r="I27" s="797"/>
      <c r="J27" s="217">
        <f>+'13'!J27</f>
        <v>0</v>
      </c>
      <c r="K27" s="242"/>
      <c r="L27" s="242"/>
      <c r="M27" s="120">
        <f>+K27+'13'!M27+L27</f>
        <v>0</v>
      </c>
      <c r="P27" s="152">
        <f t="shared" si="10"/>
        <v>0</v>
      </c>
      <c r="R27" s="152">
        <f t="shared" si="11"/>
        <v>0</v>
      </c>
      <c r="S27" s="152">
        <f t="shared" si="12"/>
        <v>0</v>
      </c>
    </row>
    <row r="28" spans="1:19" ht="26.25" thickBot="1">
      <c r="A28" s="799"/>
      <c r="B28" s="218"/>
      <c r="C28" s="219"/>
      <c r="D28" s="220"/>
      <c r="E28" s="228"/>
      <c r="F28" s="234"/>
      <c r="G28" s="235"/>
      <c r="H28" s="236" t="s">
        <v>614</v>
      </c>
      <c r="I28" s="797"/>
      <c r="J28" s="217">
        <f>+'13'!J28</f>
        <v>0</v>
      </c>
      <c r="K28" s="242"/>
      <c r="L28" s="242"/>
      <c r="M28" s="120">
        <f>+K28+'13'!M28+L28</f>
        <v>0</v>
      </c>
    </row>
    <row r="29" spans="1:19" ht="13.5" thickBot="1">
      <c r="A29" s="799"/>
      <c r="B29" s="218"/>
      <c r="C29" s="219"/>
      <c r="D29" s="220"/>
      <c r="E29" s="228"/>
      <c r="F29" s="239"/>
      <c r="G29" s="235"/>
      <c r="H29" s="236"/>
      <c r="I29" s="797"/>
      <c r="J29" s="217">
        <f>+'13'!J29</f>
        <v>0</v>
      </c>
      <c r="K29" s="242"/>
      <c r="L29" s="242"/>
      <c r="M29" s="120">
        <f>+K29+'13'!M29+L29</f>
        <v>0</v>
      </c>
    </row>
    <row r="30" spans="1:19" ht="13.5" thickBot="1">
      <c r="A30" s="799"/>
      <c r="B30" s="218"/>
      <c r="C30" s="229"/>
      <c r="D30" s="220"/>
      <c r="E30" s="228"/>
      <c r="F30" s="239"/>
      <c r="G30" s="235"/>
      <c r="H30" s="236"/>
      <c r="I30" s="797"/>
      <c r="J30" s="217">
        <f>+'13'!J30</f>
        <v>0</v>
      </c>
      <c r="K30" s="242"/>
      <c r="L30" s="242"/>
      <c r="M30" s="120">
        <f>+K30+'13'!M30+L30</f>
        <v>0</v>
      </c>
    </row>
    <row r="31" spans="1:19" ht="13.5" thickBot="1">
      <c r="A31" s="799"/>
      <c r="B31" s="218"/>
      <c r="C31" s="229"/>
      <c r="D31" s="220"/>
      <c r="E31" s="228"/>
      <c r="F31" s="239"/>
      <c r="G31" s="240"/>
      <c r="H31" s="237"/>
      <c r="I31" s="798"/>
      <c r="J31" s="217">
        <f>+'13'!J31</f>
        <v>0</v>
      </c>
      <c r="K31" s="242"/>
      <c r="L31" s="242"/>
      <c r="M31" s="120">
        <f>+K31+'13'!M31+L31</f>
        <v>0</v>
      </c>
    </row>
    <row r="32" spans="1:19" ht="13.5" thickBot="1">
      <c r="A32" s="800"/>
      <c r="B32" s="168" t="s">
        <v>3</v>
      </c>
      <c r="C32" s="102">
        <f>SUM(C25:C31)</f>
        <v>16193</v>
      </c>
      <c r="D32" s="103">
        <f>SUM(D25:D31)</f>
        <v>0</v>
      </c>
      <c r="E32" s="104">
        <f>SUM(E25:E31)</f>
        <v>0</v>
      </c>
      <c r="F32" s="105">
        <f>SUM(F24:F31)</f>
        <v>16</v>
      </c>
      <c r="G32" s="174"/>
      <c r="H32" s="175"/>
      <c r="I32" s="172"/>
      <c r="J32" s="217">
        <f>+'13'!J32</f>
        <v>0</v>
      </c>
      <c r="K32" s="244"/>
      <c r="L32" s="246"/>
      <c r="M32" s="120">
        <f>+K32+'13'!M32+L32</f>
        <v>0</v>
      </c>
      <c r="Q32" s="179">
        <f>SUM(Q25:Q31)</f>
        <v>480</v>
      </c>
      <c r="R32" s="179">
        <f>SUM(R25:R31)</f>
        <v>355200</v>
      </c>
      <c r="S32" s="179">
        <f>SUM(S25:S31)</f>
        <v>305472</v>
      </c>
    </row>
    <row r="33" spans="1:19" ht="13.5" thickBot="1">
      <c r="A33" s="176"/>
      <c r="B33" s="177"/>
      <c r="C33" s="106">
        <f>C32/($C$32+$D$32+$E$32)</f>
        <v>1</v>
      </c>
      <c r="D33" s="107">
        <f>D32/($C$32+$D$32+$E$32)</f>
        <v>0</v>
      </c>
      <c r="E33" s="108">
        <f>E32/($C$32+$D$32+$E$32)</f>
        <v>0</v>
      </c>
      <c r="F33" s="109"/>
      <c r="G33" s="178"/>
      <c r="H33" s="179"/>
      <c r="I33" s="180"/>
      <c r="J33" s="124"/>
      <c r="K33" s="125"/>
      <c r="L33" s="216"/>
      <c r="M33" s="122"/>
      <c r="Q33" s="152">
        <f>480-Q32</f>
        <v>0</v>
      </c>
      <c r="R33" s="179">
        <f>+R32/Q32</f>
        <v>740</v>
      </c>
      <c r="S33" s="179">
        <f>+S32/Q32</f>
        <v>636.4</v>
      </c>
    </row>
    <row r="34" spans="1:19" ht="13.5" thickBot="1">
      <c r="A34" s="801" t="s">
        <v>70</v>
      </c>
      <c r="B34" s="802"/>
      <c r="C34" s="110">
        <f>C14+C23+C32</f>
        <v>51557</v>
      </c>
      <c r="D34" s="110">
        <f>D14+D23+D32</f>
        <v>0</v>
      </c>
      <c r="E34" s="110">
        <f>E14+E23+E32</f>
        <v>0</v>
      </c>
      <c r="F34" s="111">
        <f>F14+F23+F32</f>
        <v>47</v>
      </c>
      <c r="H34" s="181"/>
      <c r="I34" s="181"/>
      <c r="J34" s="126" t="s">
        <v>29</v>
      </c>
      <c r="K34" s="127">
        <f>SUM(K7:K32)</f>
        <v>51557</v>
      </c>
      <c r="L34" s="215">
        <f>SUM(L7:L32)</f>
        <v>0</v>
      </c>
      <c r="M34" s="123">
        <f>SUM(M7:M32)</f>
        <v>593973</v>
      </c>
    </row>
    <row r="35" spans="1:19" ht="13.5" thickBot="1">
      <c r="A35" s="182"/>
      <c r="B35" s="183"/>
      <c r="C35" s="107">
        <f>C34/($C$34+$D$34+$E$34)</f>
        <v>1</v>
      </c>
      <c r="D35" s="107">
        <f>D34/($C$34+$D$34+$E$34)</f>
        <v>0</v>
      </c>
      <c r="E35" s="112">
        <f>E34/($C$34+$D$34+$E$34)</f>
        <v>0</v>
      </c>
      <c r="K35" s="158"/>
      <c r="L35" s="792" t="s">
        <v>187</v>
      </c>
      <c r="M35" s="792"/>
    </row>
    <row r="36" spans="1:19" ht="13.5" thickBot="1">
      <c r="A36" s="181"/>
      <c r="B36" s="181"/>
      <c r="C36" s="158"/>
      <c r="D36" s="158"/>
      <c r="E36" s="158"/>
      <c r="G36" s="158"/>
      <c r="H36" s="184"/>
      <c r="I36" s="165" t="s">
        <v>41</v>
      </c>
      <c r="J36" s="165" t="s">
        <v>42</v>
      </c>
      <c r="K36" s="185"/>
      <c r="L36" s="165" t="s">
        <v>41</v>
      </c>
      <c r="M36" s="165" t="s">
        <v>42</v>
      </c>
      <c r="N36" s="158"/>
    </row>
    <row r="37" spans="1:19" ht="17.45" customHeight="1" thickBot="1">
      <c r="A37" s="790" t="s">
        <v>71</v>
      </c>
      <c r="B37" s="791"/>
      <c r="C37" s="165" t="s">
        <v>72</v>
      </c>
      <c r="D37" s="186" t="s">
        <v>73</v>
      </c>
      <c r="E37" s="187" t="s">
        <v>74</v>
      </c>
      <c r="F37" s="365"/>
      <c r="G37" s="367"/>
      <c r="H37" s="189" t="s">
        <v>75</v>
      </c>
      <c r="I37" s="247">
        <f>(22*1440)/1440*G42*2.75*1440/1000000</f>
        <v>55.692912</v>
      </c>
      <c r="J37" s="128">
        <f>+I37+'13'!J37</f>
        <v>647.60977469587738</v>
      </c>
      <c r="K37" s="129" t="s">
        <v>76</v>
      </c>
      <c r="L37" s="426"/>
      <c r="M37" s="427"/>
      <c r="N37" s="559"/>
    </row>
    <row r="38" spans="1:19" ht="17.45" customHeight="1">
      <c r="A38" s="786" t="s">
        <v>13</v>
      </c>
      <c r="B38" s="787"/>
      <c r="C38" s="167">
        <f>SUMIF($G$7:$G$31,"Process",$F$7:$F$31)</f>
        <v>28</v>
      </c>
      <c r="D38" s="121">
        <f>+C38+'13'!D38</f>
        <v>1119</v>
      </c>
      <c r="E38" s="146">
        <f t="shared" ref="E38:E51" si="13">D38/60</f>
        <v>18.649999999999999</v>
      </c>
      <c r="F38" s="365">
        <v>740</v>
      </c>
      <c r="G38" s="365">
        <v>636.4</v>
      </c>
      <c r="H38" s="190" t="s">
        <v>77</v>
      </c>
      <c r="I38" s="547">
        <f>16.78+17.499+18.524</f>
        <v>52.802999999999997</v>
      </c>
      <c r="J38" s="130">
        <f>+I38+'13'!J38</f>
        <v>609.21529999999996</v>
      </c>
      <c r="K38" s="131" t="s">
        <v>76</v>
      </c>
      <c r="L38" s="428"/>
      <c r="M38" s="429"/>
      <c r="N38" s="559"/>
    </row>
    <row r="39" spans="1:19" ht="17.45" customHeight="1">
      <c r="A39" s="782" t="s">
        <v>14</v>
      </c>
      <c r="B39" s="783"/>
      <c r="C39" s="167">
        <f>SUMIF($G$7:$G$31,"Cleaning",$F$7:$F$31)</f>
        <v>19</v>
      </c>
      <c r="D39" s="121">
        <f>+C39+'13'!D39</f>
        <v>158</v>
      </c>
      <c r="E39" s="146">
        <f t="shared" si="13"/>
        <v>2.6333333333333333</v>
      </c>
      <c r="F39" s="365">
        <v>750</v>
      </c>
      <c r="G39" s="365">
        <v>645</v>
      </c>
      <c r="H39" s="190" t="s">
        <v>78</v>
      </c>
      <c r="I39" s="145"/>
      <c r="J39" s="132">
        <f>J37/G4</f>
        <v>46.257841049705526</v>
      </c>
      <c r="K39" s="133" t="s">
        <v>76</v>
      </c>
      <c r="L39" s="428"/>
      <c r="M39" s="429"/>
    </row>
    <row r="40" spans="1:19" ht="17.45" customHeight="1">
      <c r="A40" s="782" t="s">
        <v>79</v>
      </c>
      <c r="B40" s="783"/>
      <c r="C40" s="167">
        <f>SUMIF($G$7:$G$31,"Mechanical",$F$7:$F$31)</f>
        <v>0</v>
      </c>
      <c r="D40" s="121">
        <f>+C40+'13'!D40</f>
        <v>120</v>
      </c>
      <c r="E40" s="146">
        <f t="shared" si="13"/>
        <v>2</v>
      </c>
      <c r="F40" s="365">
        <v>740</v>
      </c>
      <c r="G40" s="365">
        <v>636.4</v>
      </c>
      <c r="H40" s="190" t="s">
        <v>80</v>
      </c>
      <c r="I40" s="121">
        <f>(K34+L34)/1000</f>
        <v>51.557000000000002</v>
      </c>
      <c r="J40" s="134">
        <f>+I40+'13'!J40</f>
        <v>593.97300000000007</v>
      </c>
      <c r="K40" s="133" t="s">
        <v>76</v>
      </c>
      <c r="L40" s="428"/>
      <c r="M40" s="429"/>
    </row>
    <row r="41" spans="1:19" ht="17.45" customHeight="1">
      <c r="A41" s="782" t="s">
        <v>81</v>
      </c>
      <c r="B41" s="783"/>
      <c r="C41" s="167">
        <f>SUMIF($G$7:$G$31,"Electrical",$F$7:$F$31)</f>
        <v>0</v>
      </c>
      <c r="D41" s="121">
        <f>+C41+'13'!D41</f>
        <v>65</v>
      </c>
      <c r="E41" s="146">
        <f t="shared" si="13"/>
        <v>1.0833333333333333</v>
      </c>
      <c r="F41" s="365"/>
      <c r="G41" s="365"/>
      <c r="H41" s="190" t="s">
        <v>82</v>
      </c>
      <c r="I41" s="145"/>
      <c r="J41" s="132">
        <f>J40/G4</f>
        <v>42.426642857142859</v>
      </c>
      <c r="K41" s="133" t="s">
        <v>76</v>
      </c>
      <c r="L41" s="428"/>
      <c r="M41" s="429"/>
    </row>
    <row r="42" spans="1:19" ht="17.45" customHeight="1">
      <c r="A42" s="782" t="s">
        <v>17</v>
      </c>
      <c r="B42" s="783"/>
      <c r="C42" s="167">
        <f>SUMIF($G$7:$G$31,"Instrument",$F$7:$F$31)</f>
        <v>0</v>
      </c>
      <c r="D42" s="121">
        <f>+C42+'13'!D42</f>
        <v>0</v>
      </c>
      <c r="E42" s="146">
        <f t="shared" si="13"/>
        <v>0</v>
      </c>
      <c r="F42" s="365">
        <f>+(F38*480+F39*480+F40*480)/1440</f>
        <v>743.33333333333337</v>
      </c>
      <c r="G42" s="365">
        <f>+(G38*480+G39*480+G40*480)/1440</f>
        <v>639.26666666666665</v>
      </c>
      <c r="H42" s="190" t="s">
        <v>83</v>
      </c>
      <c r="I42" s="249" t="s">
        <v>616</v>
      </c>
      <c r="J42" s="135"/>
      <c r="K42" s="133" t="s">
        <v>84</v>
      </c>
      <c r="L42" s="428"/>
      <c r="M42" s="429"/>
    </row>
    <row r="43" spans="1:19" ht="17.45" customHeight="1">
      <c r="A43" s="782" t="s">
        <v>202</v>
      </c>
      <c r="B43" s="783"/>
      <c r="C43" s="167">
        <f>SUMIF($G$7:$G$31,"Change GRade",$F$7:$F$31)</f>
        <v>0</v>
      </c>
      <c r="D43" s="121">
        <f>+C43+'13'!D43</f>
        <v>0</v>
      </c>
      <c r="E43" s="146">
        <f t="shared" si="13"/>
        <v>0</v>
      </c>
      <c r="F43" s="365"/>
      <c r="G43" s="366"/>
      <c r="H43" s="191" t="s">
        <v>86</v>
      </c>
      <c r="I43" s="121">
        <f>+Report1!AH22</f>
        <v>69.599999999999994</v>
      </c>
      <c r="J43" s="136">
        <f>+I43+'13'!J43</f>
        <v>866.90000000000009</v>
      </c>
      <c r="K43" s="133" t="s">
        <v>76</v>
      </c>
      <c r="L43" s="430">
        <f>+Report1!AN22</f>
        <v>0</v>
      </c>
      <c r="M43" s="431">
        <f>+L43+'13'!M43</f>
        <v>0</v>
      </c>
    </row>
    <row r="44" spans="1:19" ht="17.45" customHeight="1">
      <c r="A44" s="782" t="s">
        <v>18</v>
      </c>
      <c r="B44" s="783"/>
      <c r="C44" s="167">
        <f>SUMIF($G$7:$G$31,"PLN",$F$7:$F$31)</f>
        <v>0</v>
      </c>
      <c r="D44" s="121">
        <f>+C44+'13'!D44</f>
        <v>0</v>
      </c>
      <c r="E44" s="146">
        <f t="shared" si="13"/>
        <v>0</v>
      </c>
      <c r="F44" s="365"/>
      <c r="G44" s="366"/>
      <c r="H44" s="191" t="s">
        <v>87</v>
      </c>
      <c r="I44" s="121">
        <f>I43/I38</f>
        <v>1.3181069257428555</v>
      </c>
      <c r="J44" s="137">
        <f>J43/J38</f>
        <v>1.4229780506169167</v>
      </c>
      <c r="K44" s="133" t="s">
        <v>76</v>
      </c>
      <c r="L44" s="432">
        <f>+L43/I38</f>
        <v>0</v>
      </c>
      <c r="M44" s="433">
        <f>+M43/J38</f>
        <v>0</v>
      </c>
    </row>
    <row r="45" spans="1:19" ht="17.45" customHeight="1">
      <c r="A45" s="782" t="s">
        <v>19</v>
      </c>
      <c r="B45" s="783"/>
      <c r="C45" s="167">
        <f>SUMIF($G$7:$G$31,"Boiler",$F$7:$F$31)</f>
        <v>0</v>
      </c>
      <c r="D45" s="121">
        <f>+C45+'13'!D45</f>
        <v>0</v>
      </c>
      <c r="E45" s="146">
        <f t="shared" si="13"/>
        <v>0</v>
      </c>
      <c r="F45" s="365"/>
      <c r="G45" s="368"/>
      <c r="H45" s="191" t="s">
        <v>88</v>
      </c>
      <c r="I45" s="121">
        <f>I43/I40</f>
        <v>1.349962177783812</v>
      </c>
      <c r="J45" s="137">
        <f>J43/J40</f>
        <v>1.459493950061703</v>
      </c>
      <c r="K45" s="133" t="s">
        <v>76</v>
      </c>
      <c r="L45" s="432">
        <f>+L43/I40</f>
        <v>0</v>
      </c>
      <c r="M45" s="433">
        <f>+M43/J40</f>
        <v>0</v>
      </c>
    </row>
    <row r="46" spans="1:19" ht="17.45" customHeight="1">
      <c r="A46" s="782" t="s">
        <v>89</v>
      </c>
      <c r="B46" s="783"/>
      <c r="C46" s="167">
        <f>SUMIF($G$7:$G$31,"Gas",$F$7:$F$31)</f>
        <v>0</v>
      </c>
      <c r="D46" s="121">
        <f>+C46+'13'!D46</f>
        <v>0</v>
      </c>
      <c r="E46" s="146">
        <f t="shared" si="13"/>
        <v>0</v>
      </c>
      <c r="F46" s="365"/>
      <c r="G46" s="366"/>
      <c r="H46" s="191" t="s">
        <v>90</v>
      </c>
      <c r="I46" s="143">
        <f>+SUMIF(Listrik!P21,"&gt;0")</f>
        <v>37134.599999999919</v>
      </c>
      <c r="J46" s="138">
        <f>+I46+'13'!J46</f>
        <v>502596.17999999993</v>
      </c>
      <c r="K46" s="133" t="s">
        <v>91</v>
      </c>
      <c r="L46" s="432">
        <f>+Listrik!AF21</f>
        <v>0</v>
      </c>
      <c r="M46" s="434">
        <f>+L46+'13'!M46</f>
        <v>0</v>
      </c>
    </row>
    <row r="47" spans="1:19" ht="17.45" customHeight="1">
      <c r="A47" s="782" t="s">
        <v>92</v>
      </c>
      <c r="B47" s="783"/>
      <c r="C47" s="167">
        <f>SUMIF($G$7:$G$31,"Gas",$F$7:$F$31)</f>
        <v>0</v>
      </c>
      <c r="D47" s="121">
        <f>+C47+'13'!D47</f>
        <v>0</v>
      </c>
      <c r="E47" s="146">
        <f t="shared" si="13"/>
        <v>0</v>
      </c>
      <c r="F47" s="365"/>
      <c r="G47" s="366"/>
      <c r="H47" s="191" t="s">
        <v>93</v>
      </c>
      <c r="I47" s="121">
        <f>I46/I38</f>
        <v>703.2668598375077</v>
      </c>
      <c r="J47" s="138">
        <f>J46/J38</f>
        <v>824.9894249208777</v>
      </c>
      <c r="K47" s="133" t="s">
        <v>25</v>
      </c>
      <c r="L47" s="432">
        <f>+L46/I38</f>
        <v>0</v>
      </c>
      <c r="M47" s="433">
        <f>+M46/J38</f>
        <v>0</v>
      </c>
    </row>
    <row r="48" spans="1:19" ht="17.45" customHeight="1">
      <c r="A48" s="782" t="s">
        <v>15</v>
      </c>
      <c r="B48" s="783"/>
      <c r="C48" s="167">
        <f>SUMIF($G$7:$G$31,"Start Up",$F$7:$F$31)</f>
        <v>0</v>
      </c>
      <c r="D48" s="121">
        <f>+C48+'13'!D48</f>
        <v>0</v>
      </c>
      <c r="E48" s="146">
        <f t="shared" si="13"/>
        <v>0</v>
      </c>
      <c r="F48" s="365"/>
      <c r="G48" s="366"/>
      <c r="H48" s="191" t="s">
        <v>94</v>
      </c>
      <c r="I48" s="121">
        <f>I46/I40</f>
        <v>720.26300987256661</v>
      </c>
      <c r="J48" s="138">
        <f>J46/J40</f>
        <v>846.15997696864986</v>
      </c>
      <c r="K48" s="133" t="s">
        <v>25</v>
      </c>
      <c r="L48" s="432">
        <f>+L46/I38</f>
        <v>0</v>
      </c>
      <c r="M48" s="433">
        <f>+M46/J40</f>
        <v>0</v>
      </c>
    </row>
    <row r="49" spans="1:13" ht="17.45" customHeight="1">
      <c r="A49" s="782" t="s">
        <v>21</v>
      </c>
      <c r="B49" s="783"/>
      <c r="C49" s="167">
        <f>SUMIF($G$7:$G$31,"Others",$F$7:$F$31)</f>
        <v>0</v>
      </c>
      <c r="D49" s="121">
        <f>+C49+'13'!D49</f>
        <v>924</v>
      </c>
      <c r="E49" s="146">
        <f t="shared" si="13"/>
        <v>15.4</v>
      </c>
      <c r="F49" s="188"/>
      <c r="H49" s="191" t="s">
        <v>95</v>
      </c>
      <c r="I49" s="121">
        <f>+Report1!AB22</f>
        <v>4389.4903583406885</v>
      </c>
      <c r="J49" s="138">
        <f>+I49+'13'!J49</f>
        <v>52497.843164686696</v>
      </c>
      <c r="K49" s="133" t="s">
        <v>96</v>
      </c>
      <c r="L49" s="428"/>
      <c r="M49" s="429"/>
    </row>
    <row r="50" spans="1:13" ht="17.45" customHeight="1">
      <c r="A50" s="782" t="s">
        <v>20</v>
      </c>
      <c r="B50" s="783"/>
      <c r="C50" s="167">
        <f>SUMIF($G$7:$G$31,"Steam",$F$7:$F$31)</f>
        <v>0</v>
      </c>
      <c r="D50" s="121">
        <f>+C50+'13'!D50</f>
        <v>0</v>
      </c>
      <c r="E50" s="146">
        <f t="shared" si="13"/>
        <v>0</v>
      </c>
      <c r="F50" s="188"/>
      <c r="H50" s="191" t="s">
        <v>97</v>
      </c>
      <c r="I50" s="143">
        <f>I49/I38</f>
        <v>83.129563819114225</v>
      </c>
      <c r="J50" s="136">
        <f>J49/J38</f>
        <v>86.172890215801701</v>
      </c>
      <c r="K50" s="133" t="s">
        <v>96</v>
      </c>
      <c r="L50" s="428"/>
      <c r="M50" s="429"/>
    </row>
    <row r="51" spans="1:13" ht="17.45" customHeight="1" thickBot="1">
      <c r="A51" s="784" t="s">
        <v>98</v>
      </c>
      <c r="B51" s="785"/>
      <c r="C51" s="167">
        <f>SUMIF($G$7:$G$31,"Planned shut",$F$7:$F$31)</f>
        <v>0</v>
      </c>
      <c r="D51" s="121">
        <f>+C51+'13'!D51</f>
        <v>0</v>
      </c>
      <c r="E51" s="146">
        <f t="shared" si="13"/>
        <v>0</v>
      </c>
      <c r="F51" s="188"/>
      <c r="H51" s="193" t="s">
        <v>99</v>
      </c>
      <c r="I51" s="144">
        <f>I49/I40</f>
        <v>85.138591429693122</v>
      </c>
      <c r="J51" s="139">
        <f>J49/J40</f>
        <v>88.384224812721598</v>
      </c>
      <c r="K51" s="140" t="s">
        <v>96</v>
      </c>
      <c r="L51" s="428"/>
      <c r="M51" s="429"/>
    </row>
    <row r="52" spans="1:13" ht="13.5" thickBot="1">
      <c r="A52" s="786" t="s">
        <v>29</v>
      </c>
      <c r="B52" s="787"/>
      <c r="C52" s="147">
        <f>SUM(C38:C51)</f>
        <v>47</v>
      </c>
      <c r="D52" s="147">
        <f>SUM(D38:D51)</f>
        <v>2386</v>
      </c>
      <c r="E52" s="148">
        <f>SUM(E38:E51)</f>
        <v>39.766666666666666</v>
      </c>
      <c r="F52" s="188"/>
      <c r="H52" s="194"/>
      <c r="I52" s="195"/>
      <c r="J52" s="141"/>
      <c r="K52" s="142"/>
      <c r="L52" s="435"/>
      <c r="M52" s="436"/>
    </row>
    <row r="53" spans="1:13" ht="13.5" thickBot="1">
      <c r="A53" s="788"/>
      <c r="B53" s="789"/>
      <c r="C53" s="149">
        <f>C52/(24*60)</f>
        <v>3.2638888888888891E-2</v>
      </c>
      <c r="D53" s="149">
        <f>D52/(24*60*G4)</f>
        <v>0.1183531746031746</v>
      </c>
      <c r="E53" s="150">
        <f>E52/(G4*24)</f>
        <v>0.1183531746031746</v>
      </c>
      <c r="F53" s="188"/>
    </row>
    <row r="54" spans="1:13">
      <c r="E54" s="196"/>
      <c r="F54" s="188"/>
    </row>
    <row r="55" spans="1:13">
      <c r="E55" s="196"/>
    </row>
    <row r="56" spans="1:13">
      <c r="A56" s="197" t="s">
        <v>100</v>
      </c>
      <c r="B56" s="198"/>
      <c r="C56" s="199"/>
      <c r="D56" s="199"/>
      <c r="E56" s="199"/>
      <c r="F56" s="200"/>
      <c r="G56" s="199"/>
      <c r="H56" s="201"/>
      <c r="I56" s="202" t="s">
        <v>101</v>
      </c>
      <c r="J56" s="203">
        <f>+D34+'13'!J56</f>
        <v>1230</v>
      </c>
      <c r="K56" s="204">
        <f>J56/(J40+J56/1000)/1000</f>
        <v>2.0665218421278119E-3</v>
      </c>
    </row>
    <row r="57" spans="1:13">
      <c r="A57" s="179"/>
      <c r="I57" s="202" t="s">
        <v>102</v>
      </c>
      <c r="J57" s="203">
        <f>+E34+'13'!J57</f>
        <v>0</v>
      </c>
      <c r="K57" s="204">
        <f>J57/(J40+J57/1000)/1000</f>
        <v>0</v>
      </c>
    </row>
    <row r="58" spans="1:13">
      <c r="A58" s="205"/>
      <c r="B58" s="206"/>
      <c r="F58" s="188"/>
      <c r="H58" s="207"/>
      <c r="J58" s="152">
        <v>325</v>
      </c>
    </row>
    <row r="59" spans="1:13">
      <c r="A59" s="208"/>
      <c r="B59" s="179"/>
      <c r="C59" s="179"/>
      <c r="D59" s="179"/>
      <c r="E59" s="179"/>
      <c r="F59" s="192"/>
      <c r="G59" s="179"/>
      <c r="H59" s="207"/>
      <c r="J59" s="158">
        <f>+J56+J58</f>
        <v>1555</v>
      </c>
    </row>
    <row r="60" spans="1:13">
      <c r="H60" s="207"/>
    </row>
    <row r="61" spans="1:13">
      <c r="A61" s="209"/>
      <c r="B61" s="210"/>
      <c r="C61" s="210"/>
      <c r="D61" s="210"/>
      <c r="E61" s="210"/>
      <c r="F61" s="211"/>
      <c r="G61" s="210"/>
      <c r="H61" s="212"/>
    </row>
  </sheetData>
  <mergeCells count="25">
    <mergeCell ref="A46:B46"/>
    <mergeCell ref="A47:B47"/>
    <mergeCell ref="A52:B52"/>
    <mergeCell ref="A53:B53"/>
    <mergeCell ref="A48:B48"/>
    <mergeCell ref="A49:B49"/>
    <mergeCell ref="A50:B50"/>
    <mergeCell ref="A51:B51"/>
    <mergeCell ref="A40:B40"/>
    <mergeCell ref="A41:B41"/>
    <mergeCell ref="A44:B44"/>
    <mergeCell ref="A45:B45"/>
    <mergeCell ref="A42:B42"/>
    <mergeCell ref="A43:B43"/>
    <mergeCell ref="A37:B37"/>
    <mergeCell ref="I24:I31"/>
    <mergeCell ref="A24:A32"/>
    <mergeCell ref="A38:B38"/>
    <mergeCell ref="A39:B39"/>
    <mergeCell ref="L35:M35"/>
    <mergeCell ref="A7:A14"/>
    <mergeCell ref="I7:I13"/>
    <mergeCell ref="A15:A23"/>
    <mergeCell ref="I15:I22"/>
    <mergeCell ref="A34:B34"/>
  </mergeCells>
  <phoneticPr fontId="31"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Z61"/>
  <sheetViews>
    <sheetView view="pageBreakPreview" topLeftCell="H16" zoomScale="85" zoomScaleNormal="70" zoomScaleSheetLayoutView="85" workbookViewId="0">
      <selection activeCell="O36" sqref="O36:P37"/>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9.7109375" style="152" bestFit="1" customWidth="1"/>
    <col min="11" max="11" width="12.5703125" style="152" bestFit="1" customWidth="1"/>
    <col min="12" max="12" width="8.28515625" style="152" customWidth="1"/>
    <col min="13" max="13" width="12.140625" style="152"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13</v>
      </c>
      <c r="H4" s="157" t="str">
        <f>+'1'!H4</f>
        <v>.03.26</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568</v>
      </c>
      <c r="O6" s="152">
        <v>1000</v>
      </c>
      <c r="P6" s="152">
        <f>+O6-(O6*0.14)</f>
        <v>860</v>
      </c>
      <c r="Q6" s="152">
        <f>60+49</f>
        <v>109</v>
      </c>
      <c r="R6" s="152">
        <f t="shared" ref="R6:R8" si="0">+O6*Q6</f>
        <v>109000</v>
      </c>
      <c r="S6" s="152">
        <f t="shared" ref="S6:S8" si="1">+P6*Q6</f>
        <v>93740</v>
      </c>
      <c r="U6" s="152" t="s">
        <v>568</v>
      </c>
      <c r="V6" s="152">
        <v>1000</v>
      </c>
      <c r="W6" s="152">
        <f>+V6-(V6*0.14)</f>
        <v>860</v>
      </c>
      <c r="X6" s="152">
        <f>60+49</f>
        <v>109</v>
      </c>
      <c r="Y6" s="152">
        <f t="shared" ref="Y6:Y9" si="2">+V6*X6</f>
        <v>109000</v>
      </c>
      <c r="Z6" s="152">
        <f t="shared" ref="Z6:Z9" si="3">+W6*X6</f>
        <v>93740</v>
      </c>
    </row>
    <row r="7" spans="1:26" ht="13.5" customHeight="1" thickBot="1">
      <c r="A7" s="793" t="s">
        <v>432</v>
      </c>
      <c r="B7" s="218" t="s">
        <v>578</v>
      </c>
      <c r="C7" s="219">
        <v>12359</v>
      </c>
      <c r="D7" s="220"/>
      <c r="E7" s="221"/>
      <c r="F7" s="231"/>
      <c r="G7" s="232" t="s">
        <v>13</v>
      </c>
      <c r="H7" s="233" t="s">
        <v>391</v>
      </c>
      <c r="I7" s="796" t="s">
        <v>600</v>
      </c>
      <c r="J7" s="217" t="str">
        <f>+'12'!J7</f>
        <v>T 14 RC HW</v>
      </c>
      <c r="K7" s="241"/>
      <c r="L7" s="245"/>
      <c r="M7" s="120">
        <f>+K7+'12'!M7+L7</f>
        <v>41293</v>
      </c>
      <c r="O7" s="152">
        <v>1020</v>
      </c>
      <c r="P7" s="152">
        <f t="shared" ref="P7:P8" si="4">+O7-(O7*0.14)</f>
        <v>877.2</v>
      </c>
      <c r="Q7" s="152">
        <f>480-Q6</f>
        <v>371</v>
      </c>
      <c r="R7" s="152">
        <f t="shared" si="0"/>
        <v>378420</v>
      </c>
      <c r="S7" s="152">
        <f t="shared" si="1"/>
        <v>325441.2</v>
      </c>
      <c r="V7" s="152">
        <v>1020</v>
      </c>
      <c r="W7" s="152">
        <f t="shared" ref="W7" si="5">+V7-(V7*0.14)</f>
        <v>877.2</v>
      </c>
      <c r="X7" s="152">
        <f>480-X6</f>
        <v>371</v>
      </c>
      <c r="Y7" s="152">
        <f t="shared" si="2"/>
        <v>378420</v>
      </c>
      <c r="Z7" s="152">
        <f t="shared" si="3"/>
        <v>325441.2</v>
      </c>
    </row>
    <row r="8" spans="1:26" ht="13.5" thickBot="1">
      <c r="A8" s="794"/>
      <c r="B8" s="218" t="s">
        <v>589</v>
      </c>
      <c r="C8" s="219">
        <v>1088</v>
      </c>
      <c r="D8" s="220"/>
      <c r="E8" s="222"/>
      <c r="F8" s="234">
        <v>4</v>
      </c>
      <c r="G8" s="583" t="s">
        <v>13</v>
      </c>
      <c r="H8" s="233" t="s">
        <v>474</v>
      </c>
      <c r="I8" s="797"/>
      <c r="J8" s="217" t="str">
        <f>+'12'!J8</f>
        <v>T 15,5 RC HW</v>
      </c>
      <c r="K8" s="242"/>
      <c r="L8" s="242"/>
      <c r="M8" s="120">
        <f>+K8+'12'!M8+L8</f>
        <v>139937</v>
      </c>
      <c r="P8" s="152">
        <f t="shared" si="4"/>
        <v>0</v>
      </c>
      <c r="R8" s="152">
        <f t="shared" si="0"/>
        <v>0</v>
      </c>
      <c r="S8" s="152">
        <f t="shared" si="1"/>
        <v>0</v>
      </c>
      <c r="U8" s="152" t="s">
        <v>568</v>
      </c>
      <c r="V8" s="152">
        <v>1030</v>
      </c>
      <c r="W8" s="152">
        <v>885.8</v>
      </c>
      <c r="X8" s="152">
        <v>480</v>
      </c>
      <c r="Y8" s="152">
        <f t="shared" si="2"/>
        <v>494400</v>
      </c>
      <c r="Z8" s="152">
        <f t="shared" si="3"/>
        <v>425184</v>
      </c>
    </row>
    <row r="9" spans="1:26" ht="13.5" thickBot="1">
      <c r="A9" s="794"/>
      <c r="B9" s="218"/>
      <c r="C9" s="219"/>
      <c r="D9" s="220"/>
      <c r="E9" s="223"/>
      <c r="F9" s="231">
        <v>8</v>
      </c>
      <c r="G9" s="583" t="s">
        <v>13</v>
      </c>
      <c r="H9" s="236" t="s">
        <v>422</v>
      </c>
      <c r="I9" s="797"/>
      <c r="J9" s="217" t="str">
        <f>+'12'!J9</f>
        <v>T 13,5 RC HW</v>
      </c>
      <c r="K9" s="242"/>
      <c r="L9" s="242"/>
      <c r="M9" s="120">
        <f>+K9+'12'!M9+L9</f>
        <v>31497</v>
      </c>
      <c r="U9" s="152" t="s">
        <v>568</v>
      </c>
      <c r="V9" s="152">
        <v>1030</v>
      </c>
      <c r="W9" s="152">
        <v>885.8</v>
      </c>
      <c r="X9" s="152">
        <v>5</v>
      </c>
      <c r="Y9" s="152">
        <f t="shared" si="2"/>
        <v>5150</v>
      </c>
      <c r="Z9" s="152">
        <f t="shared" si="3"/>
        <v>4429</v>
      </c>
    </row>
    <row r="10" spans="1:26" ht="26.25" thickBot="1">
      <c r="A10" s="794"/>
      <c r="B10" s="218"/>
      <c r="C10" s="219"/>
      <c r="D10" s="220"/>
      <c r="E10" s="222"/>
      <c r="F10" s="231"/>
      <c r="G10" s="240" t="s">
        <v>14</v>
      </c>
      <c r="H10" s="236" t="s">
        <v>567</v>
      </c>
      <c r="I10" s="797"/>
      <c r="J10" s="217" t="str">
        <f>+'12'!J10</f>
        <v>T 20 RC HW</v>
      </c>
      <c r="K10" s="242"/>
      <c r="L10" s="242"/>
      <c r="M10" s="120">
        <f>+K10+'12'!M10+L10</f>
        <v>35769</v>
      </c>
    </row>
    <row r="11" spans="1:26" ht="13.5" thickBot="1">
      <c r="A11" s="794"/>
      <c r="B11" s="218"/>
      <c r="C11" s="219"/>
      <c r="D11" s="220"/>
      <c r="E11" s="222"/>
      <c r="F11" s="231"/>
      <c r="G11" s="235"/>
      <c r="H11" s="236" t="s">
        <v>599</v>
      </c>
      <c r="I11" s="797"/>
      <c r="J11" s="217" t="str">
        <f>+'12'!J11</f>
        <v>T 17 RC HW</v>
      </c>
      <c r="K11" s="242"/>
      <c r="L11" s="242"/>
      <c r="M11" s="120">
        <f>+K11+'12'!M11+L11</f>
        <v>18517</v>
      </c>
    </row>
    <row r="12" spans="1:26" ht="13.5" thickBot="1">
      <c r="A12" s="794"/>
      <c r="B12" s="218"/>
      <c r="C12" s="219"/>
      <c r="D12" s="220"/>
      <c r="E12" s="222"/>
      <c r="F12" s="231"/>
      <c r="G12" s="235"/>
      <c r="H12" s="236"/>
      <c r="I12" s="797"/>
      <c r="J12" s="217" t="str">
        <f>+'12'!J12</f>
        <v>T 16 RC HW</v>
      </c>
      <c r="K12" s="242"/>
      <c r="L12" s="242"/>
      <c r="M12" s="120">
        <f>+K12+'12'!M12+L12</f>
        <v>38417</v>
      </c>
    </row>
    <row r="13" spans="1:26" ht="13.5" thickBot="1">
      <c r="A13" s="794"/>
      <c r="B13" s="218"/>
      <c r="C13" s="219"/>
      <c r="D13" s="219"/>
      <c r="E13" s="222"/>
      <c r="F13" s="231"/>
      <c r="G13" s="235"/>
      <c r="H13" s="236"/>
      <c r="I13" s="798"/>
      <c r="J13" s="217" t="str">
        <f>+'12'!J13</f>
        <v>N 15,5 RC HW</v>
      </c>
      <c r="K13" s="242">
        <f>+C7+C25+C16</f>
        <v>34816</v>
      </c>
      <c r="L13" s="242"/>
      <c r="M13" s="120">
        <f>+K13+'12'!M13+L13</f>
        <v>72746</v>
      </c>
      <c r="Q13" s="179">
        <f>SUM(Q6:Q12)</f>
        <v>480</v>
      </c>
      <c r="R13" s="179">
        <f>SUM(R6:R12)</f>
        <v>487420</v>
      </c>
      <c r="S13" s="179">
        <f>SUM(S6:S12)</f>
        <v>419181.2</v>
      </c>
      <c r="X13" s="179">
        <f>SUM(X6:X12)</f>
        <v>965</v>
      </c>
      <c r="Y13" s="179">
        <f>SUM(Y6:Y12)</f>
        <v>986970</v>
      </c>
      <c r="Z13" s="179">
        <f>SUM(Z6:Z12)</f>
        <v>848794.2</v>
      </c>
    </row>
    <row r="14" spans="1:26" ht="13.5" thickBot="1">
      <c r="A14" s="795"/>
      <c r="B14" s="168" t="s">
        <v>3</v>
      </c>
      <c r="C14" s="102">
        <f>SUM(C7:C13)</f>
        <v>13447</v>
      </c>
      <c r="D14" s="114">
        <f>SUM(D7:D13)</f>
        <v>0</v>
      </c>
      <c r="E14" s="115">
        <f>SUM(E5:E13)</f>
        <v>0</v>
      </c>
      <c r="F14" s="105">
        <f>SUM(F6:F13)</f>
        <v>12</v>
      </c>
      <c r="G14" s="162"/>
      <c r="H14" s="169"/>
      <c r="I14" s="170"/>
      <c r="J14" s="217" t="str">
        <f>+'12'!J14</f>
        <v>TW 22 RC HW</v>
      </c>
      <c r="K14" s="242">
        <f>+C8+C26</f>
        <v>13879</v>
      </c>
      <c r="L14" s="242"/>
      <c r="M14" s="120">
        <f>+K14+'12'!M14+L14</f>
        <v>164240</v>
      </c>
      <c r="Q14" s="152">
        <f>480-Q13</f>
        <v>0</v>
      </c>
      <c r="R14" s="179">
        <f>+R13/Q13</f>
        <v>1015.4583333333334</v>
      </c>
      <c r="S14" s="179">
        <f>+S13/Q13</f>
        <v>873.29416666666668</v>
      </c>
      <c r="X14" s="152">
        <f>480-X13</f>
        <v>-485</v>
      </c>
      <c r="Y14" s="179">
        <f>+Y13/X13</f>
        <v>1022.7668393782384</v>
      </c>
      <c r="Z14" s="179">
        <f>+Z13/X13</f>
        <v>879.57948186528495</v>
      </c>
    </row>
    <row r="15" spans="1:26" ht="13.5" customHeight="1" thickBot="1">
      <c r="A15" s="793" t="s">
        <v>477</v>
      </c>
      <c r="B15" s="168"/>
      <c r="C15" s="116">
        <f>C14/($C$23+$D$23+$E$23)</f>
        <v>0.80574030798729701</v>
      </c>
      <c r="D15" s="117">
        <f>D14/($C$23+$D$23+$E$23)</f>
        <v>0</v>
      </c>
      <c r="E15" s="118">
        <f>E14/($C$23+$D$23+$E$23)</f>
        <v>0</v>
      </c>
      <c r="F15" s="231"/>
      <c r="G15" s="232" t="s">
        <v>13</v>
      </c>
      <c r="H15" s="233" t="s">
        <v>391</v>
      </c>
      <c r="I15" s="796" t="s">
        <v>601</v>
      </c>
      <c r="J15" s="217">
        <f>+'12'!J15</f>
        <v>0</v>
      </c>
      <c r="K15" s="242"/>
      <c r="L15" s="242"/>
      <c r="M15" s="120">
        <f>+K15+'12'!M15+L15</f>
        <v>0</v>
      </c>
    </row>
    <row r="16" spans="1:26" ht="13.5" thickBot="1">
      <c r="A16" s="799"/>
      <c r="B16" s="218" t="s">
        <v>578</v>
      </c>
      <c r="C16" s="225">
        <v>16689</v>
      </c>
      <c r="D16" s="226"/>
      <c r="E16" s="227"/>
      <c r="F16" s="234">
        <v>4</v>
      </c>
      <c r="G16" s="583" t="s">
        <v>13</v>
      </c>
      <c r="H16" s="233" t="s">
        <v>455</v>
      </c>
      <c r="I16" s="797"/>
      <c r="J16" s="217">
        <f>+'12'!J16</f>
        <v>0</v>
      </c>
      <c r="K16" s="242"/>
      <c r="L16" s="232"/>
      <c r="M16" s="120">
        <f>+K16+'12'!M16+L16</f>
        <v>0</v>
      </c>
      <c r="N16" s="152" t="s">
        <v>568</v>
      </c>
      <c r="O16" s="152">
        <v>1030</v>
      </c>
      <c r="P16" s="152">
        <f>+O16-(O16*0.14)</f>
        <v>885.8</v>
      </c>
      <c r="Q16" s="152">
        <v>480</v>
      </c>
      <c r="R16" s="152">
        <f t="shared" ref="R16:R18" si="6">+O16*Q16</f>
        <v>494400</v>
      </c>
      <c r="S16" s="152">
        <f t="shared" ref="S16:S18" si="7">+P16*Q16</f>
        <v>425184</v>
      </c>
    </row>
    <row r="17" spans="1:19" ht="13.5" thickBot="1">
      <c r="A17" s="799"/>
      <c r="B17" s="218"/>
      <c r="C17" s="219"/>
      <c r="D17" s="220"/>
      <c r="E17" s="228"/>
      <c r="F17" s="231">
        <v>7</v>
      </c>
      <c r="G17" s="583" t="s">
        <v>13</v>
      </c>
      <c r="H17" s="236" t="s">
        <v>419</v>
      </c>
      <c r="I17" s="797"/>
      <c r="J17" s="217">
        <f>+'12'!J17</f>
        <v>0</v>
      </c>
      <c r="K17" s="242"/>
      <c r="L17" s="232"/>
      <c r="M17" s="120">
        <f>+K17+'12'!M17+L17</f>
        <v>0</v>
      </c>
      <c r="P17" s="152">
        <f t="shared" ref="P17:P18" si="8">+O17-(O17*0.14)</f>
        <v>0</v>
      </c>
      <c r="Q17" s="152">
        <f>480-Q16</f>
        <v>0</v>
      </c>
      <c r="R17" s="152">
        <f t="shared" si="6"/>
        <v>0</v>
      </c>
      <c r="S17" s="152">
        <f t="shared" si="7"/>
        <v>0</v>
      </c>
    </row>
    <row r="18" spans="1:19" ht="26.25" thickBot="1">
      <c r="A18" s="799"/>
      <c r="B18" s="218"/>
      <c r="C18" s="219"/>
      <c r="D18" s="220"/>
      <c r="E18" s="228"/>
      <c r="F18" s="231">
        <v>8</v>
      </c>
      <c r="G18" s="240" t="s">
        <v>14</v>
      </c>
      <c r="H18" s="236" t="s">
        <v>598</v>
      </c>
      <c r="I18" s="797"/>
      <c r="J18" s="217">
        <f>+'12'!J18</f>
        <v>0</v>
      </c>
      <c r="K18" s="242"/>
      <c r="L18" s="242"/>
      <c r="M18" s="120">
        <f>+K18+'12'!M18+L18</f>
        <v>0</v>
      </c>
      <c r="P18" s="152">
        <f t="shared" si="8"/>
        <v>0</v>
      </c>
      <c r="R18" s="152">
        <f t="shared" si="6"/>
        <v>0</v>
      </c>
      <c r="S18" s="152">
        <f t="shared" si="7"/>
        <v>0</v>
      </c>
    </row>
    <row r="19" spans="1:19" ht="13.5" thickBot="1">
      <c r="A19" s="799"/>
      <c r="B19" s="218"/>
      <c r="C19" s="219"/>
      <c r="D19" s="220"/>
      <c r="E19" s="228"/>
      <c r="F19" s="238"/>
      <c r="G19" s="235"/>
      <c r="H19" s="236"/>
      <c r="I19" s="797"/>
      <c r="J19" s="217">
        <f>+'12'!J19</f>
        <v>0</v>
      </c>
      <c r="K19" s="242"/>
      <c r="L19" s="242"/>
      <c r="M19" s="120">
        <f>+K19+'12'!M19+L19</f>
        <v>0</v>
      </c>
    </row>
    <row r="20" spans="1:19" ht="13.5" thickBot="1">
      <c r="A20" s="799"/>
      <c r="B20" s="218"/>
      <c r="C20" s="219"/>
      <c r="D20" s="220"/>
      <c r="E20" s="228"/>
      <c r="F20" s="231"/>
      <c r="G20" s="235"/>
      <c r="H20" s="236"/>
      <c r="I20" s="797"/>
      <c r="J20" s="217">
        <f>+'12'!J20</f>
        <v>0</v>
      </c>
      <c r="K20" s="242"/>
      <c r="L20" s="243"/>
      <c r="M20" s="120">
        <f>+K20+'12'!M20+L20</f>
        <v>0</v>
      </c>
    </row>
    <row r="21" spans="1:19" ht="13.5" thickBot="1">
      <c r="A21" s="799"/>
      <c r="B21" s="218"/>
      <c r="C21" s="219"/>
      <c r="D21" s="220"/>
      <c r="E21" s="228"/>
      <c r="F21" s="234"/>
      <c r="G21" s="235"/>
      <c r="H21" s="236"/>
      <c r="I21" s="797"/>
      <c r="J21" s="217">
        <f>+'12'!J21</f>
        <v>0</v>
      </c>
      <c r="K21" s="242"/>
      <c r="L21" s="242"/>
      <c r="M21" s="120">
        <f>+K21+'12'!M21+L21</f>
        <v>0</v>
      </c>
    </row>
    <row r="22" spans="1:19" ht="16.5" customHeight="1" thickBot="1">
      <c r="A22" s="799"/>
      <c r="B22" s="218"/>
      <c r="C22" s="219"/>
      <c r="D22" s="220"/>
      <c r="E22" s="228"/>
      <c r="F22" s="239"/>
      <c r="G22" s="235"/>
      <c r="H22" s="236"/>
      <c r="I22" s="798"/>
      <c r="J22" s="217">
        <f>+'12'!J22</f>
        <v>0</v>
      </c>
      <c r="K22" s="242"/>
      <c r="L22" s="242"/>
      <c r="M22" s="120">
        <f>+K22+'12'!M22+L22</f>
        <v>0</v>
      </c>
    </row>
    <row r="23" spans="1:19" ht="13.5" thickBot="1">
      <c r="A23" s="800"/>
      <c r="B23" s="168" t="s">
        <v>3</v>
      </c>
      <c r="C23" s="103">
        <f>SUM(C16:C22)</f>
        <v>16689</v>
      </c>
      <c r="D23" s="114">
        <f>SUM(D16:D22)</f>
        <v>0</v>
      </c>
      <c r="E23" s="115">
        <f>SUM(E18:E22)</f>
        <v>0</v>
      </c>
      <c r="F23" s="105">
        <f>SUM(F15:F22)</f>
        <v>19</v>
      </c>
      <c r="G23" s="162"/>
      <c r="H23" s="169"/>
      <c r="I23" s="172"/>
      <c r="J23" s="217">
        <f>+'12'!J23</f>
        <v>0</v>
      </c>
      <c r="K23" s="242"/>
      <c r="L23" s="242"/>
      <c r="M23" s="120">
        <f>+K23+'12'!M23+L23</f>
        <v>0</v>
      </c>
      <c r="Q23" s="179">
        <f>SUM(Q16:Q22)</f>
        <v>480</v>
      </c>
      <c r="R23" s="179">
        <f>SUM(R16:R22)</f>
        <v>494400</v>
      </c>
      <c r="S23" s="179">
        <f>SUM(S16:S22)</f>
        <v>425184</v>
      </c>
    </row>
    <row r="24" spans="1:19" ht="13.5" customHeight="1" thickBot="1">
      <c r="A24" s="793" t="s">
        <v>430</v>
      </c>
      <c r="B24" s="173"/>
      <c r="C24" s="116">
        <f>C23/($C$23+$D$23+$E$23)</f>
        <v>1</v>
      </c>
      <c r="D24" s="117">
        <f>D23/($C$23+$D$23+$E$23)</f>
        <v>0</v>
      </c>
      <c r="E24" s="118">
        <f>E23/($C$23+$D$23+$E$23)</f>
        <v>0</v>
      </c>
      <c r="F24" s="231">
        <v>2</v>
      </c>
      <c r="G24" s="232" t="s">
        <v>13</v>
      </c>
      <c r="H24" s="233" t="s">
        <v>453</v>
      </c>
      <c r="I24" s="796" t="s">
        <v>746</v>
      </c>
      <c r="J24" s="217">
        <f>+'12'!J24</f>
        <v>0</v>
      </c>
      <c r="K24" s="242"/>
      <c r="L24" s="242"/>
      <c r="M24" s="120">
        <f>+K24+'12'!M24+L24</f>
        <v>0</v>
      </c>
      <c r="Q24" s="152">
        <f>480-Q23</f>
        <v>0</v>
      </c>
      <c r="R24" s="179">
        <f>+R23/Q23</f>
        <v>1030</v>
      </c>
      <c r="S24" s="179">
        <f>+S23/Q23</f>
        <v>885.8</v>
      </c>
    </row>
    <row r="25" spans="1:19" ht="13.5" thickBot="1">
      <c r="A25" s="799"/>
      <c r="B25" s="218" t="s">
        <v>578</v>
      </c>
      <c r="C25" s="229">
        <f>18559-C26</f>
        <v>5768</v>
      </c>
      <c r="D25" s="220"/>
      <c r="E25" s="228"/>
      <c r="F25" s="234">
        <v>3</v>
      </c>
      <c r="G25" s="583" t="s">
        <v>13</v>
      </c>
      <c r="H25" s="233" t="s">
        <v>420</v>
      </c>
      <c r="I25" s="797"/>
      <c r="J25" s="217">
        <f>+'12'!J25</f>
        <v>0</v>
      </c>
      <c r="K25" s="242"/>
      <c r="L25" s="242"/>
      <c r="M25" s="120">
        <f>+K25+'12'!M25+L25</f>
        <v>0</v>
      </c>
    </row>
    <row r="26" spans="1:19" ht="13.5" thickBot="1">
      <c r="A26" s="799"/>
      <c r="B26" s="218" t="s">
        <v>589</v>
      </c>
      <c r="C26" s="229">
        <v>12791</v>
      </c>
      <c r="D26" s="220"/>
      <c r="E26" s="230"/>
      <c r="F26" s="231">
        <v>4</v>
      </c>
      <c r="G26" s="583" t="s">
        <v>13</v>
      </c>
      <c r="H26" s="236" t="s">
        <v>473</v>
      </c>
      <c r="I26" s="797"/>
      <c r="J26" s="217">
        <f>+'12'!J26</f>
        <v>0</v>
      </c>
      <c r="K26" s="242"/>
      <c r="L26" s="242"/>
      <c r="M26" s="120">
        <f>+K26+'12'!M26+L26</f>
        <v>0</v>
      </c>
      <c r="N26" s="152" t="s">
        <v>568</v>
      </c>
      <c r="O26" s="152">
        <v>1030</v>
      </c>
      <c r="P26" s="152">
        <f>+O26-(O26*0.14)</f>
        <v>885.8</v>
      </c>
      <c r="Q26" s="152">
        <v>5</v>
      </c>
      <c r="R26" s="152">
        <f t="shared" ref="R26:R28" si="9">+O26*Q26</f>
        <v>5150</v>
      </c>
      <c r="S26" s="152">
        <f t="shared" ref="S26:S28" si="10">+P26*Q26</f>
        <v>4429</v>
      </c>
    </row>
    <row r="27" spans="1:19" ht="26.25" thickBot="1">
      <c r="A27" s="799"/>
      <c r="B27" s="218"/>
      <c r="C27" s="219"/>
      <c r="D27" s="220"/>
      <c r="E27" s="228"/>
      <c r="F27" s="231">
        <v>4</v>
      </c>
      <c r="G27" s="240" t="s">
        <v>14</v>
      </c>
      <c r="H27" s="236" t="s">
        <v>597</v>
      </c>
      <c r="I27" s="797"/>
      <c r="J27" s="217">
        <f>+'12'!J27</f>
        <v>0</v>
      </c>
      <c r="K27" s="242"/>
      <c r="L27" s="242"/>
      <c r="M27" s="120">
        <f>+K27+'12'!M27+L27</f>
        <v>0</v>
      </c>
      <c r="N27" s="152" t="s">
        <v>581</v>
      </c>
      <c r="O27" s="152">
        <v>740</v>
      </c>
      <c r="P27" s="152">
        <f t="shared" ref="P27:P28" si="11">+O27-(O27*0.14)</f>
        <v>636.4</v>
      </c>
      <c r="Q27" s="152">
        <f>480-Q26</f>
        <v>475</v>
      </c>
      <c r="R27" s="152">
        <f t="shared" si="9"/>
        <v>351500</v>
      </c>
      <c r="S27" s="152">
        <f t="shared" si="10"/>
        <v>302290</v>
      </c>
    </row>
    <row r="28" spans="1:19" ht="13.5" thickBot="1">
      <c r="A28" s="799"/>
      <c r="B28" s="218"/>
      <c r="C28" s="219"/>
      <c r="D28" s="220"/>
      <c r="E28" s="228"/>
      <c r="F28" s="234"/>
      <c r="G28" s="235"/>
      <c r="H28" s="236" t="s">
        <v>745</v>
      </c>
      <c r="I28" s="797"/>
      <c r="J28" s="217">
        <f>+'12'!J28</f>
        <v>0</v>
      </c>
      <c r="K28" s="242"/>
      <c r="L28" s="242"/>
      <c r="M28" s="120">
        <f>+K28+'12'!M28+L28</f>
        <v>0</v>
      </c>
      <c r="P28" s="152">
        <f t="shared" si="11"/>
        <v>0</v>
      </c>
      <c r="R28" s="152">
        <f t="shared" si="9"/>
        <v>0</v>
      </c>
      <c r="S28" s="152">
        <f t="shared" si="10"/>
        <v>0</v>
      </c>
    </row>
    <row r="29" spans="1:19" ht="13.5" thickBot="1">
      <c r="A29" s="799"/>
      <c r="B29" s="218"/>
      <c r="C29" s="219"/>
      <c r="D29" s="220"/>
      <c r="E29" s="228"/>
      <c r="F29" s="239"/>
      <c r="G29" s="235"/>
      <c r="H29" s="236"/>
      <c r="I29" s="797"/>
      <c r="J29" s="217">
        <f>+'12'!J29</f>
        <v>0</v>
      </c>
      <c r="K29" s="242"/>
      <c r="L29" s="242"/>
      <c r="M29" s="120">
        <f>+K29+'12'!M29+L29</f>
        <v>0</v>
      </c>
    </row>
    <row r="30" spans="1:19" ht="13.5" thickBot="1">
      <c r="A30" s="799"/>
      <c r="B30" s="218"/>
      <c r="C30" s="229"/>
      <c r="D30" s="220"/>
      <c r="E30" s="228"/>
      <c r="F30" s="239"/>
      <c r="G30" s="235"/>
      <c r="H30" s="236"/>
      <c r="I30" s="797"/>
      <c r="J30" s="217">
        <f>+'12'!J30</f>
        <v>0</v>
      </c>
      <c r="K30" s="242"/>
      <c r="L30" s="242"/>
      <c r="M30" s="120">
        <f>+K30+'12'!M30+L30</f>
        <v>0</v>
      </c>
    </row>
    <row r="31" spans="1:19" ht="13.5" thickBot="1">
      <c r="A31" s="799"/>
      <c r="B31" s="218"/>
      <c r="C31" s="229"/>
      <c r="D31" s="220"/>
      <c r="E31" s="228"/>
      <c r="F31" s="239"/>
      <c r="G31" s="240"/>
      <c r="H31" s="237"/>
      <c r="I31" s="798"/>
      <c r="J31" s="217">
        <f>+'12'!J31</f>
        <v>0</v>
      </c>
      <c r="K31" s="242"/>
      <c r="L31" s="242"/>
      <c r="M31" s="120">
        <f>+K31+'12'!M31+L31</f>
        <v>0</v>
      </c>
    </row>
    <row r="32" spans="1:19" ht="13.5" thickBot="1">
      <c r="A32" s="800"/>
      <c r="B32" s="168" t="s">
        <v>3</v>
      </c>
      <c r="C32" s="102">
        <f>SUM(C25:C31)</f>
        <v>18559</v>
      </c>
      <c r="D32" s="103">
        <f>SUM(D25:D31)</f>
        <v>0</v>
      </c>
      <c r="E32" s="104">
        <f>SUM(E25:E31)</f>
        <v>0</v>
      </c>
      <c r="F32" s="105">
        <f>SUM(F24:F31)</f>
        <v>13</v>
      </c>
      <c r="G32" s="174"/>
      <c r="H32" s="175"/>
      <c r="I32" s="172"/>
      <c r="J32" s="217">
        <f>+'12'!J32</f>
        <v>0</v>
      </c>
      <c r="K32" s="244"/>
      <c r="L32" s="246"/>
      <c r="M32" s="120">
        <f>+K32+'12'!M32+L32</f>
        <v>0</v>
      </c>
    </row>
    <row r="33" spans="1:19" ht="13.5" thickBot="1">
      <c r="A33" s="176"/>
      <c r="B33" s="177"/>
      <c r="C33" s="106">
        <f>C32/($C$32+$D$32+$E$32)</f>
        <v>1</v>
      </c>
      <c r="D33" s="107">
        <f>D32/($C$32+$D$32+$E$32)</f>
        <v>0</v>
      </c>
      <c r="E33" s="108">
        <f>E32/($C$32+$D$32+$E$32)</f>
        <v>0</v>
      </c>
      <c r="F33" s="109"/>
      <c r="G33" s="178"/>
      <c r="H33" s="179"/>
      <c r="I33" s="180"/>
      <c r="J33" s="124"/>
      <c r="K33" s="125"/>
      <c r="L33" s="216"/>
      <c r="M33" s="122"/>
      <c r="Q33" s="179">
        <f>SUM(Q26:Q32)</f>
        <v>480</v>
      </c>
      <c r="R33" s="179">
        <f>SUM(R26:R32)</f>
        <v>356650</v>
      </c>
      <c r="S33" s="179">
        <f>SUM(S26:S32)</f>
        <v>306719</v>
      </c>
    </row>
    <row r="34" spans="1:19" ht="13.5" thickBot="1">
      <c r="A34" s="801" t="s">
        <v>70</v>
      </c>
      <c r="B34" s="802"/>
      <c r="C34" s="110">
        <f>C14+C23+C32</f>
        <v>48695</v>
      </c>
      <c r="D34" s="110">
        <f>D14+D23+D32</f>
        <v>0</v>
      </c>
      <c r="E34" s="110">
        <f>E14+E23+E32</f>
        <v>0</v>
      </c>
      <c r="F34" s="111">
        <f>F14+F23+F32</f>
        <v>44</v>
      </c>
      <c r="H34" s="181"/>
      <c r="I34" s="181"/>
      <c r="J34" s="126" t="s">
        <v>29</v>
      </c>
      <c r="K34" s="127">
        <f>SUM(K7:K32)</f>
        <v>48695</v>
      </c>
      <c r="L34" s="215">
        <f>SUM(L7:L32)</f>
        <v>0</v>
      </c>
      <c r="M34" s="123">
        <f>SUM(M7:M32)</f>
        <v>542416</v>
      </c>
      <c r="Q34" s="152">
        <f>480-Q33</f>
        <v>0</v>
      </c>
      <c r="R34" s="179">
        <f>+R33/Q33</f>
        <v>743.02083333333337</v>
      </c>
      <c r="S34" s="179">
        <f>+S33/Q33</f>
        <v>638.9979166666667</v>
      </c>
    </row>
    <row r="35" spans="1:19" ht="13.5" thickBot="1">
      <c r="A35" s="182"/>
      <c r="B35" s="183"/>
      <c r="C35" s="107">
        <f>C34/($C$34+$D$34+$E$34)</f>
        <v>1</v>
      </c>
      <c r="D35" s="107">
        <f>D34/($C$34+$D$34+$E$34)</f>
        <v>0</v>
      </c>
      <c r="E35" s="112">
        <f>E34/($C$34+$D$34+$E$34)</f>
        <v>0</v>
      </c>
      <c r="K35" s="158"/>
      <c r="L35" s="792" t="s">
        <v>187</v>
      </c>
      <c r="M35" s="792"/>
    </row>
    <row r="36" spans="1:19" ht="13.5" thickBot="1">
      <c r="A36" s="181"/>
      <c r="B36" s="181"/>
      <c r="C36" s="158"/>
      <c r="D36" s="158"/>
      <c r="E36" s="158"/>
      <c r="G36" s="158"/>
      <c r="H36" s="184"/>
      <c r="I36" s="165" t="s">
        <v>41</v>
      </c>
      <c r="J36" s="165" t="s">
        <v>42</v>
      </c>
      <c r="K36" s="185"/>
      <c r="L36" s="165" t="s">
        <v>41</v>
      </c>
      <c r="M36" s="165" t="s">
        <v>42</v>
      </c>
      <c r="N36" s="152" t="s">
        <v>568</v>
      </c>
      <c r="O36" s="152">
        <v>1022.7668393782384</v>
      </c>
      <c r="P36" s="152">
        <v>879.57948186528495</v>
      </c>
      <c r="Q36" s="152">
        <v>965</v>
      </c>
    </row>
    <row r="37" spans="1:19" ht="17.45" customHeight="1" thickBot="1">
      <c r="A37" s="790" t="s">
        <v>71</v>
      </c>
      <c r="B37" s="791"/>
      <c r="C37" s="165" t="s">
        <v>72</v>
      </c>
      <c r="D37" s="186" t="s">
        <v>73</v>
      </c>
      <c r="E37" s="187" t="s">
        <v>74</v>
      </c>
      <c r="F37" s="365"/>
      <c r="G37" s="367"/>
      <c r="H37" s="189" t="s">
        <v>75</v>
      </c>
      <c r="I37" s="247">
        <f>(15.5*965+22*475)/1440*G42*2.75*1440/1000000</f>
        <v>55.852064223350681</v>
      </c>
      <c r="J37" s="128">
        <f>+I37+'12'!J37</f>
        <v>591.9168626958774</v>
      </c>
      <c r="K37" s="129" t="s">
        <v>76</v>
      </c>
      <c r="L37" s="426"/>
      <c r="M37" s="427"/>
      <c r="N37" s="152" t="s">
        <v>581</v>
      </c>
      <c r="O37" s="558">
        <v>740</v>
      </c>
      <c r="P37" s="152">
        <v>636.4</v>
      </c>
      <c r="Q37" s="152">
        <v>475</v>
      </c>
    </row>
    <row r="38" spans="1:19" ht="17.45" customHeight="1">
      <c r="A38" s="786" t="s">
        <v>13</v>
      </c>
      <c r="B38" s="787"/>
      <c r="C38" s="167">
        <f>SUMIF($G$7:$G$31,"Process",$F$7:$F$31)</f>
        <v>32</v>
      </c>
      <c r="D38" s="121">
        <f>+C38+'12'!D38</f>
        <v>1091</v>
      </c>
      <c r="E38" s="146">
        <f t="shared" ref="E38:E51" si="12">D38/60</f>
        <v>18.183333333333334</v>
      </c>
      <c r="F38" s="365">
        <v>1015.4583333333334</v>
      </c>
      <c r="G38" s="365">
        <v>873.29416666666668</v>
      </c>
      <c r="H38" s="190" t="s">
        <v>77</v>
      </c>
      <c r="I38" s="547">
        <f>16.736+16.848+17.556</f>
        <v>51.14</v>
      </c>
      <c r="J38" s="130">
        <f>+I38+'12'!J38</f>
        <v>556.41229999999996</v>
      </c>
      <c r="K38" s="131" t="s">
        <v>76</v>
      </c>
      <c r="L38" s="428"/>
      <c r="M38" s="429"/>
      <c r="Q38" s="152">
        <f>+Q36+Q37</f>
        <v>1440</v>
      </c>
    </row>
    <row r="39" spans="1:19" ht="17.45" customHeight="1">
      <c r="A39" s="782" t="s">
        <v>14</v>
      </c>
      <c r="B39" s="783"/>
      <c r="C39" s="167">
        <f>SUMIF($G$7:$G$31,"Cleaning",$F$7:$F$31)</f>
        <v>12</v>
      </c>
      <c r="D39" s="121">
        <f>+C39+'12'!D39</f>
        <v>139</v>
      </c>
      <c r="E39" s="146">
        <f t="shared" si="12"/>
        <v>2.3166666666666669</v>
      </c>
      <c r="F39" s="365">
        <v>1030</v>
      </c>
      <c r="G39" s="365">
        <v>885.8</v>
      </c>
      <c r="H39" s="190" t="s">
        <v>78</v>
      </c>
      <c r="I39" s="145"/>
      <c r="J39" s="132">
        <f>J37/G4</f>
        <v>45.532066361221339</v>
      </c>
      <c r="K39" s="133" t="s">
        <v>76</v>
      </c>
      <c r="L39" s="428"/>
      <c r="M39" s="429"/>
    </row>
    <row r="40" spans="1:19" ht="17.45" customHeight="1">
      <c r="A40" s="782" t="s">
        <v>79</v>
      </c>
      <c r="B40" s="783"/>
      <c r="C40" s="167">
        <f>SUMIF($G$7:$G$31,"Mechanical",$F$7:$F$31)</f>
        <v>0</v>
      </c>
      <c r="D40" s="121">
        <f>+C40+'12'!D40</f>
        <v>120</v>
      </c>
      <c r="E40" s="146">
        <f t="shared" si="12"/>
        <v>2</v>
      </c>
      <c r="F40" s="365">
        <v>743.02083333333337</v>
      </c>
      <c r="G40" s="365">
        <v>638.9979166666667</v>
      </c>
      <c r="H40" s="190" t="s">
        <v>80</v>
      </c>
      <c r="I40" s="121">
        <f>(K34+L34)/1000</f>
        <v>48.695</v>
      </c>
      <c r="J40" s="134">
        <f>+I40+'12'!J40</f>
        <v>542.41600000000005</v>
      </c>
      <c r="K40" s="133" t="s">
        <v>76</v>
      </c>
      <c r="L40" s="428"/>
      <c r="M40" s="429"/>
    </row>
    <row r="41" spans="1:19" ht="17.45" customHeight="1">
      <c r="A41" s="782" t="s">
        <v>81</v>
      </c>
      <c r="B41" s="783"/>
      <c r="C41" s="167">
        <f>SUMIF($G$7:$G$31,"Electrical",$F$7:$F$31)</f>
        <v>0</v>
      </c>
      <c r="D41" s="121">
        <f>+C41+'12'!D41</f>
        <v>65</v>
      </c>
      <c r="E41" s="146">
        <f t="shared" si="12"/>
        <v>1.0833333333333333</v>
      </c>
      <c r="F41" s="365"/>
      <c r="G41" s="365"/>
      <c r="H41" s="190" t="s">
        <v>82</v>
      </c>
      <c r="I41" s="145"/>
      <c r="J41" s="132">
        <f>J40/G4</f>
        <v>41.724307692307697</v>
      </c>
      <c r="K41" s="133" t="s">
        <v>76</v>
      </c>
      <c r="L41" s="428"/>
      <c r="M41" s="429"/>
    </row>
    <row r="42" spans="1:19" ht="17.45" customHeight="1">
      <c r="A42" s="782" t="s">
        <v>17</v>
      </c>
      <c r="B42" s="783"/>
      <c r="C42" s="167">
        <f>SUMIF($G$7:$G$31,"Instrument",$F$7:$F$31)</f>
        <v>0</v>
      </c>
      <c r="D42" s="121">
        <f>+C42+'12'!D42</f>
        <v>0</v>
      </c>
      <c r="E42" s="146">
        <f t="shared" si="12"/>
        <v>0</v>
      </c>
      <c r="F42" s="365">
        <f>+(480*F38+480*F39+480*F40)/1440</f>
        <v>929.49305555555554</v>
      </c>
      <c r="G42" s="365">
        <f>+(480*G38+480*G39+480*G40)/1440</f>
        <v>799.36402777777778</v>
      </c>
      <c r="H42" s="190" t="s">
        <v>83</v>
      </c>
      <c r="I42" s="249" t="s">
        <v>602</v>
      </c>
      <c r="J42" s="135"/>
      <c r="K42" s="133" t="s">
        <v>84</v>
      </c>
      <c r="L42" s="428"/>
      <c r="M42" s="429"/>
    </row>
    <row r="43" spans="1:19" ht="17.45" customHeight="1">
      <c r="A43" s="782" t="s">
        <v>85</v>
      </c>
      <c r="B43" s="783"/>
      <c r="C43" s="167">
        <f>SUMIF($G$7:$G$31,"Water",$F$7:$F$31)</f>
        <v>0</v>
      </c>
      <c r="D43" s="121">
        <f>+C43+'12'!D43</f>
        <v>0</v>
      </c>
      <c r="E43" s="146">
        <f t="shared" si="12"/>
        <v>0</v>
      </c>
      <c r="F43" s="365"/>
      <c r="G43" s="366"/>
      <c r="H43" s="191" t="s">
        <v>86</v>
      </c>
      <c r="I43" s="121">
        <f>+Report1!AH21</f>
        <v>69.599999999999994</v>
      </c>
      <c r="J43" s="136">
        <f>+I43+'12'!J43</f>
        <v>797.30000000000007</v>
      </c>
      <c r="K43" s="133" t="s">
        <v>76</v>
      </c>
      <c r="L43" s="430">
        <f>+Report1!AN21</f>
        <v>0</v>
      </c>
      <c r="M43" s="431">
        <f>+L43+'12'!M43</f>
        <v>0</v>
      </c>
    </row>
    <row r="44" spans="1:19" ht="17.45" customHeight="1">
      <c r="A44" s="782" t="s">
        <v>18</v>
      </c>
      <c r="B44" s="783"/>
      <c r="C44" s="167">
        <f>SUMIF($G$7:$G$31,"PLN",$F$7:$F$31)</f>
        <v>0</v>
      </c>
      <c r="D44" s="121">
        <f>+C44+'12'!D44</f>
        <v>0</v>
      </c>
      <c r="E44" s="146">
        <f t="shared" si="12"/>
        <v>0</v>
      </c>
      <c r="F44" s="365"/>
      <c r="G44" s="366"/>
      <c r="H44" s="191" t="s">
        <v>87</v>
      </c>
      <c r="I44" s="121">
        <f>I43/I38</f>
        <v>1.3609698865858426</v>
      </c>
      <c r="J44" s="137">
        <f>J43/J38</f>
        <v>1.4329302209890042</v>
      </c>
      <c r="K44" s="133" t="s">
        <v>76</v>
      </c>
      <c r="L44" s="432">
        <f>+L43/I38</f>
        <v>0</v>
      </c>
      <c r="M44" s="433">
        <f>+M43/J38</f>
        <v>0</v>
      </c>
    </row>
    <row r="45" spans="1:19" ht="17.45" customHeight="1">
      <c r="A45" s="782" t="s">
        <v>19</v>
      </c>
      <c r="B45" s="783"/>
      <c r="C45" s="167">
        <f>SUMIF($G$7:$G$31,"Boiler",$F$7:$F$31)</f>
        <v>0</v>
      </c>
      <c r="D45" s="121">
        <f>+C45+'12'!D45</f>
        <v>0</v>
      </c>
      <c r="E45" s="146">
        <f t="shared" si="12"/>
        <v>0</v>
      </c>
      <c r="F45" s="365"/>
      <c r="G45" s="368"/>
      <c r="H45" s="191" t="s">
        <v>88</v>
      </c>
      <c r="I45" s="121">
        <f>I43/I40</f>
        <v>1.4293048567614743</v>
      </c>
      <c r="J45" s="137">
        <f>J43/J40</f>
        <v>1.4699050175511046</v>
      </c>
      <c r="K45" s="133" t="s">
        <v>76</v>
      </c>
      <c r="L45" s="432">
        <f>+L43/I40</f>
        <v>0</v>
      </c>
      <c r="M45" s="433">
        <f>+M43/J40</f>
        <v>0</v>
      </c>
    </row>
    <row r="46" spans="1:19" ht="17.45" customHeight="1">
      <c r="A46" s="782" t="s">
        <v>89</v>
      </c>
      <c r="B46" s="783"/>
      <c r="C46" s="167">
        <f>SUMIF($G$7:$G$31,"Gas",$F$7:$F$31)</f>
        <v>0</v>
      </c>
      <c r="D46" s="121">
        <f>+C46+'12'!D46</f>
        <v>0</v>
      </c>
      <c r="E46" s="146">
        <f t="shared" si="12"/>
        <v>0</v>
      </c>
      <c r="F46" s="365"/>
      <c r="G46" s="366"/>
      <c r="H46" s="191" t="s">
        <v>90</v>
      </c>
      <c r="I46" s="143">
        <f>+SUMIF(Listrik!P20,"&gt;0")</f>
        <v>41775.779999999984</v>
      </c>
      <c r="J46" s="138">
        <f>+I46+'12'!J46</f>
        <v>465461.58</v>
      </c>
      <c r="K46" s="133" t="s">
        <v>91</v>
      </c>
      <c r="L46" s="432">
        <f>+Listrik!AF20</f>
        <v>0</v>
      </c>
      <c r="M46" s="434">
        <f>+L46+'12'!M46</f>
        <v>0</v>
      </c>
    </row>
    <row r="47" spans="1:19" ht="17.45" customHeight="1">
      <c r="A47" s="782" t="s">
        <v>92</v>
      </c>
      <c r="B47" s="783"/>
      <c r="C47" s="167">
        <f>SUMIF($G$7:$G$31,"Gas",$F$7:$F$31)</f>
        <v>0</v>
      </c>
      <c r="D47" s="121">
        <f>+C47+'12'!D47</f>
        <v>0</v>
      </c>
      <c r="E47" s="146">
        <f t="shared" si="12"/>
        <v>0</v>
      </c>
      <c r="F47" s="365"/>
      <c r="G47" s="366"/>
      <c r="H47" s="191" t="s">
        <v>93</v>
      </c>
      <c r="I47" s="121">
        <f>I46/I38</f>
        <v>816.89049667579161</v>
      </c>
      <c r="J47" s="138">
        <f>J46/J38</f>
        <v>836.54078099998878</v>
      </c>
      <c r="K47" s="133" t="s">
        <v>25</v>
      </c>
      <c r="L47" s="432">
        <f>+L46/I38</f>
        <v>0</v>
      </c>
      <c r="M47" s="433">
        <f>+M46/J38</f>
        <v>0</v>
      </c>
    </row>
    <row r="48" spans="1:19" ht="17.45" customHeight="1">
      <c r="A48" s="782" t="s">
        <v>15</v>
      </c>
      <c r="B48" s="783"/>
      <c r="C48" s="167">
        <f>SUMIF($G$7:$G$31,"Start Up",$F$7:$F$31)</f>
        <v>0</v>
      </c>
      <c r="D48" s="121">
        <f>+C48+'12'!D48</f>
        <v>0</v>
      </c>
      <c r="E48" s="146">
        <f t="shared" si="12"/>
        <v>0</v>
      </c>
      <c r="F48" s="365"/>
      <c r="G48" s="366"/>
      <c r="H48" s="191" t="s">
        <v>94</v>
      </c>
      <c r="I48" s="121">
        <f>I46/I40</f>
        <v>857.90697196837425</v>
      </c>
      <c r="J48" s="138">
        <f>J46/J40</f>
        <v>858.12656706291841</v>
      </c>
      <c r="K48" s="133" t="s">
        <v>25</v>
      </c>
      <c r="L48" s="432">
        <f>+L46/I38</f>
        <v>0</v>
      </c>
      <c r="M48" s="433">
        <f>+M46/J40</f>
        <v>0</v>
      </c>
    </row>
    <row r="49" spans="1:13" ht="17.45" customHeight="1">
      <c r="A49" s="782" t="s">
        <v>21</v>
      </c>
      <c r="B49" s="783"/>
      <c r="C49" s="167">
        <f>SUMIF($G$7:$G$31,"Others",$F$7:$F$31)</f>
        <v>0</v>
      </c>
      <c r="D49" s="121">
        <f>+C49+'12'!D49</f>
        <v>924</v>
      </c>
      <c r="E49" s="146">
        <f t="shared" si="12"/>
        <v>15.4</v>
      </c>
      <c r="F49" s="188"/>
      <c r="H49" s="191" t="s">
        <v>95</v>
      </c>
      <c r="I49" s="121">
        <f>+Report1!AB21</f>
        <v>4363.8426070276519</v>
      </c>
      <c r="J49" s="138">
        <f>+I49+'12'!J49</f>
        <v>48108.352806346003</v>
      </c>
      <c r="K49" s="133" t="s">
        <v>96</v>
      </c>
      <c r="L49" s="428"/>
      <c r="M49" s="429"/>
    </row>
    <row r="50" spans="1:13" ht="17.45" customHeight="1">
      <c r="A50" s="782" t="s">
        <v>20</v>
      </c>
      <c r="B50" s="783"/>
      <c r="C50" s="167">
        <f>SUMIF($G$7:$G$31,"Steam",$F$7:$F$31)</f>
        <v>0</v>
      </c>
      <c r="D50" s="121">
        <f>+C50+'12'!D50</f>
        <v>0</v>
      </c>
      <c r="E50" s="146">
        <f t="shared" si="12"/>
        <v>0</v>
      </c>
      <c r="F50" s="188"/>
      <c r="H50" s="191" t="s">
        <v>97</v>
      </c>
      <c r="I50" s="143">
        <f>I49/I38</f>
        <v>85.331298533978327</v>
      </c>
      <c r="J50" s="136">
        <f>J49/J38</f>
        <v>86.461699006916291</v>
      </c>
      <c r="K50" s="133" t="s">
        <v>96</v>
      </c>
      <c r="L50" s="428"/>
      <c r="M50" s="429"/>
    </row>
    <row r="51" spans="1:13" ht="17.45" customHeight="1" thickBot="1">
      <c r="A51" s="784" t="s">
        <v>98</v>
      </c>
      <c r="B51" s="785"/>
      <c r="C51" s="167">
        <f>SUMIF($G$7:$G$31,"Planned shut",$F$7:$F$31)</f>
        <v>0</v>
      </c>
      <c r="D51" s="121">
        <f>+C51+'12'!D51</f>
        <v>0</v>
      </c>
      <c r="E51" s="146">
        <f t="shared" si="12"/>
        <v>0</v>
      </c>
      <c r="F51" s="188"/>
      <c r="H51" s="193" t="s">
        <v>99</v>
      </c>
      <c r="I51" s="144">
        <f>I49/I40</f>
        <v>89.615825177690766</v>
      </c>
      <c r="J51" s="139">
        <f>J49/J40</f>
        <v>88.692724415109438</v>
      </c>
      <c r="K51" s="140" t="s">
        <v>96</v>
      </c>
      <c r="L51" s="428"/>
      <c r="M51" s="429"/>
    </row>
    <row r="52" spans="1:13" ht="13.5" thickBot="1">
      <c r="A52" s="786" t="s">
        <v>29</v>
      </c>
      <c r="B52" s="787"/>
      <c r="C52" s="147">
        <f>SUM(C38:C51)</f>
        <v>44</v>
      </c>
      <c r="D52" s="147">
        <f>SUM(D38:D51)</f>
        <v>2339</v>
      </c>
      <c r="E52" s="148">
        <f>SUM(E38:E51)</f>
        <v>38.983333333333334</v>
      </c>
      <c r="F52" s="188"/>
      <c r="H52" s="194"/>
      <c r="I52" s="195"/>
      <c r="J52" s="141"/>
      <c r="K52" s="142"/>
      <c r="L52" s="435"/>
      <c r="M52" s="436"/>
    </row>
    <row r="53" spans="1:13" ht="13.5" thickBot="1">
      <c r="A53" s="788"/>
      <c r="B53" s="789"/>
      <c r="C53" s="149">
        <f>C52/(24*60)</f>
        <v>3.0555555555555555E-2</v>
      </c>
      <c r="D53" s="149">
        <f>D52/(24*60*G4)</f>
        <v>0.1249465811965812</v>
      </c>
      <c r="E53" s="150">
        <f>E52/(G4*24)</f>
        <v>0.1249465811965812</v>
      </c>
      <c r="F53" s="188"/>
    </row>
    <row r="54" spans="1:13">
      <c r="E54" s="196"/>
      <c r="F54" s="188"/>
    </row>
    <row r="55" spans="1:13">
      <c r="E55" s="196"/>
    </row>
    <row r="56" spans="1:13">
      <c r="A56" s="197" t="s">
        <v>100</v>
      </c>
      <c r="B56" s="198"/>
      <c r="C56" s="199"/>
      <c r="D56" s="199"/>
      <c r="E56" s="199"/>
      <c r="F56" s="200"/>
      <c r="G56" s="199"/>
      <c r="H56" s="201"/>
      <c r="I56" s="202" t="s">
        <v>101</v>
      </c>
      <c r="J56" s="203">
        <f>+D34+'12'!J56</f>
        <v>1230</v>
      </c>
      <c r="K56" s="204">
        <f>J56/(J40+J56/1000)/1000</f>
        <v>2.2625017014748562E-3</v>
      </c>
    </row>
    <row r="57" spans="1:13">
      <c r="A57" s="179"/>
      <c r="I57" s="202" t="s">
        <v>102</v>
      </c>
      <c r="J57" s="203">
        <f>+E34+'12'!J57</f>
        <v>0</v>
      </c>
      <c r="K57" s="204">
        <f>J57/(J40+J57/1000)/1000</f>
        <v>0</v>
      </c>
    </row>
    <row r="58" spans="1:13">
      <c r="A58" s="205"/>
      <c r="B58" s="206"/>
      <c r="F58" s="188"/>
      <c r="H58" s="207"/>
      <c r="J58" s="152">
        <v>325</v>
      </c>
    </row>
    <row r="59" spans="1:13">
      <c r="A59" s="208"/>
      <c r="B59" s="179"/>
      <c r="C59" s="179"/>
      <c r="D59" s="179"/>
      <c r="E59" s="179"/>
      <c r="F59" s="192"/>
      <c r="G59" s="179"/>
      <c r="H59" s="207"/>
      <c r="J59" s="158">
        <f>+J56+J58</f>
        <v>1555</v>
      </c>
    </row>
    <row r="60" spans="1:13">
      <c r="H60" s="207"/>
    </row>
    <row r="61" spans="1:13">
      <c r="A61" s="209"/>
      <c r="B61" s="210"/>
      <c r="C61" s="210"/>
      <c r="D61" s="210"/>
      <c r="E61" s="210"/>
      <c r="F61" s="211"/>
      <c r="G61" s="210"/>
      <c r="H61" s="212"/>
    </row>
  </sheetData>
  <mergeCells count="25">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 ref="A53:B53"/>
    <mergeCell ref="A48:B48"/>
    <mergeCell ref="A49:B49"/>
    <mergeCell ref="A50:B50"/>
    <mergeCell ref="A51:B51"/>
    <mergeCell ref="A52:B52"/>
    <mergeCell ref="L35:M35"/>
    <mergeCell ref="A24:A32"/>
    <mergeCell ref="A34:B34"/>
    <mergeCell ref="A37:B37"/>
    <mergeCell ref="A38:B38"/>
  </mergeCells>
  <phoneticPr fontId="31"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S61"/>
  <sheetViews>
    <sheetView topLeftCell="F7" zoomScale="80" zoomScaleNormal="80" workbookViewId="0">
      <selection activeCell="O26" sqref="O26:P27"/>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28515625" style="152" bestFit="1" customWidth="1"/>
    <col min="11" max="11" width="14" style="152" bestFit="1" customWidth="1"/>
    <col min="12" max="12" width="12.140625" style="152" customWidth="1"/>
    <col min="13" max="13" width="1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12</v>
      </c>
      <c r="H4" s="157" t="str">
        <f>+'1'!H4</f>
        <v>.03.26</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581</v>
      </c>
      <c r="O6" s="152">
        <v>740</v>
      </c>
      <c r="P6" s="152">
        <f>+O6-(O6*0.14)</f>
        <v>636.4</v>
      </c>
      <c r="Q6" s="152">
        <v>480</v>
      </c>
      <c r="R6" s="152">
        <f t="shared" ref="R6:R8" si="0">+O6*Q6</f>
        <v>355200</v>
      </c>
      <c r="S6" s="152">
        <f t="shared" ref="S6:S8" si="1">+P6*Q6</f>
        <v>305472</v>
      </c>
    </row>
    <row r="7" spans="1:19" ht="13.5" customHeight="1" thickBot="1">
      <c r="A7" s="793" t="s">
        <v>431</v>
      </c>
      <c r="B7" s="218" t="s">
        <v>589</v>
      </c>
      <c r="C7" s="219">
        <v>17405</v>
      </c>
      <c r="D7" s="220"/>
      <c r="E7" s="221"/>
      <c r="F7" s="231"/>
      <c r="G7" s="232" t="s">
        <v>13</v>
      </c>
      <c r="H7" s="233" t="s">
        <v>391</v>
      </c>
      <c r="I7" s="796" t="s">
        <v>742</v>
      </c>
      <c r="J7" s="217" t="str">
        <f>+'11'!J7</f>
        <v>T 14 RC HW</v>
      </c>
      <c r="K7" s="241"/>
      <c r="L7" s="245"/>
      <c r="M7" s="120">
        <f>+K7+'11'!M7+L7</f>
        <v>41293</v>
      </c>
      <c r="O7" s="152">
        <v>740</v>
      </c>
      <c r="P7" s="152">
        <f t="shared" ref="P7:P8" si="2">+O7-(O7*0.14)</f>
        <v>636.4</v>
      </c>
      <c r="Q7" s="152">
        <v>480</v>
      </c>
      <c r="R7" s="152">
        <f t="shared" si="0"/>
        <v>355200</v>
      </c>
      <c r="S7" s="152">
        <f t="shared" si="1"/>
        <v>305472</v>
      </c>
    </row>
    <row r="8" spans="1:19" ht="13.5" thickBot="1">
      <c r="A8" s="794"/>
      <c r="B8" s="218"/>
      <c r="C8" s="219"/>
      <c r="D8" s="220"/>
      <c r="E8" s="222"/>
      <c r="F8" s="234">
        <v>6</v>
      </c>
      <c r="G8" s="583" t="s">
        <v>13</v>
      </c>
      <c r="H8" s="233" t="s">
        <v>420</v>
      </c>
      <c r="I8" s="797"/>
      <c r="J8" s="217" t="str">
        <f>+'11'!J8</f>
        <v>T 15,5 RC HW</v>
      </c>
      <c r="K8" s="242"/>
      <c r="L8" s="242"/>
      <c r="M8" s="120">
        <f>+K8+'11'!M8+L8</f>
        <v>139937</v>
      </c>
      <c r="O8" s="152">
        <v>740</v>
      </c>
      <c r="P8" s="152">
        <f t="shared" si="2"/>
        <v>636.4</v>
      </c>
      <c r="Q8" s="152">
        <f>60*6+30</f>
        <v>390</v>
      </c>
      <c r="R8" s="152">
        <f t="shared" si="0"/>
        <v>288600</v>
      </c>
      <c r="S8" s="152">
        <f t="shared" si="1"/>
        <v>248196</v>
      </c>
    </row>
    <row r="9" spans="1:19" ht="13.5" thickBot="1">
      <c r="A9" s="794"/>
      <c r="B9" s="218"/>
      <c r="C9" s="219"/>
      <c r="D9" s="220"/>
      <c r="E9" s="223"/>
      <c r="F9" s="231">
        <v>13</v>
      </c>
      <c r="G9" s="583" t="s">
        <v>13</v>
      </c>
      <c r="H9" s="236" t="s">
        <v>456</v>
      </c>
      <c r="I9" s="797"/>
      <c r="J9" s="217" t="str">
        <f>+'11'!J9</f>
        <v>T 13,5 RC HW</v>
      </c>
      <c r="K9" s="242"/>
      <c r="L9" s="242"/>
      <c r="M9" s="120">
        <f>+K9+'11'!M9+L9</f>
        <v>31497</v>
      </c>
    </row>
    <row r="10" spans="1:19" ht="26.25" thickBot="1">
      <c r="A10" s="794"/>
      <c r="B10" s="218"/>
      <c r="C10" s="219"/>
      <c r="D10" s="220"/>
      <c r="E10" s="222"/>
      <c r="F10" s="231"/>
      <c r="G10" s="240" t="s">
        <v>14</v>
      </c>
      <c r="H10" s="236" t="s">
        <v>744</v>
      </c>
      <c r="I10" s="797"/>
      <c r="J10" s="217" t="str">
        <f>+'11'!J10</f>
        <v>T 20 RC HW</v>
      </c>
      <c r="K10" s="242"/>
      <c r="L10" s="242"/>
      <c r="M10" s="120">
        <f>+K10+'11'!M10+L10</f>
        <v>35769</v>
      </c>
    </row>
    <row r="11" spans="1:19" ht="13.5" thickBot="1">
      <c r="A11" s="794"/>
      <c r="B11" s="218"/>
      <c r="C11" s="219"/>
      <c r="D11" s="220"/>
      <c r="E11" s="222"/>
      <c r="F11" s="231"/>
      <c r="G11" s="235"/>
      <c r="H11" s="236"/>
      <c r="I11" s="797"/>
      <c r="J11" s="217" t="str">
        <f>+'11'!J11</f>
        <v>T 17 RC HW</v>
      </c>
      <c r="K11" s="242"/>
      <c r="L11" s="242"/>
      <c r="M11" s="120">
        <f>+K11+'11'!M11+L11</f>
        <v>18517</v>
      </c>
    </row>
    <row r="12" spans="1:19" ht="13.5" thickBot="1">
      <c r="A12" s="794"/>
      <c r="B12" s="218"/>
      <c r="C12" s="219"/>
      <c r="D12" s="220"/>
      <c r="E12" s="222"/>
      <c r="F12" s="231"/>
      <c r="G12" s="235"/>
      <c r="H12" s="236"/>
      <c r="I12" s="797"/>
      <c r="J12" s="217" t="str">
        <f>+'11'!J12</f>
        <v>T 16 RC HW</v>
      </c>
      <c r="K12" s="242"/>
      <c r="L12" s="242"/>
      <c r="M12" s="120">
        <f>+K12+'11'!M12+L12</f>
        <v>38417</v>
      </c>
    </row>
    <row r="13" spans="1:19" ht="13.5" thickBot="1">
      <c r="A13" s="794"/>
      <c r="B13" s="218"/>
      <c r="C13" s="219"/>
      <c r="D13" s="219"/>
      <c r="E13" s="222"/>
      <c r="F13" s="231"/>
      <c r="G13" s="235"/>
      <c r="H13" s="236"/>
      <c r="I13" s="798"/>
      <c r="J13" s="217" t="str">
        <f>+'11'!J13</f>
        <v>N 15,5 RC HW</v>
      </c>
      <c r="K13" s="242"/>
      <c r="L13" s="242"/>
      <c r="M13" s="120">
        <f>+K13+'11'!M13+L13</f>
        <v>37930</v>
      </c>
      <c r="Q13" s="179">
        <f>SUM(Q6:Q12)</f>
        <v>1350</v>
      </c>
      <c r="R13" s="179">
        <f>SUM(R6:R12)</f>
        <v>999000</v>
      </c>
      <c r="S13" s="179">
        <f>SUM(S6:S12)</f>
        <v>859140</v>
      </c>
    </row>
    <row r="14" spans="1:19" ht="13.5" thickBot="1">
      <c r="A14" s="795"/>
      <c r="B14" s="168" t="s">
        <v>3</v>
      </c>
      <c r="C14" s="102">
        <f>SUM(C7:C13)</f>
        <v>17405</v>
      </c>
      <c r="D14" s="114">
        <f>SUM(D7:D13)</f>
        <v>0</v>
      </c>
      <c r="E14" s="115">
        <f>SUM(E5:E13)</f>
        <v>0</v>
      </c>
      <c r="F14" s="105">
        <f>SUM(F6:F13)</f>
        <v>19</v>
      </c>
      <c r="G14" s="162"/>
      <c r="H14" s="169"/>
      <c r="I14" s="170"/>
      <c r="J14" s="217" t="str">
        <f>+'11'!J14</f>
        <v>TW 22 RC HW</v>
      </c>
      <c r="K14" s="242">
        <f>+C34</f>
        <v>52135</v>
      </c>
      <c r="L14" s="242"/>
      <c r="M14" s="120">
        <f>+K14+'11'!M14+L14</f>
        <v>150361</v>
      </c>
      <c r="Q14" s="152">
        <f>480-Q13</f>
        <v>-870</v>
      </c>
      <c r="R14" s="179">
        <f>+R13/Q13</f>
        <v>740</v>
      </c>
      <c r="S14" s="179">
        <f>+S13/Q13</f>
        <v>636.4</v>
      </c>
    </row>
    <row r="15" spans="1:19" ht="13.5" customHeight="1" thickBot="1">
      <c r="A15" s="793" t="s">
        <v>477</v>
      </c>
      <c r="B15" s="168"/>
      <c r="C15" s="116">
        <f>C14/($C$23+$D$23+$E$23)</f>
        <v>1.007350387776363</v>
      </c>
      <c r="D15" s="117">
        <f>D14/($C$23+$D$23+$E$23)</f>
        <v>0</v>
      </c>
      <c r="E15" s="118">
        <f>E14/($C$23+$D$23+$E$23)</f>
        <v>0</v>
      </c>
      <c r="F15" s="231"/>
      <c r="G15" s="232" t="s">
        <v>13</v>
      </c>
      <c r="H15" s="233" t="s">
        <v>391</v>
      </c>
      <c r="I15" s="796" t="s">
        <v>742</v>
      </c>
      <c r="J15" s="217">
        <f>+'11'!J15</f>
        <v>0</v>
      </c>
      <c r="K15" s="242"/>
      <c r="L15" s="242"/>
      <c r="M15" s="120">
        <f>+K15+'11'!M15+L15</f>
        <v>0</v>
      </c>
      <c r="N15" s="152" t="s">
        <v>581</v>
      </c>
      <c r="O15" s="152">
        <v>740</v>
      </c>
      <c r="P15" s="152">
        <f t="shared" ref="P15" si="3">+O15-(O15*0.14)</f>
        <v>636.4</v>
      </c>
      <c r="Q15" s="152">
        <f>60*6+30</f>
        <v>390</v>
      </c>
      <c r="R15" s="152">
        <f t="shared" ref="R15:R16" si="4">+O15*Q15</f>
        <v>288600</v>
      </c>
      <c r="S15" s="152">
        <f t="shared" ref="S15:S16" si="5">+P15*Q15</f>
        <v>248196</v>
      </c>
    </row>
    <row r="16" spans="1:19" ht="13.5" thickBot="1">
      <c r="A16" s="799"/>
      <c r="B16" s="218" t="s">
        <v>589</v>
      </c>
      <c r="C16" s="225">
        <v>17278</v>
      </c>
      <c r="D16" s="226"/>
      <c r="E16" s="227"/>
      <c r="F16" s="234">
        <v>1</v>
      </c>
      <c r="G16" s="583" t="s">
        <v>13</v>
      </c>
      <c r="H16" s="233" t="s">
        <v>455</v>
      </c>
      <c r="I16" s="797"/>
      <c r="J16" s="217">
        <f>+'11'!J16</f>
        <v>0</v>
      </c>
      <c r="K16" s="242"/>
      <c r="L16" s="242"/>
      <c r="M16" s="120">
        <f>+K16+'11'!M16+L16</f>
        <v>0</v>
      </c>
      <c r="N16" s="152" t="s">
        <v>568</v>
      </c>
      <c r="O16" s="152">
        <v>1000</v>
      </c>
      <c r="P16" s="152">
        <f t="shared" ref="P16" si="6">+O16-(O16*0.14)</f>
        <v>860</v>
      </c>
      <c r="Q16" s="152">
        <f>480-Q15</f>
        <v>90</v>
      </c>
      <c r="R16" s="152">
        <f t="shared" si="4"/>
        <v>90000</v>
      </c>
      <c r="S16" s="152">
        <f t="shared" si="5"/>
        <v>77400</v>
      </c>
    </row>
    <row r="17" spans="1:19" ht="13.5" thickBot="1">
      <c r="A17" s="799"/>
      <c r="B17" s="218"/>
      <c r="C17" s="219"/>
      <c r="D17" s="220"/>
      <c r="E17" s="228"/>
      <c r="F17" s="231">
        <v>8</v>
      </c>
      <c r="G17" s="583" t="s">
        <v>13</v>
      </c>
      <c r="H17" s="236" t="s">
        <v>456</v>
      </c>
      <c r="I17" s="797"/>
      <c r="J17" s="217">
        <f>+'11'!J17</f>
        <v>0</v>
      </c>
      <c r="K17" s="242"/>
      <c r="L17" s="242"/>
      <c r="M17" s="120">
        <f>+K17+'11'!M17+L17</f>
        <v>0</v>
      </c>
    </row>
    <row r="18" spans="1:19" ht="26.25" thickBot="1">
      <c r="A18" s="799"/>
      <c r="B18" s="218"/>
      <c r="C18" s="219"/>
      <c r="D18" s="220"/>
      <c r="E18" s="228"/>
      <c r="F18" s="231">
        <v>8</v>
      </c>
      <c r="G18" s="240" t="s">
        <v>14</v>
      </c>
      <c r="H18" s="236" t="s">
        <v>744</v>
      </c>
      <c r="I18" s="797"/>
      <c r="J18" s="217">
        <f>+'11'!J18</f>
        <v>0</v>
      </c>
      <c r="K18" s="242"/>
      <c r="L18" s="242"/>
      <c r="M18" s="120">
        <f>+K18+'11'!M18+L18</f>
        <v>0</v>
      </c>
    </row>
    <row r="19" spans="1:19" ht="13.5" thickBot="1">
      <c r="A19" s="799"/>
      <c r="B19" s="218"/>
      <c r="C19" s="219"/>
      <c r="D19" s="220"/>
      <c r="E19" s="228"/>
      <c r="F19" s="238"/>
      <c r="G19" s="235"/>
      <c r="H19" s="236"/>
      <c r="I19" s="797"/>
      <c r="J19" s="217">
        <f>+'11'!J19</f>
        <v>0</v>
      </c>
      <c r="K19" s="242"/>
      <c r="L19" s="242"/>
      <c r="M19" s="120">
        <f>+K19+'11'!M19+L19</f>
        <v>0</v>
      </c>
    </row>
    <row r="20" spans="1:19" ht="13.5" thickBot="1">
      <c r="A20" s="799"/>
      <c r="B20" s="218"/>
      <c r="C20" s="219"/>
      <c r="D20" s="220"/>
      <c r="E20" s="228"/>
      <c r="F20" s="231"/>
      <c r="G20" s="235"/>
      <c r="H20" s="236"/>
      <c r="I20" s="797"/>
      <c r="J20" s="217">
        <f>+'11'!J20</f>
        <v>0</v>
      </c>
      <c r="K20" s="242"/>
      <c r="L20" s="242"/>
      <c r="M20" s="120">
        <f>+K20+'11'!M20+L20</f>
        <v>0</v>
      </c>
    </row>
    <row r="21" spans="1:19" ht="13.5" thickBot="1">
      <c r="A21" s="799"/>
      <c r="B21" s="218"/>
      <c r="C21" s="219"/>
      <c r="D21" s="220"/>
      <c r="E21" s="228"/>
      <c r="F21" s="234"/>
      <c r="G21" s="235"/>
      <c r="H21" s="236"/>
      <c r="I21" s="797"/>
      <c r="J21" s="217">
        <f>+'11'!J21</f>
        <v>0</v>
      </c>
      <c r="K21" s="242"/>
      <c r="L21" s="242"/>
      <c r="M21" s="120">
        <f>+K21+'11'!M21+L21</f>
        <v>0</v>
      </c>
    </row>
    <row r="22" spans="1:19" ht="13.5" thickBot="1">
      <c r="A22" s="799"/>
      <c r="B22" s="218"/>
      <c r="C22" s="219"/>
      <c r="D22" s="220"/>
      <c r="E22" s="228"/>
      <c r="F22" s="239"/>
      <c r="G22" s="235"/>
      <c r="H22" s="236"/>
      <c r="I22" s="798"/>
      <c r="J22" s="217">
        <f>+'11'!J22</f>
        <v>0</v>
      </c>
      <c r="K22" s="242"/>
      <c r="L22" s="242"/>
      <c r="M22" s="120">
        <f>+K22+'11'!M22+L22</f>
        <v>0</v>
      </c>
      <c r="Q22" s="179">
        <f>SUM(Q15:Q21)</f>
        <v>480</v>
      </c>
      <c r="R22" s="179">
        <f>SUM(R15:R21)</f>
        <v>378600</v>
      </c>
      <c r="S22" s="179">
        <f>SUM(S15:S21)</f>
        <v>325596</v>
      </c>
    </row>
    <row r="23" spans="1:19" ht="13.5" thickBot="1">
      <c r="A23" s="800"/>
      <c r="B23" s="168" t="s">
        <v>3</v>
      </c>
      <c r="C23" s="103">
        <f>SUM(C16:C22)</f>
        <v>17278</v>
      </c>
      <c r="D23" s="114">
        <f>SUM(D16:D22)</f>
        <v>0</v>
      </c>
      <c r="E23" s="115">
        <f>SUM(E18:E22)</f>
        <v>0</v>
      </c>
      <c r="F23" s="105">
        <f>SUM(F15:F22)</f>
        <v>17</v>
      </c>
      <c r="G23" s="162"/>
      <c r="H23" s="169"/>
      <c r="I23" s="172"/>
      <c r="J23" s="217">
        <f>+'11'!J23</f>
        <v>0</v>
      </c>
      <c r="K23" s="242"/>
      <c r="L23" s="242"/>
      <c r="M23" s="120">
        <f>+K23+'11'!M23+L23</f>
        <v>0</v>
      </c>
      <c r="Q23" s="152">
        <f>480-Q22</f>
        <v>0</v>
      </c>
      <c r="R23" s="179">
        <f>+R22/Q22</f>
        <v>788.75</v>
      </c>
      <c r="S23" s="179">
        <f>+S22/Q22</f>
        <v>678.32500000000005</v>
      </c>
    </row>
    <row r="24" spans="1:19" ht="13.5" customHeight="1" thickBot="1">
      <c r="A24" s="793" t="s">
        <v>430</v>
      </c>
      <c r="B24" s="173"/>
      <c r="C24" s="116">
        <f>C23/($C$23+$D$23+$E$23)</f>
        <v>1</v>
      </c>
      <c r="D24" s="117">
        <f>D23/($C$23+$D$23+$E$23)</f>
        <v>0</v>
      </c>
      <c r="E24" s="118">
        <f>E23/($C$23+$D$23+$E$23)</f>
        <v>0</v>
      </c>
      <c r="F24" s="231"/>
      <c r="G24" s="232" t="s">
        <v>13</v>
      </c>
      <c r="H24" s="233" t="s">
        <v>391</v>
      </c>
      <c r="I24" s="796" t="s">
        <v>741</v>
      </c>
      <c r="J24" s="217">
        <f>+'11'!J24</f>
        <v>0</v>
      </c>
      <c r="K24" s="242"/>
      <c r="L24" s="242"/>
      <c r="M24" s="120">
        <f>+K24+'11'!M24+L24</f>
        <v>0</v>
      </c>
    </row>
    <row r="25" spans="1:19" ht="13.5" thickBot="1">
      <c r="A25" s="799"/>
      <c r="B25" s="218" t="s">
        <v>589</v>
      </c>
      <c r="C25" s="229">
        <v>17452</v>
      </c>
      <c r="D25" s="220"/>
      <c r="E25" s="228"/>
      <c r="F25" s="234">
        <v>3</v>
      </c>
      <c r="G25" s="583" t="s">
        <v>13</v>
      </c>
      <c r="H25" s="233" t="s">
        <v>420</v>
      </c>
      <c r="I25" s="797"/>
      <c r="J25" s="217">
        <f>+'11'!J25</f>
        <v>0</v>
      </c>
      <c r="K25" s="242"/>
      <c r="L25" s="242"/>
      <c r="M25" s="120">
        <f>+K25+'11'!M25+L25</f>
        <v>0</v>
      </c>
    </row>
    <row r="26" spans="1:19" ht="13.5" thickBot="1">
      <c r="A26" s="799"/>
      <c r="B26" s="218"/>
      <c r="C26" s="229"/>
      <c r="D26" s="220"/>
      <c r="E26" s="230"/>
      <c r="F26" s="231">
        <v>10</v>
      </c>
      <c r="G26" s="583" t="s">
        <v>13</v>
      </c>
      <c r="H26" s="236" t="s">
        <v>473</v>
      </c>
      <c r="I26" s="797"/>
      <c r="J26" s="217">
        <f>+'11'!J26</f>
        <v>0</v>
      </c>
      <c r="K26" s="242"/>
      <c r="L26" s="242"/>
      <c r="M26" s="120">
        <f>+K26+'11'!M26+L26</f>
        <v>0</v>
      </c>
      <c r="N26" s="152" t="s">
        <v>581</v>
      </c>
      <c r="O26" s="152">
        <v>740</v>
      </c>
      <c r="P26" s="152">
        <v>636.4</v>
      </c>
      <c r="Q26" s="152">
        <f>480+480+390</f>
        <v>1350</v>
      </c>
    </row>
    <row r="27" spans="1:19" ht="26.25" thickBot="1">
      <c r="A27" s="799"/>
      <c r="B27" s="218"/>
      <c r="C27" s="219"/>
      <c r="D27" s="220"/>
      <c r="E27" s="228"/>
      <c r="F27" s="231"/>
      <c r="G27" s="240" t="s">
        <v>14</v>
      </c>
      <c r="H27" s="236" t="s">
        <v>744</v>
      </c>
      <c r="I27" s="797"/>
      <c r="J27" s="217">
        <f>+'11'!J27</f>
        <v>0</v>
      </c>
      <c r="K27" s="242"/>
      <c r="L27" s="242"/>
      <c r="M27" s="120">
        <f>+K27+'11'!M27+L27</f>
        <v>0</v>
      </c>
      <c r="N27" s="152" t="s">
        <v>568</v>
      </c>
      <c r="O27" s="152">
        <v>1000</v>
      </c>
      <c r="P27" s="152">
        <v>860</v>
      </c>
      <c r="Q27" s="152">
        <v>90</v>
      </c>
    </row>
    <row r="28" spans="1:19" ht="13.5" thickBot="1">
      <c r="A28" s="799"/>
      <c r="B28" s="218"/>
      <c r="C28" s="219"/>
      <c r="D28" s="220"/>
      <c r="E28" s="228"/>
      <c r="F28" s="234"/>
      <c r="G28" s="235"/>
      <c r="H28" s="236" t="s">
        <v>593</v>
      </c>
      <c r="I28" s="797"/>
      <c r="J28" s="217">
        <f>+'11'!J28</f>
        <v>0</v>
      </c>
      <c r="K28" s="242"/>
      <c r="L28" s="242"/>
      <c r="M28" s="120">
        <f>+K28+'11'!M28+L28</f>
        <v>0</v>
      </c>
      <c r="Q28" s="152">
        <f>+Q26+Q27</f>
        <v>1440</v>
      </c>
    </row>
    <row r="29" spans="1:19" ht="13.5" thickBot="1">
      <c r="A29" s="799"/>
      <c r="B29" s="218"/>
      <c r="C29" s="219"/>
      <c r="D29" s="220"/>
      <c r="E29" s="228"/>
      <c r="F29" s="239"/>
      <c r="G29" s="235"/>
      <c r="H29" s="236"/>
      <c r="I29" s="797"/>
      <c r="J29" s="217">
        <f>+'11'!J29</f>
        <v>0</v>
      </c>
      <c r="K29" s="242"/>
      <c r="L29" s="242"/>
      <c r="M29" s="120">
        <f>+K29+'11'!M29+L29</f>
        <v>0</v>
      </c>
    </row>
    <row r="30" spans="1:19" ht="13.5" thickBot="1">
      <c r="A30" s="799"/>
      <c r="B30" s="218"/>
      <c r="C30" s="229"/>
      <c r="D30" s="220"/>
      <c r="E30" s="228"/>
      <c r="F30" s="239"/>
      <c r="G30" s="235"/>
      <c r="H30" s="236"/>
      <c r="I30" s="797"/>
      <c r="J30" s="217">
        <f>+'11'!J30</f>
        <v>0</v>
      </c>
      <c r="K30" s="242"/>
      <c r="L30" s="242"/>
      <c r="M30" s="120">
        <f>+K30+'11'!M30+L30</f>
        <v>0</v>
      </c>
      <c r="N30" s="158"/>
    </row>
    <row r="31" spans="1:19" ht="13.5" thickBot="1">
      <c r="A31" s="799"/>
      <c r="B31" s="218"/>
      <c r="C31" s="229"/>
      <c r="D31" s="220"/>
      <c r="E31" s="228"/>
      <c r="F31" s="239"/>
      <c r="G31" s="240"/>
      <c r="H31" s="237"/>
      <c r="I31" s="798"/>
      <c r="J31" s="217">
        <f>+'11'!J31</f>
        <v>0</v>
      </c>
      <c r="K31" s="242"/>
      <c r="L31" s="242"/>
      <c r="M31" s="120">
        <f>+K31+'11'!M31+L31</f>
        <v>0</v>
      </c>
    </row>
    <row r="32" spans="1:19" ht="13.5" thickBot="1">
      <c r="A32" s="800"/>
      <c r="B32" s="168" t="s">
        <v>3</v>
      </c>
      <c r="C32" s="102">
        <f>SUM(C25:C31)</f>
        <v>17452</v>
      </c>
      <c r="D32" s="103">
        <f>SUM(D25:D31)</f>
        <v>0</v>
      </c>
      <c r="E32" s="104">
        <f>SUM(E25:E31)</f>
        <v>0</v>
      </c>
      <c r="F32" s="105">
        <f>SUM(F24:F31)</f>
        <v>13</v>
      </c>
      <c r="G32" s="174"/>
      <c r="H32" s="175"/>
      <c r="I32" s="172"/>
      <c r="J32" s="217">
        <f>+'1'!J32</f>
        <v>0</v>
      </c>
      <c r="K32" s="244"/>
      <c r="L32" s="246"/>
      <c r="M32" s="120">
        <f>+K32+'11'!M32+L32</f>
        <v>0</v>
      </c>
    </row>
    <row r="33" spans="1:14" ht="13.5" thickBot="1">
      <c r="A33" s="176"/>
      <c r="B33" s="177"/>
      <c r="C33" s="106">
        <f>C32/($C$32+$D$32+$E$32)</f>
        <v>1</v>
      </c>
      <c r="D33" s="107">
        <f>D32/($C$32+$D$32+$E$32)</f>
        <v>0</v>
      </c>
      <c r="E33" s="108">
        <f>E32/($C$32+$D$32+$E$32)</f>
        <v>0</v>
      </c>
      <c r="F33" s="109"/>
      <c r="G33" s="178"/>
      <c r="H33" s="179"/>
      <c r="I33" s="180"/>
      <c r="J33" s="124"/>
      <c r="K33" s="125"/>
      <c r="L33" s="216"/>
      <c r="M33" s="122"/>
    </row>
    <row r="34" spans="1:14" ht="13.5" thickBot="1">
      <c r="A34" s="801" t="s">
        <v>70</v>
      </c>
      <c r="B34" s="802"/>
      <c r="C34" s="110">
        <f>C14+C23+C32</f>
        <v>52135</v>
      </c>
      <c r="D34" s="110">
        <f>D14+D23+D32</f>
        <v>0</v>
      </c>
      <c r="E34" s="110">
        <f>E14+E23+E32</f>
        <v>0</v>
      </c>
      <c r="F34" s="111">
        <f>F14+F23+F32</f>
        <v>49</v>
      </c>
      <c r="H34" s="181"/>
      <c r="I34" s="181"/>
      <c r="J34" s="126" t="s">
        <v>29</v>
      </c>
      <c r="K34" s="127">
        <f>SUM(K7:K32)</f>
        <v>52135</v>
      </c>
      <c r="L34" s="215">
        <f>SUM(L7:L32)</f>
        <v>0</v>
      </c>
      <c r="M34" s="123">
        <f>SUM(M7:M32)</f>
        <v>493721</v>
      </c>
      <c r="N34" s="158"/>
    </row>
    <row r="35" spans="1:14" ht="13.5" thickBot="1">
      <c r="A35" s="182"/>
      <c r="B35" s="183"/>
      <c r="C35" s="107">
        <f>C34/($C$34+$D$34+$E$34)</f>
        <v>1</v>
      </c>
      <c r="D35" s="107">
        <f>D34/($C$34+$D$34+$E$34)</f>
        <v>0</v>
      </c>
      <c r="E35" s="112">
        <f>E34/($C$34+$D$34+$E$34)</f>
        <v>0</v>
      </c>
      <c r="K35" s="158"/>
      <c r="L35" s="792" t="s">
        <v>187</v>
      </c>
      <c r="M35" s="792"/>
    </row>
    <row r="36" spans="1:14" ht="13.5" thickBot="1">
      <c r="A36" s="181"/>
      <c r="B36" s="181"/>
      <c r="C36" s="158"/>
      <c r="D36" s="158"/>
      <c r="E36" s="158"/>
      <c r="G36" s="158"/>
      <c r="H36" s="184"/>
      <c r="I36" s="165" t="s">
        <v>41</v>
      </c>
      <c r="J36" s="165" t="s">
        <v>42</v>
      </c>
      <c r="K36" s="185"/>
      <c r="L36" s="165" t="s">
        <v>41</v>
      </c>
      <c r="M36" s="165" t="s">
        <v>42</v>
      </c>
    </row>
    <row r="37" spans="1:14" ht="17.45" customHeight="1" thickBot="1">
      <c r="A37" s="790" t="s">
        <v>71</v>
      </c>
      <c r="B37" s="791"/>
      <c r="C37" s="165" t="s">
        <v>72</v>
      </c>
      <c r="D37" s="186" t="s">
        <v>73</v>
      </c>
      <c r="E37" s="187" t="s">
        <v>74</v>
      </c>
      <c r="F37" s="365"/>
      <c r="G37" s="367"/>
      <c r="H37" s="189" t="s">
        <v>75</v>
      </c>
      <c r="I37" s="247">
        <f>(22*1350+15.5*90)/1440*G42*2.75*1440/1000000</f>
        <v>55.614379218750003</v>
      </c>
      <c r="J37" s="128">
        <f>+I37+'11'!J37</f>
        <v>536.06479847252672</v>
      </c>
      <c r="K37" s="129" t="s">
        <v>76</v>
      </c>
      <c r="L37" s="426"/>
      <c r="M37" s="427"/>
      <c r="N37" s="548"/>
    </row>
    <row r="38" spans="1:14" ht="17.45" customHeight="1">
      <c r="A38" s="786" t="s">
        <v>13</v>
      </c>
      <c r="B38" s="787"/>
      <c r="C38" s="167">
        <f>SUMIF($G$7:$G$31,"Process",$F$7:$F$31)</f>
        <v>41</v>
      </c>
      <c r="D38" s="121">
        <f>+C38+'11'!D38</f>
        <v>1059</v>
      </c>
      <c r="E38" s="146">
        <f t="shared" ref="E38:E51" si="7">D38/60</f>
        <v>17.649999999999999</v>
      </c>
      <c r="F38" s="365">
        <v>740</v>
      </c>
      <c r="G38" s="365">
        <v>636.4</v>
      </c>
      <c r="H38" s="190" t="s">
        <v>77</v>
      </c>
      <c r="I38" s="547">
        <f>17.697+17.571+15.69+1.68</f>
        <v>52.637999999999998</v>
      </c>
      <c r="J38" s="130">
        <f>+I38+'11'!J38</f>
        <v>505.27229999999997</v>
      </c>
      <c r="K38" s="131" t="s">
        <v>76</v>
      </c>
      <c r="L38" s="428"/>
      <c r="M38" s="429"/>
    </row>
    <row r="39" spans="1:14" ht="17.45" customHeight="1">
      <c r="A39" s="782" t="s">
        <v>14</v>
      </c>
      <c r="B39" s="783"/>
      <c r="C39" s="167">
        <f>SUMIF($G$7:$G$31,"Cleaning",$F$7:$F$31)</f>
        <v>8</v>
      </c>
      <c r="D39" s="121">
        <f>+C39+'11'!D39</f>
        <v>127</v>
      </c>
      <c r="E39" s="146">
        <f t="shared" si="7"/>
        <v>2.1166666666666667</v>
      </c>
      <c r="F39" s="365">
        <v>740</v>
      </c>
      <c r="G39" s="365">
        <v>636.4</v>
      </c>
      <c r="H39" s="190" t="s">
        <v>78</v>
      </c>
      <c r="I39" s="145"/>
      <c r="J39" s="132">
        <f>J37/G4</f>
        <v>44.672066539377226</v>
      </c>
      <c r="K39" s="133" t="s">
        <v>76</v>
      </c>
      <c r="L39" s="428"/>
      <c r="M39" s="429"/>
    </row>
    <row r="40" spans="1:14" ht="17.45" customHeight="1">
      <c r="A40" s="782" t="s">
        <v>79</v>
      </c>
      <c r="B40" s="783"/>
      <c r="C40" s="167">
        <f>SUMIF($G$7:$G$31,"Mechanical",$F$7:$F$31)</f>
        <v>0</v>
      </c>
      <c r="D40" s="121">
        <f>+C40+'11'!D40</f>
        <v>120</v>
      </c>
      <c r="E40" s="146">
        <f t="shared" si="7"/>
        <v>2</v>
      </c>
      <c r="F40" s="365">
        <v>788.75</v>
      </c>
      <c r="G40" s="365">
        <v>678.32500000000005</v>
      </c>
      <c r="H40" s="190" t="s">
        <v>80</v>
      </c>
      <c r="I40" s="121">
        <f>(K34+L34)/1000</f>
        <v>52.134999999999998</v>
      </c>
      <c r="J40" s="134">
        <f>+I40+'11'!J40</f>
        <v>493.721</v>
      </c>
      <c r="K40" s="133" t="s">
        <v>76</v>
      </c>
      <c r="L40" s="428"/>
      <c r="M40" s="429"/>
    </row>
    <row r="41" spans="1:14" ht="17.45" customHeight="1">
      <c r="A41" s="782" t="s">
        <v>81</v>
      </c>
      <c r="B41" s="783"/>
      <c r="C41" s="167">
        <f>SUMIF($G$7:$G$31,"Electrical",$F$7:$F$31)</f>
        <v>0</v>
      </c>
      <c r="D41" s="121">
        <f>+C41+'11'!D41</f>
        <v>65</v>
      </c>
      <c r="E41" s="146">
        <f t="shared" si="7"/>
        <v>1.0833333333333333</v>
      </c>
      <c r="F41" s="365"/>
      <c r="G41" s="365"/>
      <c r="H41" s="190" t="s">
        <v>82</v>
      </c>
      <c r="I41" s="145"/>
      <c r="J41" s="132">
        <f>J40/G4</f>
        <v>41.143416666666667</v>
      </c>
      <c r="K41" s="133" t="s">
        <v>76</v>
      </c>
      <c r="L41" s="428"/>
      <c r="M41" s="429"/>
    </row>
    <row r="42" spans="1:14" ht="17.45" customHeight="1">
      <c r="A42" s="782" t="s">
        <v>17</v>
      </c>
      <c r="B42" s="783"/>
      <c r="C42" s="167">
        <f>SUMIF($G$7:$G$31,"Instrument",$F$7:$F$31)</f>
        <v>0</v>
      </c>
      <c r="D42" s="121">
        <f>+C42+'11'!D42</f>
        <v>0</v>
      </c>
      <c r="E42" s="146">
        <f t="shared" si="7"/>
        <v>0</v>
      </c>
      <c r="F42" s="365">
        <f>+(480*F38+480*F39+480*F40)/1440</f>
        <v>756.25</v>
      </c>
      <c r="G42" s="365">
        <f>+(480*G38+480*G39+480*G40)/1440</f>
        <v>650.375</v>
      </c>
      <c r="H42" s="190" t="s">
        <v>83</v>
      </c>
      <c r="I42" s="249" t="s">
        <v>582</v>
      </c>
      <c r="J42" s="135"/>
      <c r="K42" s="133" t="s">
        <v>84</v>
      </c>
      <c r="L42" s="428"/>
      <c r="M42" s="429"/>
    </row>
    <row r="43" spans="1:14" ht="17.45" customHeight="1">
      <c r="A43" s="782" t="s">
        <v>85</v>
      </c>
      <c r="B43" s="783"/>
      <c r="C43" s="167">
        <f>SUMIF($G$7:$G$31,"Water",$F$7:$F$31)</f>
        <v>0</v>
      </c>
      <c r="D43" s="121">
        <f>+C43+'11'!D43</f>
        <v>0</v>
      </c>
      <c r="E43" s="146">
        <f t="shared" si="7"/>
        <v>0</v>
      </c>
      <c r="F43" s="365"/>
      <c r="G43" s="366"/>
      <c r="H43" s="191" t="s">
        <v>86</v>
      </c>
      <c r="I43" s="121">
        <f>+Report1!AH20</f>
        <v>68.099999999999994</v>
      </c>
      <c r="J43" s="136">
        <f>+I43+'11'!J43</f>
        <v>727.7</v>
      </c>
      <c r="K43" s="133" t="s">
        <v>76</v>
      </c>
      <c r="L43" s="430">
        <f>+Report1!AN20</f>
        <v>0</v>
      </c>
      <c r="M43" s="431">
        <f>+L43+'11'!M43</f>
        <v>0</v>
      </c>
    </row>
    <row r="44" spans="1:14" ht="17.45" customHeight="1">
      <c r="A44" s="782" t="s">
        <v>18</v>
      </c>
      <c r="B44" s="783"/>
      <c r="C44" s="167">
        <f>SUMIF($G$7:$G$31,"PLN",$F$7:$F$31)</f>
        <v>0</v>
      </c>
      <c r="D44" s="121">
        <f>+C44+'11'!D44</f>
        <v>0</v>
      </c>
      <c r="E44" s="146">
        <f t="shared" si="7"/>
        <v>0</v>
      </c>
      <c r="F44" s="365"/>
      <c r="G44" s="366"/>
      <c r="H44" s="191" t="s">
        <v>87</v>
      </c>
      <c r="I44" s="121">
        <f>I43/I38</f>
        <v>1.2937421634560582</v>
      </c>
      <c r="J44" s="137">
        <f>J43/J38</f>
        <v>1.4402135244698751</v>
      </c>
      <c r="K44" s="133" t="s">
        <v>76</v>
      </c>
      <c r="L44" s="432">
        <f>+L43/I38</f>
        <v>0</v>
      </c>
      <c r="M44" s="433">
        <f>+M43/J38</f>
        <v>0</v>
      </c>
    </row>
    <row r="45" spans="1:14" ht="17.45" customHeight="1">
      <c r="A45" s="782" t="s">
        <v>19</v>
      </c>
      <c r="B45" s="783"/>
      <c r="C45" s="167">
        <f>SUMIF($G$7:$G$31,"Boiler",$F$7:$F$31)</f>
        <v>0</v>
      </c>
      <c r="D45" s="121">
        <f>+C45+'11'!D45</f>
        <v>0</v>
      </c>
      <c r="E45" s="146">
        <f t="shared" si="7"/>
        <v>0</v>
      </c>
      <c r="F45" s="365"/>
      <c r="G45" s="368"/>
      <c r="H45" s="191" t="s">
        <v>88</v>
      </c>
      <c r="I45" s="121">
        <f>I43/I40</f>
        <v>1.3062242255682361</v>
      </c>
      <c r="J45" s="137">
        <f>J43/J40</f>
        <v>1.4739093536633039</v>
      </c>
      <c r="K45" s="133" t="s">
        <v>76</v>
      </c>
      <c r="L45" s="432">
        <f>+L43/I40</f>
        <v>0</v>
      </c>
      <c r="M45" s="433">
        <f>+M43/J40</f>
        <v>0</v>
      </c>
    </row>
    <row r="46" spans="1:14" ht="17.45" customHeight="1">
      <c r="A46" s="782" t="s">
        <v>89</v>
      </c>
      <c r="B46" s="783"/>
      <c r="C46" s="167">
        <f>SUMIF($G$7:$G$31,"Gas",$F$7:$F$31)</f>
        <v>0</v>
      </c>
      <c r="D46" s="121">
        <f>+C46+'11'!D46</f>
        <v>0</v>
      </c>
      <c r="E46" s="146">
        <f t="shared" si="7"/>
        <v>0</v>
      </c>
      <c r="F46" s="365"/>
      <c r="G46" s="366"/>
      <c r="H46" s="191" t="s">
        <v>90</v>
      </c>
      <c r="I46" s="143">
        <f>+SUMIF(Listrik!P19,"&gt;0")</f>
        <v>37147.780000000064</v>
      </c>
      <c r="J46" s="138">
        <f>+I46+'11'!J46</f>
        <v>423685.80000000005</v>
      </c>
      <c r="K46" s="133" t="s">
        <v>91</v>
      </c>
      <c r="L46" s="432">
        <f>+Listrik!AF19</f>
        <v>0</v>
      </c>
      <c r="M46" s="434">
        <f>+L46+'11'!M46</f>
        <v>0</v>
      </c>
    </row>
    <row r="47" spans="1:14" ht="17.45" customHeight="1">
      <c r="A47" s="782" t="s">
        <v>92</v>
      </c>
      <c r="B47" s="783"/>
      <c r="C47" s="167">
        <f>SUMIF($G$7:$G$31,"Gas",$F$7:$F$31)</f>
        <v>0</v>
      </c>
      <c r="D47" s="121">
        <f>+C47+'11'!D47</f>
        <v>0</v>
      </c>
      <c r="E47" s="146">
        <f t="shared" si="7"/>
        <v>0</v>
      </c>
      <c r="F47" s="365"/>
      <c r="G47" s="366"/>
      <c r="H47" s="191" t="s">
        <v>93</v>
      </c>
      <c r="I47" s="121">
        <f>I46/I38</f>
        <v>705.72172194992334</v>
      </c>
      <c r="J47" s="138">
        <f>J46/J38</f>
        <v>838.52964035432001</v>
      </c>
      <c r="K47" s="133" t="s">
        <v>25</v>
      </c>
      <c r="L47" s="432">
        <f>+L46/I38</f>
        <v>0</v>
      </c>
      <c r="M47" s="433">
        <f>+M46/J38</f>
        <v>0</v>
      </c>
    </row>
    <row r="48" spans="1:14" ht="17.45" customHeight="1">
      <c r="A48" s="782" t="s">
        <v>15</v>
      </c>
      <c r="B48" s="783"/>
      <c r="C48" s="167">
        <f>SUMIF($G$7:$G$31,"Start Up",$F$7:$F$31)</f>
        <v>0</v>
      </c>
      <c r="D48" s="121">
        <f>+C48+'11'!D48</f>
        <v>0</v>
      </c>
      <c r="E48" s="146">
        <f t="shared" si="7"/>
        <v>0</v>
      </c>
      <c r="F48" s="365"/>
      <c r="G48" s="366"/>
      <c r="H48" s="191" t="s">
        <v>94</v>
      </c>
      <c r="I48" s="121">
        <f>I46/I40</f>
        <v>712.53054569866822</v>
      </c>
      <c r="J48" s="138">
        <f>J46/J40</f>
        <v>858.1482254147586</v>
      </c>
      <c r="K48" s="133" t="s">
        <v>25</v>
      </c>
      <c r="L48" s="432">
        <f>+L46/I38</f>
        <v>0</v>
      </c>
      <c r="M48" s="433">
        <f>+M46/J40</f>
        <v>0</v>
      </c>
    </row>
    <row r="49" spans="1:13" ht="17.45" customHeight="1">
      <c r="A49" s="782" t="s">
        <v>21</v>
      </c>
      <c r="B49" s="783"/>
      <c r="C49" s="167">
        <f>SUMIF($G$7:$G$31,"Others",$F$7:$F$31)</f>
        <v>0</v>
      </c>
      <c r="D49" s="121">
        <f>+C49+'11'!D49</f>
        <v>924</v>
      </c>
      <c r="E49" s="146">
        <f t="shared" si="7"/>
        <v>15.4</v>
      </c>
      <c r="F49" s="188"/>
      <c r="H49" s="191" t="s">
        <v>95</v>
      </c>
      <c r="I49" s="121">
        <f>+Report1!AB20</f>
        <v>4342.4234784064902</v>
      </c>
      <c r="J49" s="138">
        <f>+I49+'11'!J49</f>
        <v>43744.510199318349</v>
      </c>
      <c r="K49" s="133" t="s">
        <v>96</v>
      </c>
      <c r="L49" s="428"/>
      <c r="M49" s="429"/>
    </row>
    <row r="50" spans="1:13" ht="17.45" customHeight="1">
      <c r="A50" s="782" t="s">
        <v>20</v>
      </c>
      <c r="B50" s="783"/>
      <c r="C50" s="167">
        <f>SUMIF($G$7:$G$31,"Steam",$F$7:$F$31)</f>
        <v>0</v>
      </c>
      <c r="D50" s="121">
        <f>+C50+'11'!D50</f>
        <v>0</v>
      </c>
      <c r="E50" s="146">
        <f t="shared" si="7"/>
        <v>0</v>
      </c>
      <c r="F50" s="188"/>
      <c r="H50" s="191" t="s">
        <v>97</v>
      </c>
      <c r="I50" s="143">
        <f>I49/I38</f>
        <v>82.495981579970561</v>
      </c>
      <c r="J50" s="136">
        <f>J49/J38</f>
        <v>86.5761099496615</v>
      </c>
      <c r="K50" s="133" t="s">
        <v>96</v>
      </c>
      <c r="L50" s="428"/>
      <c r="M50" s="429"/>
    </row>
    <row r="51" spans="1:13" ht="17.45" customHeight="1" thickBot="1">
      <c r="A51" s="784" t="s">
        <v>98</v>
      </c>
      <c r="B51" s="785"/>
      <c r="C51" s="167">
        <f>SUMIF($G$7:$G$31,"Planned shut",$F$7:$F$31)</f>
        <v>0</v>
      </c>
      <c r="D51" s="121">
        <f>+C51+'11'!D51</f>
        <v>0</v>
      </c>
      <c r="E51" s="146">
        <f t="shared" si="7"/>
        <v>0</v>
      </c>
      <c r="F51" s="188"/>
      <c r="H51" s="193" t="s">
        <v>99</v>
      </c>
      <c r="I51" s="144">
        <f>I49/I40</f>
        <v>83.291905215430901</v>
      </c>
      <c r="J51" s="139">
        <f>J49/J40</f>
        <v>88.601680299842116</v>
      </c>
      <c r="K51" s="140" t="s">
        <v>96</v>
      </c>
      <c r="L51" s="428"/>
      <c r="M51" s="429"/>
    </row>
    <row r="52" spans="1:13" ht="13.5" thickBot="1">
      <c r="A52" s="786" t="s">
        <v>29</v>
      </c>
      <c r="B52" s="787"/>
      <c r="C52" s="147">
        <f>SUM(C38:C51)</f>
        <v>49</v>
      </c>
      <c r="D52" s="147">
        <f>SUM(D38:D51)</f>
        <v>2295</v>
      </c>
      <c r="E52" s="148">
        <f>SUM(E38:E51)</f>
        <v>38.25</v>
      </c>
      <c r="F52" s="188"/>
      <c r="H52" s="194"/>
      <c r="I52" s="195"/>
      <c r="J52" s="141"/>
      <c r="K52" s="142"/>
      <c r="L52" s="435"/>
      <c r="M52" s="436"/>
    </row>
    <row r="53" spans="1:13" ht="13.5" thickBot="1">
      <c r="A53" s="788"/>
      <c r="B53" s="789"/>
      <c r="C53" s="149">
        <f>C52/(24*60)</f>
        <v>3.4027777777777775E-2</v>
      </c>
      <c r="D53" s="149">
        <f>D52/(24*60*G4)</f>
        <v>0.1328125</v>
      </c>
      <c r="E53" s="150">
        <f>E52/(G4*24)</f>
        <v>0.1328125</v>
      </c>
      <c r="F53" s="188"/>
    </row>
    <row r="54" spans="1:13">
      <c r="E54" s="196"/>
      <c r="F54" s="188"/>
    </row>
    <row r="55" spans="1:13">
      <c r="E55" s="196"/>
    </row>
    <row r="56" spans="1:13">
      <c r="A56" s="197" t="s">
        <v>100</v>
      </c>
      <c r="B56" s="198"/>
      <c r="C56" s="199"/>
      <c r="D56" s="199"/>
      <c r="E56" s="199"/>
      <c r="F56" s="200"/>
      <c r="G56" s="199"/>
      <c r="H56" s="201"/>
      <c r="I56" s="202" t="s">
        <v>101</v>
      </c>
      <c r="J56" s="203">
        <f>+D34+'11'!J56</f>
        <v>1230</v>
      </c>
      <c r="K56" s="204">
        <f>J56/(J40+J56/1000)/1000</f>
        <v>2.4850944841004461E-3</v>
      </c>
    </row>
    <row r="57" spans="1:13">
      <c r="A57" s="179"/>
      <c r="I57" s="202" t="s">
        <v>102</v>
      </c>
      <c r="J57" s="203">
        <f>+E34+'11'!J57</f>
        <v>0</v>
      </c>
      <c r="K57" s="204">
        <f>J57/(J40+J57/1000)/1000</f>
        <v>0</v>
      </c>
    </row>
    <row r="58" spans="1:13">
      <c r="A58" s="205"/>
      <c r="B58" s="206"/>
      <c r="F58" s="188"/>
      <c r="H58" s="207"/>
      <c r="J58" s="152">
        <v>325</v>
      </c>
    </row>
    <row r="59" spans="1:13">
      <c r="A59" s="208"/>
      <c r="B59" s="179"/>
      <c r="C59" s="179"/>
      <c r="D59" s="179"/>
      <c r="E59" s="179"/>
      <c r="F59" s="192"/>
      <c r="G59" s="179"/>
      <c r="H59" s="207"/>
      <c r="J59" s="158">
        <f>+J56+J58</f>
        <v>1555</v>
      </c>
    </row>
    <row r="60" spans="1:13">
      <c r="H60" s="207"/>
    </row>
    <row r="61" spans="1:13">
      <c r="A61" s="209"/>
      <c r="B61" s="210"/>
      <c r="C61" s="210"/>
      <c r="D61" s="210"/>
      <c r="E61" s="210"/>
      <c r="F61" s="211"/>
      <c r="G61" s="210"/>
      <c r="H61" s="212"/>
    </row>
  </sheetData>
  <mergeCells count="25">
    <mergeCell ref="A7:A14"/>
    <mergeCell ref="I7:I13"/>
    <mergeCell ref="A15:A23"/>
    <mergeCell ref="I15:I22"/>
    <mergeCell ref="A46:B46"/>
    <mergeCell ref="A39:B39"/>
    <mergeCell ref="I24:I31"/>
    <mergeCell ref="A37:B37"/>
    <mergeCell ref="A38:B38"/>
    <mergeCell ref="A24:A32"/>
    <mergeCell ref="A34:B34"/>
    <mergeCell ref="A42:B42"/>
    <mergeCell ref="A43:B43"/>
    <mergeCell ref="A44:B44"/>
    <mergeCell ref="A45:B45"/>
    <mergeCell ref="A40:B40"/>
    <mergeCell ref="L35:M35"/>
    <mergeCell ref="A52:B52"/>
    <mergeCell ref="A53:B53"/>
    <mergeCell ref="A48:B48"/>
    <mergeCell ref="A49:B49"/>
    <mergeCell ref="A50:B50"/>
    <mergeCell ref="A51:B51"/>
    <mergeCell ref="A47:B47"/>
    <mergeCell ref="A41:B41"/>
  </mergeCells>
  <phoneticPr fontId="31"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M61"/>
  <sheetViews>
    <sheetView view="pageBreakPreview" topLeftCell="A10" zoomScale="80" zoomScaleNormal="70" zoomScaleSheetLayoutView="80" workbookViewId="0">
      <selection activeCell="F42" sqref="F42:G4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2.5703125" style="152" customWidth="1"/>
    <col min="11" max="11" width="14" style="152" bestFit="1" customWidth="1"/>
    <col min="12" max="12" width="8.28515625" style="152" customWidth="1"/>
    <col min="13" max="13" width="15.5703125" style="152" bestFit="1" customWidth="1"/>
    <col min="14" max="16384" width="9.140625" style="152"/>
  </cols>
  <sheetData>
    <row r="1" spans="1:13" ht="15.75">
      <c r="A1" s="151"/>
    </row>
    <row r="2" spans="1:13" ht="15.75">
      <c r="A2" s="151" t="s">
        <v>185</v>
      </c>
    </row>
    <row r="3" spans="1:13" ht="15">
      <c r="A3" s="153"/>
    </row>
    <row r="4" spans="1:13" ht="20.25">
      <c r="A4" s="154" t="s">
        <v>5</v>
      </c>
      <c r="B4" s="155"/>
      <c r="F4" s="156" t="s">
        <v>30</v>
      </c>
      <c r="G4" s="157">
        <v>11</v>
      </c>
      <c r="H4" s="157" t="str">
        <f>+'1'!H4</f>
        <v>.03.26</v>
      </c>
    </row>
    <row r="5" spans="1:13" ht="13.5" thickBot="1">
      <c r="C5" s="158"/>
      <c r="D5" s="158"/>
    </row>
    <row r="6" spans="1:13"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row>
    <row r="7" spans="1:13" ht="13.5" customHeight="1" thickBot="1">
      <c r="A7" s="793" t="s">
        <v>431</v>
      </c>
      <c r="B7" s="218" t="s">
        <v>589</v>
      </c>
      <c r="C7" s="219">
        <v>16498</v>
      </c>
      <c r="D7" s="220"/>
      <c r="E7" s="221"/>
      <c r="F7" s="231"/>
      <c r="G7" s="232" t="s">
        <v>13</v>
      </c>
      <c r="H7" s="233" t="s">
        <v>391</v>
      </c>
      <c r="I7" s="796" t="s">
        <v>742</v>
      </c>
      <c r="J7" s="217" t="str">
        <f>+'10'!J7</f>
        <v>T 14 RC HW</v>
      </c>
      <c r="K7" s="241"/>
      <c r="L7" s="245"/>
      <c r="M7" s="120">
        <f>+K7+'10'!M7+L7</f>
        <v>41293</v>
      </c>
    </row>
    <row r="8" spans="1:13" ht="13.5" thickBot="1">
      <c r="A8" s="794"/>
      <c r="B8" s="218"/>
      <c r="C8" s="219"/>
      <c r="D8" s="220"/>
      <c r="E8" s="222"/>
      <c r="F8" s="234">
        <v>2</v>
      </c>
      <c r="G8" s="583" t="s">
        <v>13</v>
      </c>
      <c r="H8" s="233" t="s">
        <v>455</v>
      </c>
      <c r="I8" s="797"/>
      <c r="J8" s="217" t="str">
        <f>+'10'!J8</f>
        <v>T 15,5 RC HW</v>
      </c>
      <c r="K8" s="242"/>
      <c r="L8" s="242"/>
      <c r="M8" s="120">
        <f>+K8+'10'!M8+L8</f>
        <v>139937</v>
      </c>
    </row>
    <row r="9" spans="1:13" ht="13.5" thickBot="1">
      <c r="A9" s="794"/>
      <c r="B9" s="218"/>
      <c r="C9" s="219"/>
      <c r="D9" s="220"/>
      <c r="E9" s="223"/>
      <c r="F9" s="231">
        <v>17</v>
      </c>
      <c r="G9" s="583" t="s">
        <v>13</v>
      </c>
      <c r="H9" s="236" t="s">
        <v>456</v>
      </c>
      <c r="I9" s="797"/>
      <c r="J9" s="217" t="str">
        <f>+'10'!J9</f>
        <v>T 13,5 RC HW</v>
      </c>
      <c r="K9" s="242"/>
      <c r="L9" s="242"/>
      <c r="M9" s="120">
        <f>+K9+'10'!M9+L9</f>
        <v>31497</v>
      </c>
    </row>
    <row r="10" spans="1:13" ht="26.25" thickBot="1">
      <c r="A10" s="794"/>
      <c r="B10" s="218"/>
      <c r="C10" s="219"/>
      <c r="D10" s="220"/>
      <c r="E10" s="222"/>
      <c r="F10" s="231"/>
      <c r="G10" s="240" t="s">
        <v>14</v>
      </c>
      <c r="H10" s="236" t="s">
        <v>744</v>
      </c>
      <c r="I10" s="797"/>
      <c r="J10" s="217" t="str">
        <f>+'10'!J10</f>
        <v>T 20 RC HW</v>
      </c>
      <c r="K10" s="242"/>
      <c r="L10" s="242"/>
      <c r="M10" s="120">
        <f>+K10+'10'!M10+L10</f>
        <v>35769</v>
      </c>
    </row>
    <row r="11" spans="1:13" ht="13.5" thickBot="1">
      <c r="A11" s="794"/>
      <c r="B11" s="218"/>
      <c r="C11" s="219"/>
      <c r="D11" s="220"/>
      <c r="E11" s="222"/>
      <c r="F11" s="231"/>
      <c r="G11" s="235"/>
      <c r="H11" s="236"/>
      <c r="I11" s="797"/>
      <c r="J11" s="217" t="str">
        <f>+'10'!J11</f>
        <v>T 17 RC HW</v>
      </c>
      <c r="K11" s="242"/>
      <c r="L11" s="242"/>
      <c r="M11" s="120">
        <f>+K11+'10'!M11+L11</f>
        <v>18517</v>
      </c>
    </row>
    <row r="12" spans="1:13" ht="13.5" thickBot="1">
      <c r="A12" s="794"/>
      <c r="B12" s="218"/>
      <c r="C12" s="219"/>
      <c r="D12" s="220"/>
      <c r="E12" s="222"/>
      <c r="F12" s="231"/>
      <c r="G12" s="235"/>
      <c r="H12" s="236"/>
      <c r="I12" s="797"/>
      <c r="J12" s="217" t="str">
        <f>+'10'!J12</f>
        <v>T 16 RC HW</v>
      </c>
      <c r="K12" s="242"/>
      <c r="L12" s="242"/>
      <c r="M12" s="120">
        <f>+K12+'10'!M12+L12</f>
        <v>38417</v>
      </c>
    </row>
    <row r="13" spans="1:13" ht="13.5" thickBot="1">
      <c r="A13" s="794"/>
      <c r="B13" s="218"/>
      <c r="C13" s="219"/>
      <c r="D13" s="219"/>
      <c r="E13" s="222"/>
      <c r="F13" s="231"/>
      <c r="G13" s="235"/>
      <c r="H13" s="236"/>
      <c r="I13" s="798"/>
      <c r="J13" s="217" t="str">
        <f>+'10'!J13</f>
        <v>N 15,5 RC HW</v>
      </c>
      <c r="K13" s="242"/>
      <c r="L13" s="242"/>
      <c r="M13" s="120">
        <f>+K13+'10'!M13+L13</f>
        <v>37930</v>
      </c>
    </row>
    <row r="14" spans="1:13" ht="13.5" thickBot="1">
      <c r="A14" s="795"/>
      <c r="B14" s="168" t="s">
        <v>3</v>
      </c>
      <c r="C14" s="102">
        <f>SUM(C7:C13)</f>
        <v>16498</v>
      </c>
      <c r="D14" s="114">
        <f>SUM(D7:D13)</f>
        <v>0</v>
      </c>
      <c r="E14" s="115">
        <f>SUM(E5:E13)</f>
        <v>0</v>
      </c>
      <c r="F14" s="105">
        <f>SUM(F6:F13)</f>
        <v>19</v>
      </c>
      <c r="G14" s="162"/>
      <c r="H14" s="169"/>
      <c r="I14" s="170"/>
      <c r="J14" s="217" t="str">
        <f>+'10'!J14</f>
        <v>TW 22 RC HW</v>
      </c>
      <c r="K14" s="242">
        <f>+C34</f>
        <v>52383</v>
      </c>
      <c r="L14" s="242"/>
      <c r="M14" s="120">
        <f>+K14+'10'!M14+L14</f>
        <v>98226</v>
      </c>
    </row>
    <row r="15" spans="1:13" ht="13.5" customHeight="1" thickBot="1">
      <c r="A15" s="793" t="s">
        <v>477</v>
      </c>
      <c r="B15" s="168"/>
      <c r="C15" s="116">
        <f>C14/($C$23+$D$23+$E$23)</f>
        <v>0.88775290572535515</v>
      </c>
      <c r="D15" s="117">
        <f>D14/($C$23+$D$23+$E$23)</f>
        <v>0</v>
      </c>
      <c r="E15" s="118">
        <f>E14/($C$23+$D$23+$E$23)</f>
        <v>0</v>
      </c>
      <c r="F15" s="231"/>
      <c r="G15" s="232" t="s">
        <v>13</v>
      </c>
      <c r="H15" s="233" t="s">
        <v>391</v>
      </c>
      <c r="I15" s="796" t="s">
        <v>742</v>
      </c>
      <c r="J15" s="217">
        <f>+'10'!J15</f>
        <v>0</v>
      </c>
      <c r="K15" s="242"/>
      <c r="L15" s="242"/>
      <c r="M15" s="120">
        <f>+K15+'10'!M15+L15</f>
        <v>0</v>
      </c>
    </row>
    <row r="16" spans="1:13" ht="13.5" thickBot="1">
      <c r="A16" s="799"/>
      <c r="B16" s="218" t="s">
        <v>589</v>
      </c>
      <c r="C16" s="225">
        <v>18584</v>
      </c>
      <c r="D16" s="226"/>
      <c r="E16" s="227"/>
      <c r="F16" s="234">
        <v>1</v>
      </c>
      <c r="G16" s="583" t="s">
        <v>13</v>
      </c>
      <c r="H16" s="233" t="s">
        <v>455</v>
      </c>
      <c r="I16" s="797"/>
      <c r="J16" s="217">
        <f>+'10'!J16</f>
        <v>0</v>
      </c>
      <c r="K16" s="242"/>
      <c r="L16" s="232"/>
      <c r="M16" s="120">
        <f>+K16+'10'!M16+L16</f>
        <v>0</v>
      </c>
    </row>
    <row r="17" spans="1:13" ht="13.5" thickBot="1">
      <c r="A17" s="799"/>
      <c r="B17" s="218"/>
      <c r="C17" s="219"/>
      <c r="D17" s="220"/>
      <c r="E17" s="228"/>
      <c r="F17" s="231">
        <v>8</v>
      </c>
      <c r="G17" s="583" t="s">
        <v>13</v>
      </c>
      <c r="H17" s="236" t="s">
        <v>456</v>
      </c>
      <c r="I17" s="797"/>
      <c r="J17" s="217">
        <f>+'10'!J17</f>
        <v>0</v>
      </c>
      <c r="K17" s="242"/>
      <c r="L17" s="232"/>
      <c r="M17" s="120">
        <f>+K17+'10'!M17+L17</f>
        <v>0</v>
      </c>
    </row>
    <row r="18" spans="1:13" ht="26.25" thickBot="1">
      <c r="A18" s="799"/>
      <c r="B18" s="218"/>
      <c r="C18" s="219"/>
      <c r="D18" s="220"/>
      <c r="E18" s="228"/>
      <c r="F18" s="231">
        <v>8</v>
      </c>
      <c r="G18" s="240" t="s">
        <v>14</v>
      </c>
      <c r="H18" s="236" t="s">
        <v>744</v>
      </c>
      <c r="I18" s="797"/>
      <c r="J18" s="217">
        <f>+'10'!J18</f>
        <v>0</v>
      </c>
      <c r="K18" s="242"/>
      <c r="L18" s="242"/>
      <c r="M18" s="120">
        <f>+K18+'10'!M18+L18</f>
        <v>0</v>
      </c>
    </row>
    <row r="19" spans="1:13" ht="13.5" thickBot="1">
      <c r="A19" s="799"/>
      <c r="B19" s="218"/>
      <c r="C19" s="219"/>
      <c r="D19" s="220"/>
      <c r="E19" s="228"/>
      <c r="F19" s="238"/>
      <c r="G19" s="235"/>
      <c r="H19" s="236" t="s">
        <v>590</v>
      </c>
      <c r="I19" s="797"/>
      <c r="J19" s="217">
        <f>+'10'!J19</f>
        <v>0</v>
      </c>
      <c r="K19" s="242"/>
      <c r="L19" s="242"/>
      <c r="M19" s="120">
        <f>+K19+'10'!M19+L19</f>
        <v>0</v>
      </c>
    </row>
    <row r="20" spans="1:13" ht="13.5" thickBot="1">
      <c r="A20" s="799"/>
      <c r="B20" s="218"/>
      <c r="C20" s="219"/>
      <c r="D20" s="220"/>
      <c r="E20" s="228"/>
      <c r="F20" s="231"/>
      <c r="G20" s="235"/>
      <c r="H20" s="236"/>
      <c r="I20" s="797"/>
      <c r="J20" s="217">
        <f>+'10'!J20</f>
        <v>0</v>
      </c>
      <c r="K20" s="242"/>
      <c r="L20" s="243"/>
      <c r="M20" s="120">
        <f>+K20+'10'!M20+L20</f>
        <v>0</v>
      </c>
    </row>
    <row r="21" spans="1:13" ht="13.5" thickBot="1">
      <c r="A21" s="799"/>
      <c r="B21" s="218"/>
      <c r="C21" s="219"/>
      <c r="D21" s="220"/>
      <c r="E21" s="228"/>
      <c r="F21" s="234"/>
      <c r="G21" s="235"/>
      <c r="H21" s="236"/>
      <c r="I21" s="797"/>
      <c r="J21" s="217">
        <f>+'10'!J21</f>
        <v>0</v>
      </c>
      <c r="K21" s="242"/>
      <c r="L21" s="242"/>
      <c r="M21" s="120">
        <f>+K21+'10'!M21+L21</f>
        <v>0</v>
      </c>
    </row>
    <row r="22" spans="1:13" ht="13.5" thickBot="1">
      <c r="A22" s="799"/>
      <c r="B22" s="218"/>
      <c r="C22" s="219"/>
      <c r="D22" s="220"/>
      <c r="E22" s="228"/>
      <c r="F22" s="239"/>
      <c r="G22" s="235"/>
      <c r="H22" s="236"/>
      <c r="I22" s="798"/>
      <c r="J22" s="217">
        <f>+'10'!J22</f>
        <v>0</v>
      </c>
      <c r="K22" s="242"/>
      <c r="L22" s="242"/>
      <c r="M22" s="120">
        <f>+K22+'10'!M22+L22</f>
        <v>0</v>
      </c>
    </row>
    <row r="23" spans="1:13" ht="13.5" thickBot="1">
      <c r="A23" s="800"/>
      <c r="B23" s="168" t="s">
        <v>3</v>
      </c>
      <c r="C23" s="103">
        <f>SUM(C16:C22)</f>
        <v>18584</v>
      </c>
      <c r="D23" s="114">
        <f>SUM(D16:D22)</f>
        <v>0</v>
      </c>
      <c r="E23" s="115">
        <f>SUM(E18:E22)</f>
        <v>0</v>
      </c>
      <c r="F23" s="105">
        <f>SUM(F15:F22)</f>
        <v>17</v>
      </c>
      <c r="G23" s="162"/>
      <c r="H23" s="169"/>
      <c r="I23" s="172"/>
      <c r="J23" s="217">
        <f>+'10'!J23</f>
        <v>0</v>
      </c>
      <c r="K23" s="242"/>
      <c r="L23" s="242"/>
      <c r="M23" s="120">
        <f>+K23+'10'!M23+L23</f>
        <v>0</v>
      </c>
    </row>
    <row r="24" spans="1:13" ht="13.5" customHeight="1" thickBot="1">
      <c r="A24" s="793" t="s">
        <v>430</v>
      </c>
      <c r="B24" s="173"/>
      <c r="C24" s="116">
        <f>C23/($C$23+$D$23+$E$23)</f>
        <v>1</v>
      </c>
      <c r="D24" s="117">
        <f>D23/($C$23+$D$23+$E$23)</f>
        <v>0</v>
      </c>
      <c r="E24" s="118">
        <f>E23/($C$23+$D$23+$E$23)</f>
        <v>0</v>
      </c>
      <c r="F24" s="231"/>
      <c r="G24" s="232" t="s">
        <v>13</v>
      </c>
      <c r="H24" s="233" t="s">
        <v>391</v>
      </c>
      <c r="I24" s="796" t="s">
        <v>742</v>
      </c>
      <c r="J24" s="217">
        <f>+'10'!J24</f>
        <v>0</v>
      </c>
      <c r="K24" s="242"/>
      <c r="L24" s="242"/>
      <c r="M24" s="120">
        <f>+K24+'10'!M24+L24</f>
        <v>0</v>
      </c>
    </row>
    <row r="25" spans="1:13" ht="13.5" customHeight="1" thickBot="1">
      <c r="A25" s="799"/>
      <c r="B25" s="218" t="s">
        <v>589</v>
      </c>
      <c r="C25" s="229">
        <v>17301</v>
      </c>
      <c r="D25" s="220"/>
      <c r="E25" s="228"/>
      <c r="F25" s="234">
        <v>2</v>
      </c>
      <c r="G25" s="583" t="s">
        <v>13</v>
      </c>
      <c r="H25" s="233" t="s">
        <v>420</v>
      </c>
      <c r="I25" s="797"/>
      <c r="J25" s="217">
        <f>+'10'!J25</f>
        <v>0</v>
      </c>
      <c r="K25" s="242"/>
      <c r="L25" s="242"/>
      <c r="M25" s="120">
        <f>+K25+'10'!M25+L25</f>
        <v>0</v>
      </c>
    </row>
    <row r="26" spans="1:13" ht="13.5" customHeight="1" thickBot="1">
      <c r="A26" s="799"/>
      <c r="B26" s="218"/>
      <c r="C26" s="229"/>
      <c r="D26" s="220"/>
      <c r="E26" s="230"/>
      <c r="F26" s="231">
        <v>4</v>
      </c>
      <c r="G26" s="583" t="s">
        <v>13</v>
      </c>
      <c r="H26" s="236" t="s">
        <v>421</v>
      </c>
      <c r="I26" s="797"/>
      <c r="J26" s="217">
        <f>+'10'!J26</f>
        <v>0</v>
      </c>
      <c r="K26" s="232"/>
      <c r="L26" s="232"/>
      <c r="M26" s="120">
        <f>+K26+'10'!M26+L26</f>
        <v>0</v>
      </c>
    </row>
    <row r="27" spans="1:13" ht="31.5" customHeight="1" thickBot="1">
      <c r="A27" s="799"/>
      <c r="B27" s="218"/>
      <c r="C27" s="219"/>
      <c r="D27" s="220"/>
      <c r="E27" s="228"/>
      <c r="F27" s="231">
        <v>4</v>
      </c>
      <c r="G27" s="240" t="s">
        <v>14</v>
      </c>
      <c r="H27" s="236" t="s">
        <v>744</v>
      </c>
      <c r="I27" s="797"/>
      <c r="J27" s="217">
        <f>+'10'!J27</f>
        <v>0</v>
      </c>
      <c r="K27" s="232"/>
      <c r="L27" s="232"/>
      <c r="M27" s="120">
        <f>+K27+'10'!M27+L27</f>
        <v>0</v>
      </c>
    </row>
    <row r="28" spans="1:13" ht="13.5" customHeight="1" thickBot="1">
      <c r="A28" s="799"/>
      <c r="B28" s="218"/>
      <c r="C28" s="219"/>
      <c r="D28" s="220"/>
      <c r="E28" s="228"/>
      <c r="F28" s="234"/>
      <c r="G28" s="235"/>
      <c r="H28" s="236"/>
      <c r="I28" s="797"/>
      <c r="J28" s="217">
        <f>+'10'!J28</f>
        <v>0</v>
      </c>
      <c r="K28" s="242"/>
      <c r="L28" s="242"/>
      <c r="M28" s="120">
        <f>+K28+'10'!M28+L28</f>
        <v>0</v>
      </c>
    </row>
    <row r="29" spans="1:13" ht="13.5" customHeight="1" thickBot="1">
      <c r="A29" s="799"/>
      <c r="B29" s="218"/>
      <c r="C29" s="219"/>
      <c r="D29" s="220"/>
      <c r="E29" s="228"/>
      <c r="F29" s="239"/>
      <c r="G29" s="235"/>
      <c r="H29" s="236"/>
      <c r="I29" s="797"/>
      <c r="J29" s="217">
        <f>+'10'!J29</f>
        <v>0</v>
      </c>
      <c r="K29" s="242"/>
      <c r="L29" s="242"/>
      <c r="M29" s="120">
        <f>+K29+'10'!M29+L29</f>
        <v>0</v>
      </c>
    </row>
    <row r="30" spans="1:13" ht="13.5" customHeight="1" thickBot="1">
      <c r="A30" s="799"/>
      <c r="B30" s="218"/>
      <c r="C30" s="229"/>
      <c r="D30" s="220"/>
      <c r="E30" s="228"/>
      <c r="F30" s="239"/>
      <c r="G30" s="235"/>
      <c r="H30" s="236"/>
      <c r="I30" s="797"/>
      <c r="J30" s="217">
        <f>+'10'!J30</f>
        <v>0</v>
      </c>
      <c r="K30" s="243"/>
      <c r="L30" s="243"/>
      <c r="M30" s="120">
        <f>+K30+'10'!M30+L30</f>
        <v>0</v>
      </c>
    </row>
    <row r="31" spans="1:13" ht="13.5" customHeight="1" thickBot="1">
      <c r="A31" s="799"/>
      <c r="B31" s="218"/>
      <c r="C31" s="229"/>
      <c r="D31" s="220"/>
      <c r="E31" s="228"/>
      <c r="F31" s="239"/>
      <c r="G31" s="240"/>
      <c r="H31" s="237"/>
      <c r="I31" s="798"/>
      <c r="J31" s="217">
        <f>+'10'!J31</f>
        <v>0</v>
      </c>
      <c r="K31" s="242"/>
      <c r="L31" s="242"/>
      <c r="M31" s="120">
        <f>+K31+'10'!M31+L31</f>
        <v>0</v>
      </c>
    </row>
    <row r="32" spans="1:13" ht="13.5" customHeight="1" thickBot="1">
      <c r="A32" s="800"/>
      <c r="B32" s="168" t="s">
        <v>3</v>
      </c>
      <c r="C32" s="102">
        <f>SUM(C25:C31)</f>
        <v>17301</v>
      </c>
      <c r="D32" s="103">
        <f>SUM(D25:D31)</f>
        <v>0</v>
      </c>
      <c r="E32" s="104">
        <f>SUM(E25:E31)</f>
        <v>0</v>
      </c>
      <c r="F32" s="105">
        <f>SUM(F24:F31)</f>
        <v>10</v>
      </c>
      <c r="G32" s="174"/>
      <c r="H32" s="175"/>
      <c r="I32" s="172"/>
      <c r="J32" s="217">
        <f>+'10'!J32</f>
        <v>0</v>
      </c>
      <c r="K32" s="242"/>
      <c r="L32" s="242"/>
      <c r="M32" s="120">
        <f>+K32+'10'!M32+L32</f>
        <v>0</v>
      </c>
    </row>
    <row r="33" spans="1:13" ht="13.5" thickBot="1">
      <c r="A33" s="176"/>
      <c r="B33" s="177"/>
      <c r="C33" s="106">
        <f>C32/($C$32+$D$32+$E$32)</f>
        <v>1</v>
      </c>
      <c r="D33" s="107">
        <f>D32/($C$32+$D$32+$E$32)</f>
        <v>0</v>
      </c>
      <c r="E33" s="108">
        <f>E32/($C$32+$D$32+$E$32)</f>
        <v>0</v>
      </c>
      <c r="F33" s="109"/>
      <c r="G33" s="178"/>
      <c r="H33" s="179"/>
      <c r="I33" s="180"/>
      <c r="J33" s="124"/>
      <c r="K33" s="125"/>
      <c r="L33" s="216"/>
      <c r="M33" s="122"/>
    </row>
    <row r="34" spans="1:13" ht="13.5" thickBot="1">
      <c r="A34" s="801" t="s">
        <v>70</v>
      </c>
      <c r="B34" s="802"/>
      <c r="C34" s="110">
        <f>C14+C23+C32</f>
        <v>52383</v>
      </c>
      <c r="D34" s="110">
        <f>D14+D23+D32</f>
        <v>0</v>
      </c>
      <c r="E34" s="110">
        <f>E14+E23+E32</f>
        <v>0</v>
      </c>
      <c r="F34" s="111">
        <f>F14+F23+F32</f>
        <v>46</v>
      </c>
      <c r="H34" s="181"/>
      <c r="I34" s="181"/>
      <c r="J34" s="126" t="s">
        <v>29</v>
      </c>
      <c r="K34" s="127">
        <f>SUM(K7:K32)</f>
        <v>52383</v>
      </c>
      <c r="L34" s="215">
        <f>SUM(L7:L32)</f>
        <v>0</v>
      </c>
      <c r="M34" s="123">
        <f>SUM(M7:M32)</f>
        <v>441586</v>
      </c>
    </row>
    <row r="35" spans="1:13" ht="13.5" thickBot="1">
      <c r="A35" s="182"/>
      <c r="B35" s="183"/>
      <c r="C35" s="107">
        <f>C34/($C$34+$D$34+$E$34)</f>
        <v>1</v>
      </c>
      <c r="D35" s="107">
        <f>D34/($C$34+$D$34+$E$34)</f>
        <v>0</v>
      </c>
      <c r="E35" s="112">
        <f>E34/($C$34+$D$34+$E$34)</f>
        <v>0</v>
      </c>
      <c r="K35" s="158"/>
      <c r="L35" s="792" t="s">
        <v>187</v>
      </c>
      <c r="M35" s="792"/>
    </row>
    <row r="36" spans="1:13" ht="13.5" thickBot="1">
      <c r="A36" s="181"/>
      <c r="B36" s="181"/>
      <c r="C36" s="158"/>
      <c r="D36" s="158"/>
      <c r="E36" s="158"/>
      <c r="G36" s="158"/>
      <c r="H36" s="184"/>
      <c r="I36" s="165" t="s">
        <v>41</v>
      </c>
      <c r="J36" s="165" t="s">
        <v>42</v>
      </c>
      <c r="K36" s="185"/>
      <c r="L36" s="165" t="s">
        <v>41</v>
      </c>
      <c r="M36" s="165" t="s">
        <v>42</v>
      </c>
    </row>
    <row r="37" spans="1:13" ht="17.45" customHeight="1" thickBot="1">
      <c r="A37" s="790" t="s">
        <v>71</v>
      </c>
      <c r="B37" s="791"/>
      <c r="C37" s="165" t="s">
        <v>72</v>
      </c>
      <c r="D37" s="186" t="s">
        <v>73</v>
      </c>
      <c r="E37" s="187" t="s">
        <v>74</v>
      </c>
      <c r="F37" s="365"/>
      <c r="G37" s="367"/>
      <c r="H37" s="189" t="s">
        <v>75</v>
      </c>
      <c r="I37" s="247">
        <f>(22*1440)/1440*G42*2.75*1440/1000000</f>
        <v>55.443167999999993</v>
      </c>
      <c r="J37" s="128">
        <f>+I37+'10'!J37</f>
        <v>480.45041925377677</v>
      </c>
      <c r="K37" s="129" t="s">
        <v>76</v>
      </c>
      <c r="L37" s="426"/>
      <c r="M37" s="427"/>
    </row>
    <row r="38" spans="1:13" ht="17.45" customHeight="1">
      <c r="A38" s="786" t="s">
        <v>13</v>
      </c>
      <c r="B38" s="787"/>
      <c r="C38" s="167">
        <f>SUMIF($G$7:$G$31,"Process",$F$7:$F$31)</f>
        <v>34</v>
      </c>
      <c r="D38" s="121">
        <f>+C38+'10'!D38</f>
        <v>1018</v>
      </c>
      <c r="E38" s="146">
        <f t="shared" ref="E38:E51" si="0">D38/60</f>
        <v>16.966666666666665</v>
      </c>
      <c r="F38" s="365">
        <v>740</v>
      </c>
      <c r="G38" s="367">
        <v>636.4</v>
      </c>
      <c r="H38" s="190" t="s">
        <v>77</v>
      </c>
      <c r="I38" s="547">
        <f>17.867+17.718+19.009</f>
        <v>54.594000000000001</v>
      </c>
      <c r="J38" s="130">
        <f>+I38+'10'!J38</f>
        <v>452.6343</v>
      </c>
      <c r="K38" s="131" t="s">
        <v>76</v>
      </c>
      <c r="L38" s="428"/>
      <c r="M38" s="429"/>
    </row>
    <row r="39" spans="1:13" ht="17.45" customHeight="1">
      <c r="A39" s="782" t="s">
        <v>14</v>
      </c>
      <c r="B39" s="783"/>
      <c r="C39" s="167">
        <f>SUMIF($G$7:$G$31,"Cleaning",$F$7:$F$31)</f>
        <v>12</v>
      </c>
      <c r="D39" s="121">
        <f>+C39+'10'!D39</f>
        <v>119</v>
      </c>
      <c r="E39" s="146">
        <f t="shared" si="0"/>
        <v>1.9833333333333334</v>
      </c>
      <c r="F39" s="365">
        <v>740</v>
      </c>
      <c r="G39" s="367">
        <v>636.4</v>
      </c>
      <c r="H39" s="190" t="s">
        <v>78</v>
      </c>
      <c r="I39" s="145"/>
      <c r="J39" s="132">
        <f>J37/G4</f>
        <v>43.677310841252435</v>
      </c>
      <c r="K39" s="133" t="s">
        <v>76</v>
      </c>
      <c r="L39" s="428"/>
      <c r="M39" s="429"/>
    </row>
    <row r="40" spans="1:13" ht="17.45" customHeight="1">
      <c r="A40" s="782" t="s">
        <v>79</v>
      </c>
      <c r="B40" s="783"/>
      <c r="C40" s="167">
        <f>SUMIF($G$7:$G$31,"Mechanical",$F$7:$F$31)</f>
        <v>0</v>
      </c>
      <c r="D40" s="121">
        <f>+C40+'10'!D40</f>
        <v>120</v>
      </c>
      <c r="E40" s="146">
        <f t="shared" si="0"/>
        <v>2</v>
      </c>
      <c r="F40" s="365">
        <v>740</v>
      </c>
      <c r="G40" s="367">
        <v>636.4</v>
      </c>
      <c r="H40" s="190" t="s">
        <v>80</v>
      </c>
      <c r="I40" s="121">
        <f>(K34+L34)/1000</f>
        <v>52.383000000000003</v>
      </c>
      <c r="J40" s="134">
        <f>+I40+'10'!J40</f>
        <v>441.58600000000001</v>
      </c>
      <c r="K40" s="133" t="s">
        <v>76</v>
      </c>
      <c r="L40" s="428"/>
      <c r="M40" s="429"/>
    </row>
    <row r="41" spans="1:13" ht="17.45" customHeight="1">
      <c r="A41" s="782" t="s">
        <v>81</v>
      </c>
      <c r="B41" s="783"/>
      <c r="C41" s="167">
        <f>SUMIF($G$7:$G$31,"Electrical",$F$7:$F$31)</f>
        <v>0</v>
      </c>
      <c r="D41" s="121">
        <f>+C41+'10'!D41</f>
        <v>65</v>
      </c>
      <c r="E41" s="146">
        <f t="shared" si="0"/>
        <v>1.0833333333333333</v>
      </c>
      <c r="F41" s="365"/>
      <c r="G41" s="365"/>
      <c r="H41" s="190" t="s">
        <v>82</v>
      </c>
      <c r="I41" s="145"/>
      <c r="J41" s="132">
        <f>J40/G4</f>
        <v>40.144181818181821</v>
      </c>
      <c r="K41" s="133" t="s">
        <v>76</v>
      </c>
      <c r="L41" s="428"/>
      <c r="M41" s="429"/>
    </row>
    <row r="42" spans="1:13" ht="17.45" customHeight="1">
      <c r="A42" s="782" t="s">
        <v>17</v>
      </c>
      <c r="B42" s="783"/>
      <c r="C42" s="167">
        <f>SUMIF($G$7:$G$31,"Instrument",$F$7:$F$31)</f>
        <v>0</v>
      </c>
      <c r="D42" s="121">
        <f>+C42+'10'!D42</f>
        <v>0</v>
      </c>
      <c r="E42" s="146">
        <f t="shared" si="0"/>
        <v>0</v>
      </c>
      <c r="F42" s="365">
        <f>+(480*F38+480*F39+480*F40)/1440</f>
        <v>740</v>
      </c>
      <c r="G42" s="365">
        <f>+(480*G38+480*G39+480*G40)/1440</f>
        <v>636.4</v>
      </c>
      <c r="H42" s="190" t="s">
        <v>83</v>
      </c>
      <c r="I42" s="249" t="s">
        <v>582</v>
      </c>
      <c r="J42" s="135"/>
      <c r="K42" s="133" t="s">
        <v>84</v>
      </c>
      <c r="L42" s="428"/>
      <c r="M42" s="429"/>
    </row>
    <row r="43" spans="1:13" ht="17.45" customHeight="1">
      <c r="A43" s="782" t="s">
        <v>202</v>
      </c>
      <c r="B43" s="783"/>
      <c r="C43" s="167">
        <f>SUMIF($G$7:$G$31,"Change Grade",$F$7:$F$31)</f>
        <v>0</v>
      </c>
      <c r="D43" s="121">
        <f>+C43+'10'!D43</f>
        <v>0</v>
      </c>
      <c r="E43" s="146">
        <f t="shared" si="0"/>
        <v>0</v>
      </c>
      <c r="F43" s="365"/>
      <c r="G43" s="366"/>
      <c r="H43" s="191" t="s">
        <v>86</v>
      </c>
      <c r="I43" s="121">
        <f>+Report1!AH19</f>
        <v>68.099999999999994</v>
      </c>
      <c r="J43" s="136">
        <f>+I43+'10'!J43</f>
        <v>659.6</v>
      </c>
      <c r="K43" s="133" t="s">
        <v>76</v>
      </c>
      <c r="L43" s="430">
        <f>+Report1!AN19</f>
        <v>0</v>
      </c>
      <c r="M43" s="431">
        <f>+L43+'10'!M43</f>
        <v>0</v>
      </c>
    </row>
    <row r="44" spans="1:13" ht="17.45" customHeight="1">
      <c r="A44" s="782" t="s">
        <v>18</v>
      </c>
      <c r="B44" s="783"/>
      <c r="C44" s="167">
        <f>SUMIF($G$7:$G$31,"PLN",$F$7:$F$31)</f>
        <v>0</v>
      </c>
      <c r="D44" s="121">
        <f>+C44+'10'!D44</f>
        <v>0</v>
      </c>
      <c r="E44" s="146">
        <f t="shared" si="0"/>
        <v>0</v>
      </c>
      <c r="F44" s="365"/>
      <c r="G44" s="366"/>
      <c r="H44" s="191" t="s">
        <v>87</v>
      </c>
      <c r="I44" s="121">
        <f>I43/I38</f>
        <v>1.2473898230574787</v>
      </c>
      <c r="J44" s="137">
        <f>J43/J38</f>
        <v>1.4572470535264341</v>
      </c>
      <c r="K44" s="133" t="s">
        <v>76</v>
      </c>
      <c r="L44" s="432">
        <f>+L43/I38</f>
        <v>0</v>
      </c>
      <c r="M44" s="433">
        <f>+M43/J38</f>
        <v>0</v>
      </c>
    </row>
    <row r="45" spans="1:13" ht="17.45" customHeight="1">
      <c r="A45" s="782" t="s">
        <v>19</v>
      </c>
      <c r="B45" s="783"/>
      <c r="C45" s="167">
        <f>SUMIF($G$7:$G$31,"Boiler",$F$7:$F$31)</f>
        <v>0</v>
      </c>
      <c r="D45" s="121">
        <f>+C45+'10'!D45</f>
        <v>0</v>
      </c>
      <c r="E45" s="146">
        <f t="shared" si="0"/>
        <v>0</v>
      </c>
      <c r="F45" s="365"/>
      <c r="G45" s="368"/>
      <c r="H45" s="191" t="s">
        <v>88</v>
      </c>
      <c r="I45" s="121">
        <f>I43/I40</f>
        <v>1.3000400893419619</v>
      </c>
      <c r="J45" s="137">
        <f>J43/J40</f>
        <v>1.4937067751242115</v>
      </c>
      <c r="K45" s="133" t="s">
        <v>76</v>
      </c>
      <c r="L45" s="432">
        <f>+L43/I40</f>
        <v>0</v>
      </c>
      <c r="M45" s="433">
        <f>+M43/J40</f>
        <v>0</v>
      </c>
    </row>
    <row r="46" spans="1:13" ht="17.45" customHeight="1">
      <c r="A46" s="782" t="s">
        <v>89</v>
      </c>
      <c r="B46" s="783"/>
      <c r="C46" s="167">
        <f>SUMIF($G$7:$G$31,"Gas",$F$7:$F$31)</f>
        <v>0</v>
      </c>
      <c r="D46" s="121">
        <f>+C46+'10'!D46</f>
        <v>0</v>
      </c>
      <c r="E46" s="146">
        <f t="shared" si="0"/>
        <v>0</v>
      </c>
      <c r="F46" s="365"/>
      <c r="G46" s="366"/>
      <c r="H46" s="191" t="s">
        <v>90</v>
      </c>
      <c r="I46" s="143">
        <f>+SUMIF(Listrik!P18,"&gt;0")</f>
        <v>37643.739999999954</v>
      </c>
      <c r="J46" s="138">
        <f>+I46+'10'!J46</f>
        <v>386538.01999999996</v>
      </c>
      <c r="K46" s="133" t="s">
        <v>91</v>
      </c>
      <c r="L46" s="432">
        <f>+Listrik!AF18</f>
        <v>0</v>
      </c>
      <c r="M46" s="434">
        <f>+L46+'10'!M46</f>
        <v>0</v>
      </c>
    </row>
    <row r="47" spans="1:13" ht="17.45" customHeight="1">
      <c r="A47" s="782" t="s">
        <v>92</v>
      </c>
      <c r="B47" s="783"/>
      <c r="C47" s="167">
        <f>SUMIF($G$7:$G$31,"Gas",$F$7:$F$31)</f>
        <v>0</v>
      </c>
      <c r="D47" s="121">
        <f>+C47+'10'!D47</f>
        <v>0</v>
      </c>
      <c r="E47" s="146">
        <f t="shared" si="0"/>
        <v>0</v>
      </c>
      <c r="F47" s="365"/>
      <c r="G47" s="366"/>
      <c r="H47" s="191" t="s">
        <v>93</v>
      </c>
      <c r="I47" s="121">
        <f>I46/I38</f>
        <v>689.52155914569278</v>
      </c>
      <c r="J47" s="138">
        <f>J46/J38</f>
        <v>853.97421273641874</v>
      </c>
      <c r="K47" s="133" t="s">
        <v>25</v>
      </c>
      <c r="L47" s="432">
        <f>+L46/I38</f>
        <v>0</v>
      </c>
      <c r="M47" s="433">
        <f>+M46/J38</f>
        <v>0</v>
      </c>
    </row>
    <row r="48" spans="1:13" ht="17.45" customHeight="1">
      <c r="A48" s="782" t="s">
        <v>15</v>
      </c>
      <c r="B48" s="783"/>
      <c r="C48" s="167">
        <f>SUMIF($G$7:$G$31,"Start Up",$F$7:$F$31)</f>
        <v>0</v>
      </c>
      <c r="D48" s="121">
        <f>+C48+'10'!D48</f>
        <v>0</v>
      </c>
      <c r="E48" s="146">
        <f t="shared" si="0"/>
        <v>0</v>
      </c>
      <c r="F48" s="365"/>
      <c r="G48" s="366"/>
      <c r="H48" s="191" t="s">
        <v>94</v>
      </c>
      <c r="I48" s="121">
        <f>I46/I40</f>
        <v>718.62512647232791</v>
      </c>
      <c r="J48" s="138">
        <f>J46/J40</f>
        <v>875.34029611445999</v>
      </c>
      <c r="K48" s="133" t="s">
        <v>25</v>
      </c>
      <c r="L48" s="432">
        <f>+L46/I38</f>
        <v>0</v>
      </c>
      <c r="M48" s="433">
        <f>+M46/J40</f>
        <v>0</v>
      </c>
    </row>
    <row r="49" spans="1:13" ht="17.45" customHeight="1">
      <c r="A49" s="782" t="s">
        <v>21</v>
      </c>
      <c r="B49" s="783"/>
      <c r="C49" s="167">
        <f>SUMIF($G$7:$G$31,"Others",$F$7:$F$31)</f>
        <v>0</v>
      </c>
      <c r="D49" s="121">
        <f>+C49+'10'!D49</f>
        <v>924</v>
      </c>
      <c r="E49" s="146">
        <f t="shared" si="0"/>
        <v>15.4</v>
      </c>
      <c r="F49" s="188"/>
      <c r="H49" s="191" t="s">
        <v>182</v>
      </c>
      <c r="I49" s="121">
        <f>+Report1!AB19</f>
        <v>4422.8808165316623</v>
      </c>
      <c r="J49" s="138">
        <f>+I49+'10'!J49</f>
        <v>39402.086720911859</v>
      </c>
      <c r="K49" s="133" t="s">
        <v>96</v>
      </c>
      <c r="L49" s="428"/>
      <c r="M49" s="429"/>
    </row>
    <row r="50" spans="1:13" ht="17.45" customHeight="1">
      <c r="A50" s="782" t="s">
        <v>20</v>
      </c>
      <c r="B50" s="783"/>
      <c r="C50" s="167">
        <f>SUMIF($G$7:$G$31,"Steam",$F$7:$F$31)</f>
        <v>0</v>
      </c>
      <c r="D50" s="121">
        <f>+C50+'10'!D50</f>
        <v>0</v>
      </c>
      <c r="E50" s="146">
        <f t="shared" si="0"/>
        <v>0</v>
      </c>
      <c r="F50" s="188"/>
      <c r="H50" s="191" t="s">
        <v>97</v>
      </c>
      <c r="I50" s="143">
        <f>I49/I38</f>
        <v>81.014045802316417</v>
      </c>
      <c r="J50" s="136">
        <f>J49/J38</f>
        <v>87.050598509463072</v>
      </c>
      <c r="K50" s="133" t="s">
        <v>96</v>
      </c>
      <c r="L50" s="428"/>
      <c r="M50" s="429"/>
    </row>
    <row r="51" spans="1:13" ht="17.45" customHeight="1" thickBot="1">
      <c r="A51" s="784" t="s">
        <v>98</v>
      </c>
      <c r="B51" s="785"/>
      <c r="C51" s="167">
        <f>SUMIF($G$7:$G$31,"Planned shut",$F$7:$F$31)</f>
        <v>0</v>
      </c>
      <c r="D51" s="121">
        <f>+C51+'10'!D51</f>
        <v>0</v>
      </c>
      <c r="E51" s="146">
        <f t="shared" si="0"/>
        <v>0</v>
      </c>
      <c r="F51" s="188"/>
      <c r="H51" s="193" t="s">
        <v>99</v>
      </c>
      <c r="I51" s="144">
        <f>I49/I40</f>
        <v>84.433515005472429</v>
      </c>
      <c r="J51" s="139">
        <f>J49/J40</f>
        <v>89.22856866139746</v>
      </c>
      <c r="K51" s="140" t="s">
        <v>96</v>
      </c>
      <c r="L51" s="428"/>
      <c r="M51" s="429"/>
    </row>
    <row r="52" spans="1:13" ht="13.5" thickBot="1">
      <c r="A52" s="786" t="s">
        <v>29</v>
      </c>
      <c r="B52" s="787"/>
      <c r="C52" s="147">
        <f>SUM(C38:C51)</f>
        <v>46</v>
      </c>
      <c r="D52" s="147">
        <f>SUM(D38:D51)</f>
        <v>2246</v>
      </c>
      <c r="E52" s="148">
        <f>SUM(E38:E51)</f>
        <v>37.43333333333333</v>
      </c>
      <c r="F52" s="188"/>
      <c r="H52" s="194"/>
      <c r="I52" s="195"/>
      <c r="J52" s="141"/>
      <c r="K52" s="142"/>
      <c r="L52" s="435"/>
      <c r="M52" s="436"/>
    </row>
    <row r="53" spans="1:13" ht="13.5" thickBot="1">
      <c r="A53" s="788"/>
      <c r="B53" s="789"/>
      <c r="C53" s="149">
        <f>C52/(24*60)</f>
        <v>3.1944444444444442E-2</v>
      </c>
      <c r="D53" s="149">
        <f>D52/(24*60*G4)</f>
        <v>0.1417929292929293</v>
      </c>
      <c r="E53" s="150">
        <f>E52/(G4*24)</f>
        <v>0.14179292929292928</v>
      </c>
      <c r="F53" s="188"/>
    </row>
    <row r="54" spans="1:13">
      <c r="E54" s="196"/>
      <c r="F54" s="188"/>
    </row>
    <row r="55" spans="1:13">
      <c r="E55" s="196"/>
    </row>
    <row r="56" spans="1:13">
      <c r="A56" s="197" t="s">
        <v>100</v>
      </c>
      <c r="B56" s="198"/>
      <c r="C56" s="199"/>
      <c r="D56" s="199"/>
      <c r="E56" s="199"/>
      <c r="F56" s="200"/>
      <c r="G56" s="199"/>
      <c r="H56" s="201"/>
      <c r="I56" s="202" t="s">
        <v>101</v>
      </c>
      <c r="J56" s="203">
        <f>+D34+'10'!J56</f>
        <v>1230</v>
      </c>
      <c r="K56" s="204">
        <f>J56/(J40+J56/1000)/1000</f>
        <v>2.7776774100303513E-3</v>
      </c>
    </row>
    <row r="57" spans="1:13">
      <c r="A57" s="179"/>
      <c r="I57" s="202" t="s">
        <v>102</v>
      </c>
      <c r="J57" s="203">
        <f>+E34+'10'!J57</f>
        <v>0</v>
      </c>
      <c r="K57" s="204">
        <f>J57/(J40+J57/1000)/1000</f>
        <v>0</v>
      </c>
    </row>
    <row r="58" spans="1:13">
      <c r="A58" s="205"/>
      <c r="B58" s="206"/>
      <c r="F58" s="188"/>
      <c r="H58" s="207"/>
      <c r="J58" s="152">
        <v>325</v>
      </c>
    </row>
    <row r="59" spans="1:13">
      <c r="A59" s="208"/>
      <c r="B59" s="179"/>
      <c r="C59" s="179"/>
      <c r="D59" s="179"/>
      <c r="E59" s="179"/>
      <c r="F59" s="192"/>
      <c r="G59" s="179"/>
      <c r="H59" s="207"/>
      <c r="J59" s="158">
        <f>+J56+J58</f>
        <v>1555</v>
      </c>
    </row>
    <row r="60" spans="1:13">
      <c r="H60" s="207"/>
    </row>
    <row r="61" spans="1:13">
      <c r="A61" s="209"/>
      <c r="B61" s="210"/>
      <c r="C61" s="210"/>
      <c r="D61" s="210"/>
      <c r="E61" s="210"/>
      <c r="F61" s="211"/>
      <c r="G61" s="210"/>
      <c r="H61" s="212"/>
    </row>
  </sheetData>
  <mergeCells count="25">
    <mergeCell ref="A53:B53"/>
    <mergeCell ref="A52:B52"/>
    <mergeCell ref="A46:B46"/>
    <mergeCell ref="A51:B51"/>
    <mergeCell ref="A50:B50"/>
    <mergeCell ref="A49:B49"/>
    <mergeCell ref="A47:B47"/>
    <mergeCell ref="A48:B48"/>
    <mergeCell ref="A45:B45"/>
    <mergeCell ref="A42:B42"/>
    <mergeCell ref="I24:I31"/>
    <mergeCell ref="A37:B37"/>
    <mergeCell ref="A44:B44"/>
    <mergeCell ref="A24:A32"/>
    <mergeCell ref="A43:B43"/>
    <mergeCell ref="L35:M35"/>
    <mergeCell ref="A41:B41"/>
    <mergeCell ref="A7:A14"/>
    <mergeCell ref="A40:B40"/>
    <mergeCell ref="A34:B34"/>
    <mergeCell ref="A38:B38"/>
    <mergeCell ref="A39:B39"/>
    <mergeCell ref="I7:I13"/>
    <mergeCell ref="A15:A23"/>
    <mergeCell ref="I15:I22"/>
  </mergeCells>
  <phoneticPr fontId="31" type="noConversion"/>
  <pageMargins left="0.17" right="0.16" top="0.17" bottom="0.16" header="0" footer="0"/>
  <pageSetup paperSize="9" scale="62" firstPageNumber="4294963191"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61"/>
  <sheetViews>
    <sheetView view="pageBreakPreview" topLeftCell="E19" zoomScale="80" zoomScaleNormal="75" zoomScaleSheetLayoutView="80" workbookViewId="0">
      <selection activeCell="O36" sqref="O36:P37"/>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9.140625" style="152" customWidth="1"/>
    <col min="11" max="11" width="12.5703125" style="152" bestFit="1" customWidth="1"/>
    <col min="12" max="12" width="8.28515625" style="152" customWidth="1"/>
    <col min="13" max="13" width="12.140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10</v>
      </c>
      <c r="H4" s="157" t="str">
        <f>+'1'!H4</f>
        <v>.03.26</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568</v>
      </c>
      <c r="O6" s="152">
        <v>1000</v>
      </c>
      <c r="P6" s="152">
        <f>+O6-(O6*0.14)</f>
        <v>860</v>
      </c>
      <c r="Q6" s="152">
        <f>60+30</f>
        <v>90</v>
      </c>
      <c r="R6" s="152">
        <f t="shared" ref="R6:R7" si="0">+O6*Q6</f>
        <v>90000</v>
      </c>
      <c r="S6" s="152">
        <f t="shared" ref="S6:S7" si="1">+P6*Q6</f>
        <v>77400</v>
      </c>
    </row>
    <row r="7" spans="1:19" ht="13.5" customHeight="1" thickBot="1">
      <c r="A7" s="793" t="s">
        <v>431</v>
      </c>
      <c r="B7" s="218" t="s">
        <v>578</v>
      </c>
      <c r="C7" s="219">
        <v>5869</v>
      </c>
      <c r="D7" s="220"/>
      <c r="E7" s="221"/>
      <c r="F7" s="231"/>
      <c r="G7" s="232" t="s">
        <v>13</v>
      </c>
      <c r="H7" s="233" t="s">
        <v>391</v>
      </c>
      <c r="I7" s="796" t="s">
        <v>741</v>
      </c>
      <c r="J7" s="217" t="str">
        <f>+'9'!J7</f>
        <v>T 14 RC HW</v>
      </c>
      <c r="K7" s="241"/>
      <c r="L7" s="245"/>
      <c r="M7" s="120">
        <f>+K7+'9'!M7+L7</f>
        <v>41293</v>
      </c>
      <c r="N7" s="152" t="s">
        <v>581</v>
      </c>
      <c r="O7" s="152">
        <v>740</v>
      </c>
      <c r="P7" s="152">
        <f>+O7-(O7*0.14)</f>
        <v>636.4</v>
      </c>
      <c r="Q7" s="152">
        <f>480-Q6</f>
        <v>390</v>
      </c>
      <c r="R7" s="152">
        <f t="shared" si="0"/>
        <v>288600</v>
      </c>
      <c r="S7" s="152">
        <f t="shared" si="1"/>
        <v>248196</v>
      </c>
    </row>
    <row r="8" spans="1:19" ht="13.5" thickBot="1">
      <c r="A8" s="794"/>
      <c r="B8" s="218" t="s">
        <v>589</v>
      </c>
      <c r="C8" s="219">
        <v>10028</v>
      </c>
      <c r="D8" s="220"/>
      <c r="E8" s="222"/>
      <c r="F8" s="234">
        <v>4</v>
      </c>
      <c r="G8" s="583" t="s">
        <v>13</v>
      </c>
      <c r="H8" s="233" t="s">
        <v>420</v>
      </c>
      <c r="I8" s="797"/>
      <c r="J8" s="217" t="str">
        <f>+'9'!J8</f>
        <v>T 15,5 RC HW</v>
      </c>
      <c r="K8" s="242"/>
      <c r="L8" s="242"/>
      <c r="M8" s="120">
        <f>+K8+'9'!M8+L8</f>
        <v>139937</v>
      </c>
    </row>
    <row r="9" spans="1:19" ht="13.5" thickBot="1">
      <c r="A9" s="794"/>
      <c r="B9" s="218"/>
      <c r="C9" s="219"/>
      <c r="D9" s="220"/>
      <c r="E9" s="223"/>
      <c r="F9" s="231">
        <v>14</v>
      </c>
      <c r="G9" s="583" t="s">
        <v>13</v>
      </c>
      <c r="H9" s="236" t="s">
        <v>473</v>
      </c>
      <c r="I9" s="797"/>
      <c r="J9" s="217" t="str">
        <f>+'9'!J9</f>
        <v>T 13,5 RC HW</v>
      </c>
      <c r="K9" s="242"/>
      <c r="L9" s="242"/>
      <c r="M9" s="120">
        <f>+K9+'9'!M9+L9</f>
        <v>31497</v>
      </c>
    </row>
    <row r="10" spans="1:19" ht="26.25" thickBot="1">
      <c r="A10" s="794"/>
      <c r="B10" s="218"/>
      <c r="C10" s="219"/>
      <c r="D10" s="220"/>
      <c r="E10" s="222"/>
      <c r="F10" s="231"/>
      <c r="G10" s="240" t="s">
        <v>14</v>
      </c>
      <c r="H10" s="236" t="s">
        <v>579</v>
      </c>
      <c r="I10" s="797"/>
      <c r="J10" s="217" t="str">
        <f>+'9'!J10</f>
        <v>T 20 RC HW</v>
      </c>
      <c r="K10" s="242"/>
      <c r="L10" s="242"/>
      <c r="M10" s="120">
        <f>+K10+'9'!M10+L10</f>
        <v>35769</v>
      </c>
    </row>
    <row r="11" spans="1:19" ht="13.5" thickBot="1">
      <c r="A11" s="794"/>
      <c r="B11" s="218"/>
      <c r="C11" s="219"/>
      <c r="D11" s="220"/>
      <c r="E11" s="222"/>
      <c r="F11" s="231"/>
      <c r="G11" s="235"/>
      <c r="H11" s="236" t="s">
        <v>743</v>
      </c>
      <c r="I11" s="797"/>
      <c r="J11" s="217" t="str">
        <f>+'9'!J11</f>
        <v>T 17 RC HW</v>
      </c>
      <c r="K11" s="242"/>
      <c r="L11" s="242"/>
      <c r="M11" s="120">
        <f>+K11+'9'!M11+L11</f>
        <v>18517</v>
      </c>
    </row>
    <row r="12" spans="1:19" ht="13.5" thickBot="1">
      <c r="A12" s="794"/>
      <c r="B12" s="218"/>
      <c r="C12" s="219"/>
      <c r="D12" s="220"/>
      <c r="E12" s="222"/>
      <c r="F12" s="231"/>
      <c r="G12" s="235"/>
      <c r="H12" s="236"/>
      <c r="I12" s="797"/>
      <c r="J12" s="217" t="str">
        <f>+'9'!J12</f>
        <v>T 16 RC HW</v>
      </c>
      <c r="K12" s="242"/>
      <c r="L12" s="242"/>
      <c r="M12" s="120">
        <f>+K12+'9'!M12+L12</f>
        <v>38417</v>
      </c>
    </row>
    <row r="13" spans="1:19" ht="13.5" thickBot="1">
      <c r="A13" s="794"/>
      <c r="B13" s="218"/>
      <c r="C13" s="219"/>
      <c r="D13" s="219"/>
      <c r="E13" s="222"/>
      <c r="F13" s="231"/>
      <c r="G13" s="235"/>
      <c r="H13" s="236"/>
      <c r="I13" s="798"/>
      <c r="J13" s="217" t="str">
        <f>+'9'!J13</f>
        <v>N 15,5 RC HW</v>
      </c>
      <c r="K13" s="242">
        <f>+C7</f>
        <v>5869</v>
      </c>
      <c r="L13" s="242"/>
      <c r="M13" s="120">
        <f>+K13+'9'!M13+L13</f>
        <v>37930</v>
      </c>
      <c r="Q13" s="179">
        <f>SUM(Q6:Q12)</f>
        <v>480</v>
      </c>
      <c r="R13" s="179">
        <f>SUM(R6:R12)</f>
        <v>378600</v>
      </c>
      <c r="S13" s="179">
        <f>SUM(S6:S12)</f>
        <v>325596</v>
      </c>
    </row>
    <row r="14" spans="1:19" ht="13.5" thickBot="1">
      <c r="A14" s="795"/>
      <c r="B14" s="168" t="s">
        <v>3</v>
      </c>
      <c r="C14" s="102">
        <f>SUM(C7:C13)</f>
        <v>15897</v>
      </c>
      <c r="D14" s="114">
        <f>SUM(D7:D13)</f>
        <v>0</v>
      </c>
      <c r="E14" s="115">
        <f>SUM(E5:E13)</f>
        <v>0</v>
      </c>
      <c r="F14" s="105">
        <f>SUM(F6:F13)</f>
        <v>18</v>
      </c>
      <c r="G14" s="162"/>
      <c r="H14" s="169"/>
      <c r="I14" s="170"/>
      <c r="J14" s="217" t="s">
        <v>589</v>
      </c>
      <c r="K14" s="242">
        <f>+C8+C16+C25</f>
        <v>45843</v>
      </c>
      <c r="L14" s="242"/>
      <c r="M14" s="120">
        <f>+K14+'9'!M14+L14</f>
        <v>45843</v>
      </c>
      <c r="Q14" s="152">
        <f>480-Q13</f>
        <v>0</v>
      </c>
      <c r="R14" s="179">
        <f>+R13/Q13</f>
        <v>788.75</v>
      </c>
      <c r="S14" s="179">
        <f>+S13/Q13</f>
        <v>678.32500000000005</v>
      </c>
    </row>
    <row r="15" spans="1:19" ht="13.5" customHeight="1" thickBot="1">
      <c r="A15" s="793" t="s">
        <v>432</v>
      </c>
      <c r="B15" s="168"/>
      <c r="C15" s="116">
        <f>C14/($C$23+$D$23+$E$23)</f>
        <v>0.87722105727844613</v>
      </c>
      <c r="D15" s="117">
        <f>D14/($C$23+$D$23+$E$23)</f>
        <v>0</v>
      </c>
      <c r="E15" s="118">
        <f>E14/($C$23+$D$23+$E$23)</f>
        <v>0</v>
      </c>
      <c r="F15" s="231"/>
      <c r="G15" s="232" t="s">
        <v>13</v>
      </c>
      <c r="H15" s="233" t="s">
        <v>391</v>
      </c>
      <c r="I15" s="796" t="s">
        <v>742</v>
      </c>
      <c r="J15" s="217">
        <f>+'9'!J15</f>
        <v>0</v>
      </c>
      <c r="K15" s="242"/>
      <c r="L15" s="242"/>
      <c r="M15" s="120">
        <f>+K15+'9'!M15+L15</f>
        <v>0</v>
      </c>
    </row>
    <row r="16" spans="1:19" ht="13.5" thickBot="1">
      <c r="A16" s="799"/>
      <c r="B16" s="218" t="s">
        <v>589</v>
      </c>
      <c r="C16" s="219">
        <v>18122</v>
      </c>
      <c r="D16" s="226"/>
      <c r="E16" s="227"/>
      <c r="F16" s="234">
        <v>2</v>
      </c>
      <c r="G16" s="583" t="s">
        <v>13</v>
      </c>
      <c r="H16" s="233" t="s">
        <v>455</v>
      </c>
      <c r="I16" s="797"/>
      <c r="J16" s="217">
        <f>+'9'!J16</f>
        <v>0</v>
      </c>
      <c r="K16" s="242"/>
      <c r="L16" s="242"/>
      <c r="M16" s="120">
        <f>+K16+'9'!M16+L16</f>
        <v>0</v>
      </c>
      <c r="N16" s="152" t="s">
        <v>581</v>
      </c>
      <c r="O16" s="152">
        <v>740</v>
      </c>
      <c r="P16" s="152">
        <f>+O16-(O16*0.14)</f>
        <v>636.4</v>
      </c>
      <c r="Q16" s="152">
        <v>480</v>
      </c>
      <c r="R16" s="152">
        <f t="shared" ref="R16" si="2">+O16*Q16</f>
        <v>355200</v>
      </c>
      <c r="S16" s="152">
        <f t="shared" ref="S16" si="3">+P16*Q16</f>
        <v>305472</v>
      </c>
    </row>
    <row r="17" spans="1:19" ht="13.5" thickBot="1">
      <c r="A17" s="799"/>
      <c r="B17" s="218"/>
      <c r="C17" s="219"/>
      <c r="D17" s="220"/>
      <c r="E17" s="228"/>
      <c r="F17" s="231">
        <v>3</v>
      </c>
      <c r="G17" s="583" t="s">
        <v>13</v>
      </c>
      <c r="H17" s="236" t="s">
        <v>456</v>
      </c>
      <c r="I17" s="797"/>
      <c r="J17" s="217">
        <f>+'9'!J17</f>
        <v>0</v>
      </c>
      <c r="K17" s="242"/>
      <c r="L17" s="242"/>
      <c r="M17" s="120">
        <f>+K17+'9'!M17+L17</f>
        <v>0</v>
      </c>
    </row>
    <row r="18" spans="1:19" ht="26.25" thickBot="1">
      <c r="A18" s="799"/>
      <c r="B18" s="218"/>
      <c r="C18" s="219"/>
      <c r="D18" s="220"/>
      <c r="E18" s="228"/>
      <c r="F18" s="231"/>
      <c r="G18" s="240" t="s">
        <v>14</v>
      </c>
      <c r="H18" s="236" t="s">
        <v>744</v>
      </c>
      <c r="I18" s="797"/>
      <c r="J18" s="217">
        <f>+'9'!J18</f>
        <v>0</v>
      </c>
      <c r="K18" s="242"/>
      <c r="L18" s="242"/>
      <c r="M18" s="120">
        <f>+K18+'9'!M18+L18</f>
        <v>0</v>
      </c>
    </row>
    <row r="19" spans="1:19" ht="13.5" thickBot="1">
      <c r="A19" s="799"/>
      <c r="B19" s="218"/>
      <c r="C19" s="219"/>
      <c r="D19" s="220"/>
      <c r="E19" s="228"/>
      <c r="F19" s="238"/>
      <c r="G19" s="235"/>
      <c r="H19" s="236"/>
      <c r="I19" s="797"/>
      <c r="J19" s="217">
        <f>+'9'!J19</f>
        <v>0</v>
      </c>
      <c r="K19" s="242"/>
      <c r="L19" s="242"/>
      <c r="M19" s="120">
        <f>+K19+'9'!M19+L19</f>
        <v>0</v>
      </c>
    </row>
    <row r="20" spans="1:19" ht="13.5" thickBot="1">
      <c r="A20" s="799"/>
      <c r="B20" s="218"/>
      <c r="C20" s="219"/>
      <c r="D20" s="220"/>
      <c r="E20" s="228"/>
      <c r="F20" s="231"/>
      <c r="G20" s="235"/>
      <c r="H20" s="236"/>
      <c r="I20" s="797"/>
      <c r="J20" s="217">
        <f>+'9'!J20</f>
        <v>0</v>
      </c>
      <c r="K20" s="242"/>
      <c r="L20" s="242"/>
      <c r="M20" s="120">
        <f>+K20+'9'!M20+L20</f>
        <v>0</v>
      </c>
    </row>
    <row r="21" spans="1:19" ht="13.5" thickBot="1">
      <c r="A21" s="799"/>
      <c r="B21" s="218"/>
      <c r="C21" s="219"/>
      <c r="D21" s="220"/>
      <c r="E21" s="228"/>
      <c r="F21" s="234"/>
      <c r="G21" s="235"/>
      <c r="H21" s="236"/>
      <c r="I21" s="797"/>
      <c r="J21" s="217">
        <f>+'9'!J21</f>
        <v>0</v>
      </c>
      <c r="K21" s="242"/>
      <c r="L21" s="242"/>
      <c r="M21" s="120">
        <f>+K21+'9'!M21+L21</f>
        <v>0</v>
      </c>
    </row>
    <row r="22" spans="1:19" ht="13.5" thickBot="1">
      <c r="A22" s="799"/>
      <c r="B22" s="218"/>
      <c r="C22" s="219"/>
      <c r="D22" s="220"/>
      <c r="E22" s="228"/>
      <c r="F22" s="239"/>
      <c r="G22" s="235"/>
      <c r="H22" s="236"/>
      <c r="I22" s="798"/>
      <c r="J22" s="217">
        <f>+'9'!J22</f>
        <v>0</v>
      </c>
      <c r="K22" s="242"/>
      <c r="L22" s="242"/>
      <c r="M22" s="120">
        <f>+K22+'9'!M22+L22</f>
        <v>0</v>
      </c>
    </row>
    <row r="23" spans="1:19" ht="13.5" thickBot="1">
      <c r="A23" s="800"/>
      <c r="B23" s="168" t="s">
        <v>3</v>
      </c>
      <c r="C23" s="103">
        <f>SUM(C16:C22)</f>
        <v>18122</v>
      </c>
      <c r="D23" s="114">
        <f>SUM(D16:D22)</f>
        <v>0</v>
      </c>
      <c r="E23" s="115">
        <f>SUM(E18:E22)</f>
        <v>0</v>
      </c>
      <c r="F23" s="105">
        <f>SUM(F15:F22)</f>
        <v>5</v>
      </c>
      <c r="G23" s="162"/>
      <c r="H23" s="169"/>
      <c r="I23" s="172"/>
      <c r="J23" s="217">
        <f>+'9'!J23</f>
        <v>0</v>
      </c>
      <c r="K23" s="242"/>
      <c r="L23" s="242"/>
      <c r="M23" s="120">
        <f>+K23+'9'!M23+L23</f>
        <v>0</v>
      </c>
      <c r="Q23" s="179">
        <f>SUM(Q16:Q22)</f>
        <v>480</v>
      </c>
      <c r="R23" s="179">
        <f>SUM(R16:R22)</f>
        <v>355200</v>
      </c>
      <c r="S23" s="179">
        <f>SUM(S16:S22)</f>
        <v>305472</v>
      </c>
    </row>
    <row r="24" spans="1:19" ht="13.5" customHeight="1" thickBot="1">
      <c r="A24" s="793" t="s">
        <v>430</v>
      </c>
      <c r="B24" s="173"/>
      <c r="C24" s="116">
        <f>C23/($C$23+$D$23+$E$23)</f>
        <v>1</v>
      </c>
      <c r="D24" s="117">
        <f>D23/($C$23+$D$23+$E$23)</f>
        <v>0</v>
      </c>
      <c r="E24" s="118">
        <f>E23/($C$23+$D$23+$E$23)</f>
        <v>0</v>
      </c>
      <c r="F24" s="231"/>
      <c r="G24" s="232" t="s">
        <v>13</v>
      </c>
      <c r="H24" s="233" t="s">
        <v>391</v>
      </c>
      <c r="I24" s="796" t="s">
        <v>742</v>
      </c>
      <c r="J24" s="217">
        <f>+'9'!J24</f>
        <v>0</v>
      </c>
      <c r="K24" s="242"/>
      <c r="L24" s="242"/>
      <c r="M24" s="120">
        <f>+K24+'9'!M24+L24</f>
        <v>0</v>
      </c>
      <c r="Q24" s="152">
        <f>480-Q23</f>
        <v>0</v>
      </c>
      <c r="R24" s="179">
        <f>+R23/Q23</f>
        <v>740</v>
      </c>
      <c r="S24" s="179">
        <f>+S23/Q23</f>
        <v>636.4</v>
      </c>
    </row>
    <row r="25" spans="1:19" ht="13.5" customHeight="1" thickBot="1">
      <c r="A25" s="799"/>
      <c r="B25" s="218" t="s">
        <v>589</v>
      </c>
      <c r="C25" s="219">
        <v>17693</v>
      </c>
      <c r="D25" s="220"/>
      <c r="E25" s="228"/>
      <c r="F25" s="234">
        <v>2</v>
      </c>
      <c r="G25" s="583" t="s">
        <v>13</v>
      </c>
      <c r="H25" s="233" t="s">
        <v>420</v>
      </c>
      <c r="I25" s="797"/>
      <c r="J25" s="217">
        <f>+'9'!J25</f>
        <v>0</v>
      </c>
      <c r="K25" s="242"/>
      <c r="L25" s="242"/>
      <c r="M25" s="120">
        <f>+K25+'9'!M25+L25</f>
        <v>0</v>
      </c>
    </row>
    <row r="26" spans="1:19" ht="13.5" customHeight="1" thickBot="1">
      <c r="A26" s="799"/>
      <c r="B26" s="218"/>
      <c r="C26" s="229"/>
      <c r="D26" s="220"/>
      <c r="E26" s="230"/>
      <c r="F26" s="231">
        <v>5</v>
      </c>
      <c r="G26" s="583" t="s">
        <v>13</v>
      </c>
      <c r="H26" s="236" t="s">
        <v>473</v>
      </c>
      <c r="I26" s="797"/>
      <c r="J26" s="217">
        <f>+'9'!J26</f>
        <v>0</v>
      </c>
      <c r="K26" s="242"/>
      <c r="L26" s="242"/>
      <c r="M26" s="120">
        <f>+K26+'9'!M26+L26</f>
        <v>0</v>
      </c>
      <c r="N26" s="152" t="s">
        <v>581</v>
      </c>
      <c r="O26" s="152">
        <v>740</v>
      </c>
      <c r="P26" s="152">
        <f>+O26-(O26*0.14)</f>
        <v>636.4</v>
      </c>
      <c r="Q26" s="152">
        <v>480</v>
      </c>
      <c r="R26" s="152">
        <f t="shared" ref="R26" si="4">+O26*Q26</f>
        <v>355200</v>
      </c>
      <c r="S26" s="152">
        <f t="shared" ref="S26" si="5">+P26*Q26</f>
        <v>305472</v>
      </c>
    </row>
    <row r="27" spans="1:19" ht="26.25" customHeight="1" thickBot="1">
      <c r="A27" s="799"/>
      <c r="B27" s="218"/>
      <c r="C27" s="219"/>
      <c r="D27" s="220"/>
      <c r="E27" s="228"/>
      <c r="F27" s="231">
        <v>6</v>
      </c>
      <c r="G27" s="240" t="s">
        <v>14</v>
      </c>
      <c r="H27" s="236" t="s">
        <v>744</v>
      </c>
      <c r="I27" s="797"/>
      <c r="J27" s="217">
        <f>+'9'!J27</f>
        <v>0</v>
      </c>
      <c r="K27" s="242"/>
      <c r="L27" s="242"/>
      <c r="M27" s="120">
        <f>+K27+'9'!M27+L27</f>
        <v>0</v>
      </c>
    </row>
    <row r="28" spans="1:19" ht="26.25" thickBot="1">
      <c r="A28" s="799"/>
      <c r="B28" s="218"/>
      <c r="C28" s="219"/>
      <c r="D28" s="220"/>
      <c r="E28" s="228"/>
      <c r="F28" s="234"/>
      <c r="G28" s="235"/>
      <c r="H28" s="236" t="s">
        <v>580</v>
      </c>
      <c r="I28" s="797"/>
      <c r="J28" s="217">
        <f>+'9'!J28</f>
        <v>0</v>
      </c>
      <c r="K28" s="242"/>
      <c r="L28" s="242"/>
      <c r="M28" s="120">
        <f>+K28+'9'!M28+L28</f>
        <v>0</v>
      </c>
    </row>
    <row r="29" spans="1:19" ht="13.5" thickBot="1">
      <c r="A29" s="799"/>
      <c r="B29" s="218"/>
      <c r="C29" s="219"/>
      <c r="D29" s="220"/>
      <c r="E29" s="228"/>
      <c r="F29" s="239"/>
      <c r="G29" s="235"/>
      <c r="H29" s="236"/>
      <c r="I29" s="797"/>
      <c r="J29" s="217">
        <f>+'9'!J29</f>
        <v>0</v>
      </c>
      <c r="K29" s="242"/>
      <c r="L29" s="242"/>
      <c r="M29" s="120">
        <f>+K29+'9'!M29+L29</f>
        <v>0</v>
      </c>
    </row>
    <row r="30" spans="1:19" ht="13.5" thickBot="1">
      <c r="A30" s="799"/>
      <c r="B30" s="218"/>
      <c r="C30" s="229"/>
      <c r="D30" s="220"/>
      <c r="E30" s="228"/>
      <c r="F30" s="239"/>
      <c r="G30" s="235"/>
      <c r="H30" s="236"/>
      <c r="I30" s="797"/>
      <c r="J30" s="217">
        <f>+'9'!J30</f>
        <v>0</v>
      </c>
      <c r="K30" s="242"/>
      <c r="L30" s="242"/>
      <c r="M30" s="120">
        <f>+K30+'9'!M30+L30</f>
        <v>0</v>
      </c>
    </row>
    <row r="31" spans="1:19" ht="13.5" customHeight="1" thickBot="1">
      <c r="A31" s="799"/>
      <c r="B31" s="218"/>
      <c r="C31" s="229"/>
      <c r="D31" s="220"/>
      <c r="E31" s="228"/>
      <c r="F31" s="239"/>
      <c r="G31" s="240"/>
      <c r="H31" s="237"/>
      <c r="I31" s="798"/>
      <c r="J31" s="217">
        <f>+'9'!J31</f>
        <v>0</v>
      </c>
      <c r="K31" s="242"/>
      <c r="L31" s="242"/>
      <c r="M31" s="120">
        <f>+K31+'9'!M31+L31</f>
        <v>0</v>
      </c>
    </row>
    <row r="32" spans="1:19" ht="13.5" customHeight="1" thickBot="1">
      <c r="A32" s="800"/>
      <c r="B32" s="168" t="s">
        <v>3</v>
      </c>
      <c r="C32" s="102">
        <f>SUM(C25:C31)</f>
        <v>17693</v>
      </c>
      <c r="D32" s="103">
        <f>SUM(D25:D31)</f>
        <v>0</v>
      </c>
      <c r="E32" s="104">
        <f>SUM(E25:E31)</f>
        <v>0</v>
      </c>
      <c r="F32" s="105">
        <f>SUM(F24:F31)</f>
        <v>13</v>
      </c>
      <c r="G32" s="174"/>
      <c r="H32" s="175"/>
      <c r="I32" s="172"/>
      <c r="J32" s="217">
        <f>+'9'!J32</f>
        <v>0</v>
      </c>
      <c r="K32" s="244"/>
      <c r="L32" s="246"/>
      <c r="M32" s="120">
        <f>+K32+'9'!M32+L32</f>
        <v>0</v>
      </c>
    </row>
    <row r="33" spans="1:19" ht="13.5" thickBot="1">
      <c r="A33" s="176"/>
      <c r="B33" s="177"/>
      <c r="C33" s="106">
        <f>C32/($C$32+$D$32+$E$32)</f>
        <v>1</v>
      </c>
      <c r="D33" s="107">
        <f>D32/($C$32+$D$32+$E$32)</f>
        <v>0</v>
      </c>
      <c r="E33" s="108">
        <f>E32/($C$32+$D$32+$E$32)</f>
        <v>0</v>
      </c>
      <c r="F33" s="109"/>
      <c r="G33" s="178"/>
      <c r="H33" s="179"/>
      <c r="I33" s="180"/>
      <c r="J33" s="124"/>
      <c r="K33" s="125"/>
      <c r="L33" s="216"/>
      <c r="M33" s="122"/>
      <c r="Q33" s="179">
        <f>SUM(Q26:Q32)</f>
        <v>480</v>
      </c>
      <c r="R33" s="179">
        <f>SUM(R26:R32)</f>
        <v>355200</v>
      </c>
      <c r="S33" s="179">
        <f>SUM(S26:S32)</f>
        <v>305472</v>
      </c>
    </row>
    <row r="34" spans="1:19" ht="13.5" thickBot="1">
      <c r="A34" s="801" t="s">
        <v>70</v>
      </c>
      <c r="B34" s="802"/>
      <c r="C34" s="110">
        <f>C14+C23+C32</f>
        <v>51712</v>
      </c>
      <c r="D34" s="110">
        <f>D14+D23+D32</f>
        <v>0</v>
      </c>
      <c r="E34" s="110">
        <f>E14+E23+E32</f>
        <v>0</v>
      </c>
      <c r="F34" s="111">
        <f>F14+F23+F32</f>
        <v>36</v>
      </c>
      <c r="H34" s="181"/>
      <c r="I34" s="181"/>
      <c r="J34" s="126" t="s">
        <v>29</v>
      </c>
      <c r="K34" s="127">
        <f>SUM(K7:K32)</f>
        <v>51712</v>
      </c>
      <c r="L34" s="215">
        <f>SUM(L7:L32)</f>
        <v>0</v>
      </c>
      <c r="M34" s="123">
        <f>SUM(M7:M32)</f>
        <v>389203</v>
      </c>
      <c r="Q34" s="152">
        <f>480-Q33</f>
        <v>0</v>
      </c>
      <c r="R34" s="179">
        <f>+R33/Q33</f>
        <v>740</v>
      </c>
      <c r="S34" s="179">
        <f>+S33/Q33</f>
        <v>636.4</v>
      </c>
    </row>
    <row r="35" spans="1:19" ht="13.5" thickBot="1">
      <c r="A35" s="182"/>
      <c r="B35" s="183"/>
      <c r="C35" s="107">
        <f>C34/($C$34+$D$34+$E$34)</f>
        <v>1</v>
      </c>
      <c r="D35" s="107">
        <f>D34/($C$34+$D$34+$E$34)</f>
        <v>0</v>
      </c>
      <c r="E35" s="112">
        <f>E34/($C$34+$D$34+$E$34)</f>
        <v>0</v>
      </c>
      <c r="K35" s="158"/>
      <c r="L35" s="792" t="s">
        <v>187</v>
      </c>
      <c r="M35" s="792"/>
    </row>
    <row r="36" spans="1:19" ht="13.5" thickBot="1">
      <c r="A36" s="181"/>
      <c r="B36" s="181"/>
      <c r="C36" s="158"/>
      <c r="D36" s="158"/>
      <c r="E36" s="158"/>
      <c r="G36" s="158"/>
      <c r="H36" s="184"/>
      <c r="I36" s="165" t="s">
        <v>41</v>
      </c>
      <c r="J36" s="165" t="s">
        <v>42</v>
      </c>
      <c r="K36" s="185"/>
      <c r="L36" s="165" t="s">
        <v>41</v>
      </c>
      <c r="M36" s="165" t="s">
        <v>42</v>
      </c>
      <c r="N36" s="152" t="s">
        <v>568</v>
      </c>
      <c r="O36" s="152">
        <v>1000</v>
      </c>
      <c r="P36" s="152">
        <v>860</v>
      </c>
      <c r="Q36" s="152">
        <v>90</v>
      </c>
    </row>
    <row r="37" spans="1:19" ht="17.45" customHeight="1" thickBot="1">
      <c r="A37" s="790" t="s">
        <v>71</v>
      </c>
      <c r="B37" s="791"/>
      <c r="C37" s="165" t="s">
        <v>72</v>
      </c>
      <c r="D37" s="186" t="s">
        <v>73</v>
      </c>
      <c r="E37" s="187" t="s">
        <v>74</v>
      </c>
      <c r="F37" s="365"/>
      <c r="G37" s="367"/>
      <c r="H37" s="189" t="s">
        <v>75</v>
      </c>
      <c r="I37" s="247">
        <f>(15.5*90+22*1350)/1440*G42*2.75*1440/1000000</f>
        <v>55.614379218750003</v>
      </c>
      <c r="J37" s="380">
        <f>+I37+'9'!J37</f>
        <v>425.00725125377676</v>
      </c>
      <c r="K37" s="129" t="s">
        <v>76</v>
      </c>
      <c r="L37" s="426"/>
      <c r="M37" s="427"/>
      <c r="N37" s="152" t="s">
        <v>581</v>
      </c>
      <c r="O37" s="152">
        <v>740</v>
      </c>
      <c r="P37" s="152">
        <v>636.4</v>
      </c>
      <c r="Q37" s="152">
        <f>390+480+480</f>
        <v>1350</v>
      </c>
    </row>
    <row r="38" spans="1:19" ht="17.45" customHeight="1">
      <c r="A38" s="786" t="s">
        <v>13</v>
      </c>
      <c r="B38" s="787"/>
      <c r="C38" s="167">
        <f>SUMIF($G$7:$G$31,"Process",$F$7:$F$31)</f>
        <v>30</v>
      </c>
      <c r="D38" s="121">
        <f>+C38+'9'!D38</f>
        <v>984</v>
      </c>
      <c r="E38" s="146">
        <f t="shared" ref="E38:E51" si="6">D38/60</f>
        <v>16.399999999999999</v>
      </c>
      <c r="F38" s="365">
        <v>788.75</v>
      </c>
      <c r="G38" s="367">
        <v>678.32500000000005</v>
      </c>
      <c r="H38" s="190" t="s">
        <v>77</v>
      </c>
      <c r="I38" s="547">
        <f>17.793+18.319+18.245</f>
        <v>54.356999999999999</v>
      </c>
      <c r="J38" s="381">
        <f>+I38+'9'!J38</f>
        <v>398.0403</v>
      </c>
      <c r="K38" s="131" t="s">
        <v>76</v>
      </c>
      <c r="L38" s="428"/>
      <c r="M38" s="429"/>
      <c r="Q38" s="152">
        <f>+Q36+Q37</f>
        <v>1440</v>
      </c>
    </row>
    <row r="39" spans="1:19" ht="17.45" customHeight="1">
      <c r="A39" s="782" t="s">
        <v>14</v>
      </c>
      <c r="B39" s="783"/>
      <c r="C39" s="167">
        <f>SUMIF($G$7:$G$23,"Cleaning",$F$7:$F$23)</f>
        <v>0</v>
      </c>
      <c r="D39" s="121">
        <f>+C39+'9'!D39</f>
        <v>107</v>
      </c>
      <c r="E39" s="146">
        <f t="shared" si="6"/>
        <v>1.7833333333333334</v>
      </c>
      <c r="F39" s="365">
        <v>740</v>
      </c>
      <c r="G39" s="367">
        <v>636.4</v>
      </c>
      <c r="H39" s="190" t="s">
        <v>78</v>
      </c>
      <c r="I39" s="145"/>
      <c r="J39" s="382">
        <f>J37/G4</f>
        <v>42.500725125377677</v>
      </c>
      <c r="K39" s="133" t="s">
        <v>76</v>
      </c>
      <c r="L39" s="428"/>
      <c r="M39" s="429"/>
    </row>
    <row r="40" spans="1:19" ht="17.45" customHeight="1">
      <c r="A40" s="782" t="s">
        <v>79</v>
      </c>
      <c r="B40" s="783"/>
      <c r="C40" s="167">
        <f>SUMIF($G$7:$G$23,"Mechanical",$F$7:$F$23)</f>
        <v>0</v>
      </c>
      <c r="D40" s="121">
        <f>+C40+'9'!D40</f>
        <v>120</v>
      </c>
      <c r="E40" s="146">
        <f t="shared" si="6"/>
        <v>2</v>
      </c>
      <c r="F40" s="365">
        <v>740</v>
      </c>
      <c r="G40" s="367">
        <v>636.4</v>
      </c>
      <c r="H40" s="190" t="s">
        <v>80</v>
      </c>
      <c r="I40" s="121">
        <f>+(K34+L34)/1000</f>
        <v>51.712000000000003</v>
      </c>
      <c r="J40" s="383">
        <f>+I40+'9'!J40</f>
        <v>389.20300000000003</v>
      </c>
      <c r="K40" s="133" t="s">
        <v>76</v>
      </c>
      <c r="L40" s="428"/>
      <c r="M40" s="429"/>
    </row>
    <row r="41" spans="1:19" ht="17.45" customHeight="1">
      <c r="A41" s="782" t="s">
        <v>81</v>
      </c>
      <c r="B41" s="783"/>
      <c r="C41" s="167">
        <f>SUMIF($G$7:$G$31,"Electrical",$F$7:$F$31)</f>
        <v>0</v>
      </c>
      <c r="D41" s="121">
        <f>+C41+'9'!D41</f>
        <v>65</v>
      </c>
      <c r="E41" s="146">
        <f t="shared" si="6"/>
        <v>1.0833333333333333</v>
      </c>
      <c r="F41" s="365"/>
      <c r="G41" s="365"/>
      <c r="H41" s="190" t="s">
        <v>82</v>
      </c>
      <c r="I41" s="145"/>
      <c r="J41" s="382">
        <f>J40/G4</f>
        <v>38.920300000000005</v>
      </c>
      <c r="K41" s="133" t="s">
        <v>76</v>
      </c>
      <c r="L41" s="428"/>
      <c r="M41" s="429"/>
    </row>
    <row r="42" spans="1:19" ht="17.45" customHeight="1">
      <c r="A42" s="782" t="s">
        <v>17</v>
      </c>
      <c r="B42" s="783"/>
      <c r="C42" s="167">
        <f>SUMIF($G$7:$G$23,"Instrument",$F$7:$F$23)</f>
        <v>0</v>
      </c>
      <c r="D42" s="121">
        <f>+C42+'9'!D42</f>
        <v>0</v>
      </c>
      <c r="E42" s="146">
        <f t="shared" si="6"/>
        <v>0</v>
      </c>
      <c r="F42" s="365">
        <f>+(480*F38+480*F40+480*F39)/1440</f>
        <v>756.25</v>
      </c>
      <c r="G42" s="365">
        <f>+(480*G38+480*G40+480*G39)/1440</f>
        <v>650.375</v>
      </c>
      <c r="H42" s="190" t="s">
        <v>83</v>
      </c>
      <c r="I42" s="249" t="s">
        <v>583</v>
      </c>
      <c r="J42" s="384"/>
      <c r="K42" s="133" t="s">
        <v>84</v>
      </c>
      <c r="L42" s="428"/>
      <c r="M42" s="429"/>
    </row>
    <row r="43" spans="1:19" ht="17.45" customHeight="1">
      <c r="A43" s="782" t="s">
        <v>85</v>
      </c>
      <c r="B43" s="783"/>
      <c r="C43" s="167">
        <f>SUMIF($G$7:$G$23,"Water",$F$7:$F$23)</f>
        <v>0</v>
      </c>
      <c r="D43" s="121">
        <f>+C43+'9'!D43</f>
        <v>0</v>
      </c>
      <c r="E43" s="146">
        <f t="shared" si="6"/>
        <v>0</v>
      </c>
      <c r="F43" s="365"/>
      <c r="G43" s="366"/>
      <c r="H43" s="191" t="s">
        <v>86</v>
      </c>
      <c r="I43" s="121">
        <f>+Report1!AH18</f>
        <v>68.7</v>
      </c>
      <c r="J43" s="385">
        <f>+I43+'9'!J43</f>
        <v>591.5</v>
      </c>
      <c r="K43" s="133" t="s">
        <v>76</v>
      </c>
      <c r="L43" s="430">
        <f>+Report1!AN18</f>
        <v>0</v>
      </c>
      <c r="M43" s="431">
        <f>+L43+'9'!M43</f>
        <v>0</v>
      </c>
    </row>
    <row r="44" spans="1:19" ht="17.45" customHeight="1">
      <c r="A44" s="782" t="s">
        <v>18</v>
      </c>
      <c r="B44" s="783"/>
      <c r="C44" s="167">
        <f>SUMIF($G$7:$G$23,"PLN",$F$7:$F$23)</f>
        <v>0</v>
      </c>
      <c r="D44" s="121">
        <f>+C44+'9'!D44</f>
        <v>0</v>
      </c>
      <c r="E44" s="146">
        <f t="shared" si="6"/>
        <v>0</v>
      </c>
      <c r="F44" s="365"/>
      <c r="G44" s="366"/>
      <c r="H44" s="191" t="s">
        <v>87</v>
      </c>
      <c r="I44" s="121">
        <f>I43/I38</f>
        <v>1.2638666593079089</v>
      </c>
      <c r="J44" s="385">
        <f>J43/J38</f>
        <v>1.486030434606747</v>
      </c>
      <c r="K44" s="133" t="s">
        <v>76</v>
      </c>
      <c r="L44" s="432">
        <f>+L43/I38</f>
        <v>0</v>
      </c>
      <c r="M44" s="433">
        <f>+M43/J38</f>
        <v>0</v>
      </c>
    </row>
    <row r="45" spans="1:19" ht="17.45" customHeight="1">
      <c r="A45" s="782" t="s">
        <v>19</v>
      </c>
      <c r="B45" s="783"/>
      <c r="C45" s="167">
        <f>SUMIF($G$7:$G$23,"Boiler",$F$7:$F$23)</f>
        <v>0</v>
      </c>
      <c r="D45" s="121">
        <f>+C45+'9'!D45</f>
        <v>0</v>
      </c>
      <c r="E45" s="146">
        <f t="shared" si="6"/>
        <v>0</v>
      </c>
      <c r="F45" s="365"/>
      <c r="G45" s="368"/>
      <c r="H45" s="191" t="s">
        <v>88</v>
      </c>
      <c r="I45" s="121">
        <f>I43/I40</f>
        <v>1.3285117574257426</v>
      </c>
      <c r="J45" s="385">
        <f>J43/J40</f>
        <v>1.5197724580745779</v>
      </c>
      <c r="K45" s="133" t="s">
        <v>76</v>
      </c>
      <c r="L45" s="432">
        <f>+L43/I40</f>
        <v>0</v>
      </c>
      <c r="M45" s="433">
        <f>+M43/J40</f>
        <v>0</v>
      </c>
    </row>
    <row r="46" spans="1:19" ht="17.45" customHeight="1">
      <c r="A46" s="782" t="s">
        <v>89</v>
      </c>
      <c r="B46" s="783"/>
      <c r="C46" s="167">
        <f>SUMIF($G$7:$G$23,"Gas",$F$7:$F$23)</f>
        <v>0</v>
      </c>
      <c r="D46" s="121">
        <f>+C46+'9'!D46</f>
        <v>0</v>
      </c>
      <c r="E46" s="146">
        <f t="shared" si="6"/>
        <v>0</v>
      </c>
      <c r="F46" s="365"/>
      <c r="G46" s="366"/>
      <c r="H46" s="191" t="s">
        <v>90</v>
      </c>
      <c r="I46" s="143">
        <f>+SUMIF(Listrik!P17,"&gt;0")</f>
        <v>38474.320000000065</v>
      </c>
      <c r="J46" s="385">
        <f>+I46+'9'!J46</f>
        <v>348894.28</v>
      </c>
      <c r="K46" s="133" t="s">
        <v>91</v>
      </c>
      <c r="L46" s="432">
        <f>+Listrik!AF17</f>
        <v>0</v>
      </c>
      <c r="M46" s="434">
        <f>+L46+'9'!M46</f>
        <v>0</v>
      </c>
    </row>
    <row r="47" spans="1:19" ht="17.45" customHeight="1">
      <c r="A47" s="782" t="s">
        <v>92</v>
      </c>
      <c r="B47" s="783"/>
      <c r="C47" s="167">
        <f>SUMIF($G$7:$G$23,"Gas",$F$7:$F$23)</f>
        <v>0</v>
      </c>
      <c r="D47" s="121">
        <f>+C47+'9'!D47</f>
        <v>0</v>
      </c>
      <c r="E47" s="146">
        <f t="shared" si="6"/>
        <v>0</v>
      </c>
      <c r="F47" s="365"/>
      <c r="G47" s="366"/>
      <c r="H47" s="191" t="s">
        <v>93</v>
      </c>
      <c r="I47" s="121">
        <f>I46/I38</f>
        <v>707.80801000791189</v>
      </c>
      <c r="J47" s="385">
        <f>J46/J38</f>
        <v>876.53003979747791</v>
      </c>
      <c r="K47" s="133" t="s">
        <v>25</v>
      </c>
      <c r="L47" s="432">
        <f>+L46/I38</f>
        <v>0</v>
      </c>
      <c r="M47" s="433">
        <f>+M46/J38</f>
        <v>0</v>
      </c>
    </row>
    <row r="48" spans="1:19" ht="17.45" customHeight="1">
      <c r="A48" s="782" t="s">
        <v>15</v>
      </c>
      <c r="B48" s="783"/>
      <c r="C48" s="167">
        <f>SUMIF($G$7:$G$23,"Start Up",$F$7:$F$23)</f>
        <v>0</v>
      </c>
      <c r="D48" s="121">
        <f>+C48+'9'!D48</f>
        <v>0</v>
      </c>
      <c r="E48" s="146">
        <f t="shared" si="6"/>
        <v>0</v>
      </c>
      <c r="F48" s="365"/>
      <c r="G48" s="366"/>
      <c r="H48" s="191" t="s">
        <v>94</v>
      </c>
      <c r="I48" s="121">
        <f>I46/I40</f>
        <v>744.0114480198032</v>
      </c>
      <c r="J48" s="385">
        <f>J46/J40</f>
        <v>896.43265853551998</v>
      </c>
      <c r="K48" s="133" t="s">
        <v>25</v>
      </c>
      <c r="L48" s="432">
        <f>+L46/I38</f>
        <v>0</v>
      </c>
      <c r="M48" s="433">
        <f>+M46/J40</f>
        <v>0</v>
      </c>
    </row>
    <row r="49" spans="1:13" ht="17.45" customHeight="1">
      <c r="A49" s="782" t="s">
        <v>21</v>
      </c>
      <c r="B49" s="783"/>
      <c r="C49" s="167">
        <f>SUMIF($G$7:$G$23,"Others",$F$7:$F$23)</f>
        <v>0</v>
      </c>
      <c r="D49" s="121">
        <f>+C49+'9'!D49</f>
        <v>924</v>
      </c>
      <c r="E49" s="146">
        <f t="shared" si="6"/>
        <v>15.4</v>
      </c>
      <c r="F49" s="188"/>
      <c r="H49" s="191" t="s">
        <v>182</v>
      </c>
      <c r="I49" s="121">
        <f>+Report1!AB18</f>
        <v>4436.1317744755243</v>
      </c>
      <c r="J49" s="385">
        <f>+I49+'9'!J49</f>
        <v>34979.205904380193</v>
      </c>
      <c r="K49" s="133" t="s">
        <v>96</v>
      </c>
      <c r="L49" s="428"/>
      <c r="M49" s="429"/>
    </row>
    <row r="50" spans="1:13" ht="17.45" customHeight="1">
      <c r="A50" s="782" t="s">
        <v>20</v>
      </c>
      <c r="B50" s="783"/>
      <c r="C50" s="167">
        <f>SUMIF($G$7:$G$23,"Steam",$F$7:$F$23)</f>
        <v>0</v>
      </c>
      <c r="D50" s="121">
        <f>+C50+'9'!D50</f>
        <v>0</v>
      </c>
      <c r="E50" s="146">
        <f t="shared" si="6"/>
        <v>0</v>
      </c>
      <c r="F50" s="188"/>
      <c r="H50" s="191" t="s">
        <v>97</v>
      </c>
      <c r="I50" s="143">
        <f>I49/I38</f>
        <v>81.611048705328187</v>
      </c>
      <c r="J50" s="385">
        <f>J49/J38</f>
        <v>87.878553765486032</v>
      </c>
      <c r="K50" s="133" t="s">
        <v>96</v>
      </c>
      <c r="L50" s="428"/>
      <c r="M50" s="429"/>
    </row>
    <row r="51" spans="1:13" ht="17.45" customHeight="1" thickBot="1">
      <c r="A51" s="784" t="s">
        <v>98</v>
      </c>
      <c r="B51" s="785"/>
      <c r="C51" s="167">
        <f>SUMIF($G$7:$G$23,"Planned shut",$F$7:$F$23)</f>
        <v>0</v>
      </c>
      <c r="D51" s="121">
        <f>+C51+'9'!D51</f>
        <v>0</v>
      </c>
      <c r="E51" s="146">
        <f t="shared" si="6"/>
        <v>0</v>
      </c>
      <c r="F51" s="188"/>
      <c r="H51" s="193" t="s">
        <v>99</v>
      </c>
      <c r="I51" s="144">
        <f>I49/I40</f>
        <v>85.785345267549587</v>
      </c>
      <c r="J51" s="386">
        <f>J49/J40</f>
        <v>89.87393700557341</v>
      </c>
      <c r="K51" s="140" t="s">
        <v>96</v>
      </c>
      <c r="L51" s="428"/>
      <c r="M51" s="429"/>
    </row>
    <row r="52" spans="1:13" ht="13.5" thickBot="1">
      <c r="A52" s="786" t="s">
        <v>29</v>
      </c>
      <c r="B52" s="787"/>
      <c r="C52" s="147">
        <f>SUM(C38:C51)</f>
        <v>30</v>
      </c>
      <c r="D52" s="147">
        <f>SUM(D38:D51)</f>
        <v>2200</v>
      </c>
      <c r="E52" s="148">
        <f>SUM(E38:E51)</f>
        <v>36.666666666666664</v>
      </c>
      <c r="F52" s="188"/>
      <c r="H52" s="194"/>
      <c r="I52" s="195"/>
      <c r="J52" s="387"/>
      <c r="K52" s="142"/>
      <c r="L52" s="435"/>
      <c r="M52" s="436"/>
    </row>
    <row r="53" spans="1:13" ht="13.5" thickBot="1">
      <c r="A53" s="788"/>
      <c r="B53" s="789"/>
      <c r="C53" s="149">
        <f>C52/(24*60)</f>
        <v>2.0833333333333332E-2</v>
      </c>
      <c r="D53" s="149">
        <f>D52/(24*60*G4)</f>
        <v>0.15277777777777779</v>
      </c>
      <c r="E53" s="150">
        <f>E52/(G4*24)</f>
        <v>0.15277777777777776</v>
      </c>
      <c r="F53" s="188"/>
    </row>
    <row r="54" spans="1:13">
      <c r="E54" s="196"/>
      <c r="F54" s="188"/>
    </row>
    <row r="55" spans="1:13">
      <c r="E55" s="196"/>
    </row>
    <row r="56" spans="1:13">
      <c r="A56" s="197" t="s">
        <v>100</v>
      </c>
      <c r="B56" s="198"/>
      <c r="C56" s="199"/>
      <c r="D56" s="199"/>
      <c r="E56" s="199"/>
      <c r="F56" s="200"/>
      <c r="G56" s="199"/>
      <c r="H56" s="201"/>
      <c r="I56" s="202" t="s">
        <v>101</v>
      </c>
      <c r="J56" s="203">
        <f>+D34+'9'!J56</f>
        <v>1230</v>
      </c>
      <c r="K56" s="204">
        <f>J56/(J40+J56/1000)/1000</f>
        <v>3.1503484592747023E-3</v>
      </c>
    </row>
    <row r="57" spans="1:13">
      <c r="A57" s="179"/>
      <c r="I57" s="202" t="s">
        <v>102</v>
      </c>
      <c r="J57" s="203">
        <f>+E34+'9'!J57</f>
        <v>0</v>
      </c>
      <c r="K57" s="204">
        <f>J57/(J40+J57/1000)/1000</f>
        <v>0</v>
      </c>
    </row>
    <row r="58" spans="1:13">
      <c r="A58" s="205"/>
      <c r="B58" s="206"/>
      <c r="F58" s="188"/>
      <c r="H58" s="207"/>
      <c r="J58" s="152">
        <v>325</v>
      </c>
    </row>
    <row r="59" spans="1:13">
      <c r="A59" s="208"/>
      <c r="B59" s="179"/>
      <c r="C59" s="179"/>
      <c r="D59" s="179"/>
      <c r="E59" s="179"/>
      <c r="F59" s="192"/>
      <c r="G59" s="179"/>
      <c r="H59" s="207"/>
      <c r="J59" s="158">
        <f>+J56+J58</f>
        <v>1555</v>
      </c>
    </row>
    <row r="60" spans="1:13">
      <c r="H60" s="207"/>
    </row>
    <row r="61" spans="1:13">
      <c r="A61" s="209"/>
      <c r="B61" s="210"/>
      <c r="C61" s="210"/>
      <c r="D61" s="210"/>
      <c r="E61" s="210"/>
      <c r="F61" s="211"/>
      <c r="G61" s="210"/>
      <c r="H61" s="212"/>
    </row>
  </sheetData>
  <mergeCells count="25">
    <mergeCell ref="A34:B34"/>
    <mergeCell ref="A53:B53"/>
    <mergeCell ref="A49:B49"/>
    <mergeCell ref="A47:B47"/>
    <mergeCell ref="A48:B48"/>
    <mergeCell ref="A50:B50"/>
    <mergeCell ref="A52:B52"/>
    <mergeCell ref="A51:B51"/>
    <mergeCell ref="A38:B38"/>
    <mergeCell ref="A7:A14"/>
    <mergeCell ref="I7:I13"/>
    <mergeCell ref="A15:A23"/>
    <mergeCell ref="I15:I22"/>
    <mergeCell ref="A24:A32"/>
    <mergeCell ref="I24:I31"/>
    <mergeCell ref="L35:M35"/>
    <mergeCell ref="A39:B39"/>
    <mergeCell ref="A46:B46"/>
    <mergeCell ref="A42:B42"/>
    <mergeCell ref="A43:B43"/>
    <mergeCell ref="A44:B44"/>
    <mergeCell ref="A45:B45"/>
    <mergeCell ref="A41:B41"/>
    <mergeCell ref="A40:B40"/>
    <mergeCell ref="A37:B37"/>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Y61"/>
  <sheetViews>
    <sheetView view="pageBreakPreview" topLeftCell="H1" zoomScale="80" zoomScaleNormal="75" zoomScaleSheetLayoutView="80" workbookViewId="0">
      <selection activeCell="N25" sqref="N25:S33"/>
    </sheetView>
  </sheetViews>
  <sheetFormatPr defaultColWidth="9.140625" defaultRowHeight="12.75"/>
  <cols>
    <col min="1" max="1" width="8" style="152" customWidth="1"/>
    <col min="2" max="2" width="12" style="152"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9.42578125" style="152" customWidth="1"/>
    <col min="11" max="11" width="12.5703125" style="152" bestFit="1" customWidth="1"/>
    <col min="12" max="12" width="10.5703125" style="152" bestFit="1" customWidth="1"/>
    <col min="13" max="13" width="12.140625" style="152"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9</v>
      </c>
      <c r="H4" s="157" t="str">
        <f>+'1'!H4</f>
        <v>.03.26</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546</v>
      </c>
      <c r="O6" s="152">
        <v>900</v>
      </c>
      <c r="P6" s="152">
        <f>+O6-(O6*0.18)</f>
        <v>738</v>
      </c>
      <c r="Q6" s="152">
        <f>60*6+10</f>
        <v>370</v>
      </c>
      <c r="R6" s="152">
        <f t="shared" ref="R6:R7" si="0">+O6*Q6</f>
        <v>333000</v>
      </c>
      <c r="S6" s="152">
        <f t="shared" ref="S6:S7" si="1">+P6*Q6</f>
        <v>273060</v>
      </c>
    </row>
    <row r="7" spans="1:19" ht="13.5" customHeight="1" thickBot="1">
      <c r="A7" s="793" t="s">
        <v>431</v>
      </c>
      <c r="B7" s="218" t="s">
        <v>562</v>
      </c>
      <c r="C7" s="219">
        <v>15485</v>
      </c>
      <c r="D7" s="220"/>
      <c r="E7" s="221"/>
      <c r="F7" s="231"/>
      <c r="G7" s="232" t="s">
        <v>13</v>
      </c>
      <c r="H7" s="233" t="s">
        <v>391</v>
      </c>
      <c r="I7" s="796" t="s">
        <v>571</v>
      </c>
      <c r="J7" s="217" t="str">
        <f>+'8'!J7</f>
        <v>T 14 RC HW</v>
      </c>
      <c r="K7" s="241"/>
      <c r="L7" s="245"/>
      <c r="M7" s="120">
        <f>+K7+'8'!M7+L7</f>
        <v>41293</v>
      </c>
      <c r="N7" s="152" t="s">
        <v>568</v>
      </c>
      <c r="O7" s="152">
        <v>980</v>
      </c>
      <c r="P7" s="152">
        <f>+O7-(O7*0.14)</f>
        <v>842.8</v>
      </c>
      <c r="Q7" s="152">
        <f>480-Q6</f>
        <v>110</v>
      </c>
      <c r="R7" s="152">
        <f t="shared" si="0"/>
        <v>107800</v>
      </c>
      <c r="S7" s="152">
        <f t="shared" si="1"/>
        <v>92708</v>
      </c>
    </row>
    <row r="8" spans="1:19" ht="13.5" thickBot="1">
      <c r="A8" s="794"/>
      <c r="B8" s="218"/>
      <c r="C8" s="219"/>
      <c r="D8" s="220"/>
      <c r="E8" s="222"/>
      <c r="F8" s="234">
        <v>9</v>
      </c>
      <c r="G8" s="583" t="s">
        <v>13</v>
      </c>
      <c r="H8" s="233" t="s">
        <v>474</v>
      </c>
      <c r="I8" s="797"/>
      <c r="J8" s="217" t="str">
        <f>+'8'!J8</f>
        <v>T 15,5 RC HW</v>
      </c>
      <c r="K8" s="242"/>
      <c r="L8" s="242"/>
      <c r="M8" s="120">
        <f>+K8+'8'!M8+L8</f>
        <v>139937</v>
      </c>
    </row>
    <row r="9" spans="1:19" ht="13.5" thickBot="1">
      <c r="A9" s="794"/>
      <c r="B9" s="218"/>
      <c r="C9" s="219"/>
      <c r="D9" s="220"/>
      <c r="E9" s="223"/>
      <c r="F9" s="231">
        <v>10</v>
      </c>
      <c r="G9" s="583" t="s">
        <v>13</v>
      </c>
      <c r="H9" s="236" t="s">
        <v>456</v>
      </c>
      <c r="I9" s="797"/>
      <c r="J9" s="217" t="str">
        <f>+'8'!J9</f>
        <v>T 13,5 RC HW</v>
      </c>
      <c r="K9" s="242"/>
      <c r="L9" s="242"/>
      <c r="M9" s="120">
        <f>+K9+'8'!M9+L9</f>
        <v>31497</v>
      </c>
    </row>
    <row r="10" spans="1:19" ht="26.25" thickBot="1">
      <c r="A10" s="794"/>
      <c r="B10" s="218"/>
      <c r="C10" s="219"/>
      <c r="D10" s="220"/>
      <c r="E10" s="222"/>
      <c r="F10" s="231"/>
      <c r="G10" s="240" t="s">
        <v>14</v>
      </c>
      <c r="H10" s="236" t="s">
        <v>563</v>
      </c>
      <c r="I10" s="797"/>
      <c r="J10" s="217" t="str">
        <f>+'8'!J10</f>
        <v>T 20 RC HW</v>
      </c>
      <c r="K10" s="242"/>
      <c r="L10" s="242"/>
      <c r="M10" s="120">
        <f>+K10+'8'!M10+L10</f>
        <v>35769</v>
      </c>
    </row>
    <row r="11" spans="1:19" ht="26.25" thickBot="1">
      <c r="A11" s="794"/>
      <c r="B11" s="218"/>
      <c r="C11" s="219"/>
      <c r="D11" s="220"/>
      <c r="E11" s="222"/>
      <c r="F11" s="231"/>
      <c r="G11" s="235"/>
      <c r="H11" s="236" t="s">
        <v>564</v>
      </c>
      <c r="I11" s="797"/>
      <c r="J11" s="217" t="str">
        <f>+'8'!J11</f>
        <v>T 17 RC HW</v>
      </c>
      <c r="K11" s="242"/>
      <c r="L11" s="242"/>
      <c r="M11" s="120">
        <f>+K11+'8'!M11+L11</f>
        <v>18517</v>
      </c>
    </row>
    <row r="12" spans="1:19" ht="13.5" thickBot="1">
      <c r="A12" s="794"/>
      <c r="B12" s="218"/>
      <c r="C12" s="219"/>
      <c r="D12" s="220"/>
      <c r="E12" s="222"/>
      <c r="F12" s="231"/>
      <c r="G12" s="235"/>
      <c r="H12" s="236"/>
      <c r="I12" s="797"/>
      <c r="J12" s="217" t="str">
        <f>+'8'!J12</f>
        <v>T 16 RC HW</v>
      </c>
      <c r="K12" s="242">
        <f>+C7</f>
        <v>15485</v>
      </c>
      <c r="L12" s="242"/>
      <c r="M12" s="120">
        <f>+K12+'8'!M12+L12</f>
        <v>38417</v>
      </c>
    </row>
    <row r="13" spans="1:19" ht="13.5" thickBot="1">
      <c r="A13" s="794"/>
      <c r="B13" s="218"/>
      <c r="C13" s="219"/>
      <c r="D13" s="219"/>
      <c r="E13" s="222"/>
      <c r="F13" s="231"/>
      <c r="G13" s="235"/>
      <c r="H13" s="236"/>
      <c r="I13" s="798"/>
      <c r="J13" s="217" t="s">
        <v>578</v>
      </c>
      <c r="K13" s="242">
        <f>+C16+C25</f>
        <v>32061</v>
      </c>
      <c r="L13" s="242"/>
      <c r="M13" s="120">
        <f>+K13+'8'!M13+L13</f>
        <v>32061</v>
      </c>
      <c r="Q13" s="179">
        <f>SUM(Q6:Q12)</f>
        <v>480</v>
      </c>
      <c r="R13" s="179">
        <f>SUM(R6:R12)</f>
        <v>440800</v>
      </c>
      <c r="S13" s="179">
        <f>SUM(S6:S12)</f>
        <v>365768</v>
      </c>
    </row>
    <row r="14" spans="1:19" ht="13.5" thickBot="1">
      <c r="A14" s="795"/>
      <c r="B14" s="168" t="s">
        <v>3</v>
      </c>
      <c r="C14" s="102">
        <f>SUM(C7:C13)</f>
        <v>15485</v>
      </c>
      <c r="D14" s="114">
        <f>SUM(D7:D13)</f>
        <v>0</v>
      </c>
      <c r="E14" s="115">
        <f>SUM(E5:E13)</f>
        <v>0</v>
      </c>
      <c r="F14" s="105">
        <f>SUM(F6:F13)</f>
        <v>19</v>
      </c>
      <c r="G14" s="162"/>
      <c r="H14" s="169"/>
      <c r="I14" s="170"/>
      <c r="J14" s="217">
        <f>+'8'!J14</f>
        <v>0</v>
      </c>
      <c r="K14" s="242"/>
      <c r="L14" s="242"/>
      <c r="M14" s="120">
        <f>+K14+'8'!M14+L14</f>
        <v>0</v>
      </c>
      <c r="Q14" s="152">
        <f>480-Q13</f>
        <v>0</v>
      </c>
      <c r="R14" s="179">
        <f>+R13/Q13</f>
        <v>918.33333333333337</v>
      </c>
      <c r="S14" s="179">
        <f>+S13/Q13</f>
        <v>762.01666666666665</v>
      </c>
    </row>
    <row r="15" spans="1:19" ht="13.5" customHeight="1" thickBot="1">
      <c r="A15" s="793" t="s">
        <v>432</v>
      </c>
      <c r="B15" s="168"/>
      <c r="C15" s="116">
        <f>C14/($C$23+$D$23+$E$23)</f>
        <v>0.9619207354950926</v>
      </c>
      <c r="D15" s="117">
        <f>D14/($C$23+$D$23+$E$23)</f>
        <v>0</v>
      </c>
      <c r="E15" s="118">
        <f>E14/($C$23+$D$23+$E$23)</f>
        <v>0</v>
      </c>
      <c r="F15" s="231"/>
      <c r="G15" s="232" t="s">
        <v>13</v>
      </c>
      <c r="H15" s="233" t="s">
        <v>391</v>
      </c>
      <c r="I15" s="796" t="s">
        <v>570</v>
      </c>
      <c r="J15" s="217">
        <f>+'8'!J15</f>
        <v>0</v>
      </c>
      <c r="K15" s="242"/>
      <c r="L15" s="242"/>
      <c r="M15" s="120">
        <f>+K15+'8'!M15+L15</f>
        <v>0</v>
      </c>
      <c r="N15" s="152" t="s">
        <v>568</v>
      </c>
      <c r="O15" s="152">
        <v>1000</v>
      </c>
      <c r="P15" s="152">
        <f>+O15-(O15*0.14)</f>
        <v>860</v>
      </c>
      <c r="Q15" s="152">
        <v>480</v>
      </c>
      <c r="R15" s="152">
        <f t="shared" ref="R15" si="2">+O15*Q15</f>
        <v>480000</v>
      </c>
      <c r="S15" s="152">
        <f t="shared" ref="S15" si="3">+P15*Q15</f>
        <v>412800</v>
      </c>
    </row>
    <row r="16" spans="1:19" ht="13.5" thickBot="1">
      <c r="A16" s="799"/>
      <c r="B16" s="218" t="s">
        <v>578</v>
      </c>
      <c r="C16" s="225">
        <v>16098</v>
      </c>
      <c r="D16" s="226"/>
      <c r="E16" s="227"/>
      <c r="F16" s="234">
        <v>3</v>
      </c>
      <c r="G16" s="583" t="s">
        <v>13</v>
      </c>
      <c r="H16" s="233" t="s">
        <v>487</v>
      </c>
      <c r="I16" s="797"/>
      <c r="J16" s="217">
        <f>+'8'!J16</f>
        <v>0</v>
      </c>
      <c r="K16" s="242"/>
      <c r="L16" s="232"/>
      <c r="M16" s="120">
        <f>+K16+'8'!M16+L16</f>
        <v>0</v>
      </c>
    </row>
    <row r="17" spans="1:25" ht="13.5" thickBot="1">
      <c r="A17" s="799"/>
      <c r="B17" s="218"/>
      <c r="C17" s="219"/>
      <c r="D17" s="220"/>
      <c r="E17" s="228"/>
      <c r="F17" s="231">
        <v>3</v>
      </c>
      <c r="G17" s="583" t="s">
        <v>13</v>
      </c>
      <c r="H17" s="236" t="s">
        <v>422</v>
      </c>
      <c r="I17" s="797"/>
      <c r="J17" s="217">
        <f>+'8'!J17</f>
        <v>0</v>
      </c>
      <c r="K17" s="242"/>
      <c r="L17" s="232"/>
      <c r="M17" s="120">
        <f>+K17+'8'!M17+L17</f>
        <v>0</v>
      </c>
    </row>
    <row r="18" spans="1:25" ht="26.25" thickBot="1">
      <c r="A18" s="799"/>
      <c r="B18" s="218"/>
      <c r="C18" s="219"/>
      <c r="D18" s="220"/>
      <c r="E18" s="228"/>
      <c r="F18" s="231"/>
      <c r="G18" s="240" t="s">
        <v>14</v>
      </c>
      <c r="H18" s="236" t="s">
        <v>567</v>
      </c>
      <c r="I18" s="797"/>
      <c r="J18" s="217">
        <f>+'8'!J18</f>
        <v>0</v>
      </c>
      <c r="K18" s="242"/>
      <c r="L18" s="242"/>
      <c r="M18" s="120">
        <f>+K18+'8'!M18+L18</f>
        <v>0</v>
      </c>
    </row>
    <row r="19" spans="1:25" ht="13.5" thickBot="1">
      <c r="A19" s="799"/>
      <c r="B19" s="218"/>
      <c r="C19" s="219"/>
      <c r="D19" s="220"/>
      <c r="E19" s="228"/>
      <c r="F19" s="238"/>
      <c r="G19" s="235"/>
      <c r="H19" s="236"/>
      <c r="I19" s="797"/>
      <c r="J19" s="217">
        <f>+'8'!J19</f>
        <v>0</v>
      </c>
      <c r="K19" s="242"/>
      <c r="L19" s="242"/>
      <c r="M19" s="120">
        <f>+K19+'8'!M19+L19</f>
        <v>0</v>
      </c>
    </row>
    <row r="20" spans="1:25" ht="13.5" thickBot="1">
      <c r="A20" s="799"/>
      <c r="B20" s="218"/>
      <c r="C20" s="219"/>
      <c r="D20" s="220"/>
      <c r="E20" s="228"/>
      <c r="F20" s="231"/>
      <c r="G20" s="235"/>
      <c r="H20" s="236"/>
      <c r="I20" s="797"/>
      <c r="J20" s="217">
        <f>+'8'!J20</f>
        <v>0</v>
      </c>
      <c r="K20" s="243"/>
      <c r="L20" s="243"/>
      <c r="M20" s="120">
        <f>+K20+'8'!M20+L20</f>
        <v>0</v>
      </c>
    </row>
    <row r="21" spans="1:25" ht="13.5" thickBot="1">
      <c r="A21" s="799"/>
      <c r="B21" s="218"/>
      <c r="C21" s="219"/>
      <c r="D21" s="220"/>
      <c r="E21" s="228"/>
      <c r="F21" s="234"/>
      <c r="G21" s="235"/>
      <c r="H21" s="236"/>
      <c r="I21" s="797"/>
      <c r="J21" s="217">
        <f>+'8'!J21</f>
        <v>0</v>
      </c>
      <c r="K21" s="242"/>
      <c r="L21" s="242"/>
      <c r="M21" s="120">
        <f>+K21+'8'!M21+L21</f>
        <v>0</v>
      </c>
    </row>
    <row r="22" spans="1:25" ht="13.5" thickBot="1">
      <c r="A22" s="799"/>
      <c r="B22" s="218"/>
      <c r="C22" s="219"/>
      <c r="D22" s="220"/>
      <c r="E22" s="228"/>
      <c r="F22" s="239"/>
      <c r="G22" s="235"/>
      <c r="H22" s="236"/>
      <c r="I22" s="798"/>
      <c r="J22" s="217">
        <f>+'8'!J22</f>
        <v>0</v>
      </c>
      <c r="K22" s="242"/>
      <c r="L22" s="242"/>
      <c r="M22" s="120">
        <f>+K22+'8'!M22+L22</f>
        <v>0</v>
      </c>
      <c r="Q22" s="179">
        <f>SUM(Q15:Q21)</f>
        <v>480</v>
      </c>
      <c r="R22" s="179">
        <f>SUM(R15:R21)</f>
        <v>480000</v>
      </c>
      <c r="S22" s="179">
        <f>SUM(S15:S21)</f>
        <v>412800</v>
      </c>
    </row>
    <row r="23" spans="1:25" ht="13.5" thickBot="1">
      <c r="A23" s="800"/>
      <c r="B23" s="168" t="s">
        <v>3</v>
      </c>
      <c r="C23" s="103">
        <f>SUM(C16:C22)</f>
        <v>16098</v>
      </c>
      <c r="D23" s="114">
        <f>SUM(D16:D22)</f>
        <v>0</v>
      </c>
      <c r="E23" s="115">
        <f>SUM(E18:E22)</f>
        <v>0</v>
      </c>
      <c r="F23" s="105">
        <f>SUM(F15:F22)</f>
        <v>6</v>
      </c>
      <c r="G23" s="162"/>
      <c r="H23" s="169"/>
      <c r="I23" s="172"/>
      <c r="J23" s="217">
        <f>+'8'!J23</f>
        <v>0</v>
      </c>
      <c r="K23" s="242"/>
      <c r="L23" s="242"/>
      <c r="M23" s="120">
        <f>+K23+'8'!M23+L23</f>
        <v>0</v>
      </c>
      <c r="Q23" s="152">
        <f>480-Q22</f>
        <v>0</v>
      </c>
      <c r="R23" s="179">
        <f>+R22/Q22</f>
        <v>1000</v>
      </c>
      <c r="S23" s="179">
        <f>+S22/Q22</f>
        <v>860</v>
      </c>
    </row>
    <row r="24" spans="1:25" ht="13.5" customHeight="1" thickBot="1">
      <c r="A24" s="793" t="s">
        <v>430</v>
      </c>
      <c r="B24" s="173"/>
      <c r="C24" s="116">
        <f>C23/($C$23+$D$23+$E$23)</f>
        <v>1</v>
      </c>
      <c r="D24" s="117">
        <f>D23/($C$23+$D$23+$E$23)</f>
        <v>0</v>
      </c>
      <c r="E24" s="118">
        <f>E23/($C$23+$D$23+$E$23)</f>
        <v>0</v>
      </c>
      <c r="F24" s="231"/>
      <c r="G24" s="232" t="s">
        <v>13</v>
      </c>
      <c r="H24" s="233" t="s">
        <v>391</v>
      </c>
      <c r="I24" s="796" t="s">
        <v>569</v>
      </c>
      <c r="J24" s="217">
        <f>+'8'!J24</f>
        <v>0</v>
      </c>
      <c r="K24" s="242"/>
      <c r="L24" s="242"/>
      <c r="M24" s="120">
        <f>+K24+'8'!M24+L24</f>
        <v>0</v>
      </c>
    </row>
    <row r="25" spans="1:25" ht="13.5" customHeight="1" thickBot="1">
      <c r="A25" s="799"/>
      <c r="B25" s="218" t="s">
        <v>578</v>
      </c>
      <c r="C25" s="229">
        <v>15963</v>
      </c>
      <c r="D25" s="220">
        <v>540</v>
      </c>
      <c r="E25" s="228"/>
      <c r="F25" s="234">
        <v>4</v>
      </c>
      <c r="G25" s="583" t="s">
        <v>13</v>
      </c>
      <c r="H25" s="233" t="s">
        <v>474</v>
      </c>
      <c r="I25" s="797"/>
      <c r="J25" s="217">
        <f>+'8'!J25</f>
        <v>0</v>
      </c>
      <c r="K25" s="242"/>
      <c r="L25" s="242"/>
      <c r="M25" s="120">
        <f>+K25+'8'!M25+L25</f>
        <v>0</v>
      </c>
      <c r="N25" s="152" t="s">
        <v>568</v>
      </c>
      <c r="O25" s="152">
        <v>1000</v>
      </c>
      <c r="P25" s="152">
        <f>+O25-(O25*0.14)</f>
        <v>860</v>
      </c>
      <c r="Q25" s="152">
        <f>60*4+16</f>
        <v>256</v>
      </c>
      <c r="R25" s="152">
        <f t="shared" ref="R25" si="4">+O25*Q25</f>
        <v>256000</v>
      </c>
      <c r="S25" s="152">
        <f t="shared" ref="S25" si="5">+P25*Q25</f>
        <v>220160</v>
      </c>
      <c r="T25" s="152" t="s">
        <v>568</v>
      </c>
      <c r="U25" s="152">
        <v>980</v>
      </c>
      <c r="V25" s="152">
        <v>842.8</v>
      </c>
      <c r="W25" s="152">
        <v>110</v>
      </c>
      <c r="X25" s="152">
        <f t="shared" ref="X25" si="6">+U25*W25</f>
        <v>107800</v>
      </c>
      <c r="Y25" s="152">
        <f t="shared" ref="Y25" si="7">+V25*W25</f>
        <v>92708</v>
      </c>
    </row>
    <row r="26" spans="1:25" ht="13.5" customHeight="1" thickBot="1">
      <c r="A26" s="799"/>
      <c r="B26" s="218"/>
      <c r="C26" s="229"/>
      <c r="D26" s="220"/>
      <c r="E26" s="230"/>
      <c r="F26" s="231">
        <v>4</v>
      </c>
      <c r="G26" s="583" t="s">
        <v>13</v>
      </c>
      <c r="H26" s="236" t="s">
        <v>456</v>
      </c>
      <c r="I26" s="797"/>
      <c r="J26" s="217">
        <f>+'8'!J26</f>
        <v>0</v>
      </c>
      <c r="K26" s="242"/>
      <c r="L26" s="242"/>
      <c r="M26" s="120">
        <f>+K26+'8'!M26+L26</f>
        <v>0</v>
      </c>
      <c r="O26" s="152">
        <v>970</v>
      </c>
      <c r="P26" s="152">
        <f t="shared" ref="P26:P27" si="8">+O26-(O26*0.14)</f>
        <v>834.2</v>
      </c>
      <c r="Q26" s="152">
        <f>44-16</f>
        <v>28</v>
      </c>
      <c r="R26" s="152">
        <f t="shared" ref="R26:R27" si="9">+O26*Q26</f>
        <v>27160</v>
      </c>
      <c r="S26" s="152">
        <f t="shared" ref="S26:S27" si="10">+P26*Q26</f>
        <v>23357.600000000002</v>
      </c>
      <c r="T26" s="152" t="s">
        <v>568</v>
      </c>
      <c r="U26" s="152">
        <v>1000</v>
      </c>
      <c r="V26" s="152">
        <v>860</v>
      </c>
      <c r="W26" s="152">
        <v>480</v>
      </c>
      <c r="X26" s="152">
        <f t="shared" ref="X26:X29" si="11">+U26*W26</f>
        <v>480000</v>
      </c>
      <c r="Y26" s="152">
        <f t="shared" ref="Y26:Y29" si="12">+V26*W26</f>
        <v>412800</v>
      </c>
    </row>
    <row r="27" spans="1:25" ht="33.75" customHeight="1" thickBot="1">
      <c r="A27" s="799"/>
      <c r="B27" s="218"/>
      <c r="C27" s="219"/>
      <c r="D27" s="220"/>
      <c r="E27" s="228"/>
      <c r="F27" s="231">
        <v>10</v>
      </c>
      <c r="G27" s="240" t="s">
        <v>14</v>
      </c>
      <c r="H27" s="236" t="s">
        <v>565</v>
      </c>
      <c r="I27" s="797"/>
      <c r="J27" s="217">
        <f>+'8'!J27</f>
        <v>0</v>
      </c>
      <c r="K27" s="242"/>
      <c r="L27" s="242"/>
      <c r="M27" s="120">
        <f>+K27+'8'!M27+L27</f>
        <v>0</v>
      </c>
      <c r="O27" s="152">
        <v>1000</v>
      </c>
      <c r="P27" s="152">
        <f t="shared" si="8"/>
        <v>860</v>
      </c>
      <c r="Q27" s="152">
        <f>60-44+180</f>
        <v>196</v>
      </c>
      <c r="R27" s="152">
        <f t="shared" si="9"/>
        <v>196000</v>
      </c>
      <c r="S27" s="152">
        <f t="shared" si="10"/>
        <v>168560</v>
      </c>
      <c r="T27" s="152" t="s">
        <v>568</v>
      </c>
      <c r="U27" s="152">
        <v>1000</v>
      </c>
      <c r="V27" s="152">
        <v>860</v>
      </c>
      <c r="W27" s="152">
        <v>256</v>
      </c>
      <c r="X27" s="152">
        <f t="shared" si="11"/>
        <v>256000</v>
      </c>
      <c r="Y27" s="152">
        <f t="shared" si="12"/>
        <v>220160</v>
      </c>
    </row>
    <row r="28" spans="1:25" ht="64.5" thickBot="1">
      <c r="A28" s="799"/>
      <c r="B28" s="218"/>
      <c r="C28" s="219"/>
      <c r="D28" s="220"/>
      <c r="E28" s="228"/>
      <c r="F28" s="234"/>
      <c r="G28" s="235"/>
      <c r="H28" s="236" t="s">
        <v>566</v>
      </c>
      <c r="I28" s="797"/>
      <c r="J28" s="217">
        <f>+'8'!J28</f>
        <v>0</v>
      </c>
      <c r="K28" s="242"/>
      <c r="L28" s="242"/>
      <c r="M28" s="120">
        <f>+K28+'8'!M28+L28</f>
        <v>0</v>
      </c>
      <c r="U28" s="152">
        <v>970</v>
      </c>
      <c r="V28" s="152">
        <v>834.2</v>
      </c>
      <c r="W28" s="152">
        <v>28</v>
      </c>
      <c r="X28" s="152">
        <f t="shared" si="11"/>
        <v>27160</v>
      </c>
      <c r="Y28" s="152">
        <f t="shared" si="12"/>
        <v>23357.600000000002</v>
      </c>
    </row>
    <row r="29" spans="1:25" ht="13.5" customHeight="1" thickBot="1">
      <c r="A29" s="799"/>
      <c r="B29" s="218"/>
      <c r="C29" s="219"/>
      <c r="D29" s="220"/>
      <c r="E29" s="228"/>
      <c r="F29" s="239"/>
      <c r="G29" s="235"/>
      <c r="H29" s="236"/>
      <c r="I29" s="797"/>
      <c r="J29" s="217">
        <f>+'8'!J29</f>
        <v>0</v>
      </c>
      <c r="K29" s="242"/>
      <c r="L29" s="242"/>
      <c r="M29" s="120">
        <f>+K29+'8'!M29+L29</f>
        <v>0</v>
      </c>
      <c r="U29" s="152">
        <v>1000</v>
      </c>
      <c r="V29" s="152">
        <v>860</v>
      </c>
      <c r="W29" s="152">
        <v>196</v>
      </c>
      <c r="X29" s="152">
        <f t="shared" si="11"/>
        <v>196000</v>
      </c>
      <c r="Y29" s="152">
        <f t="shared" si="12"/>
        <v>168560</v>
      </c>
    </row>
    <row r="30" spans="1:25" ht="13.5" customHeight="1" thickBot="1">
      <c r="A30" s="799"/>
      <c r="B30" s="218"/>
      <c r="C30" s="229"/>
      <c r="D30" s="220"/>
      <c r="E30" s="228"/>
      <c r="F30" s="239"/>
      <c r="G30" s="235"/>
      <c r="H30" s="236"/>
      <c r="I30" s="797"/>
      <c r="J30" s="217">
        <f>+'8'!J30</f>
        <v>0</v>
      </c>
      <c r="K30" s="242"/>
      <c r="L30" s="242"/>
      <c r="M30" s="120">
        <f>+K30+'8'!M30+L30</f>
        <v>0</v>
      </c>
    </row>
    <row r="31" spans="1:25" ht="13.5" customHeight="1" thickBot="1">
      <c r="A31" s="799"/>
      <c r="B31" s="218"/>
      <c r="C31" s="229"/>
      <c r="D31" s="220"/>
      <c r="E31" s="228"/>
      <c r="F31" s="239"/>
      <c r="G31" s="240"/>
      <c r="H31" s="237"/>
      <c r="I31" s="798"/>
      <c r="J31" s="217">
        <f>+'8'!J31</f>
        <v>0</v>
      </c>
      <c r="K31" s="242"/>
      <c r="L31" s="242"/>
      <c r="M31" s="120">
        <f>+K31+'8'!M31+L31</f>
        <v>0</v>
      </c>
    </row>
    <row r="32" spans="1:25" ht="13.5" customHeight="1" thickBot="1">
      <c r="A32" s="800"/>
      <c r="B32" s="168" t="s">
        <v>3</v>
      </c>
      <c r="C32" s="102">
        <f>SUM(C25:C31)</f>
        <v>15963</v>
      </c>
      <c r="D32" s="103">
        <f>SUM(D25:D31)</f>
        <v>540</v>
      </c>
      <c r="E32" s="104">
        <f>SUM(E25:E31)</f>
        <v>0</v>
      </c>
      <c r="F32" s="105">
        <f>SUM(F24:F31)</f>
        <v>18</v>
      </c>
      <c r="G32" s="174"/>
      <c r="H32" s="175"/>
      <c r="I32" s="172"/>
      <c r="J32" s="217">
        <f>+'8'!J32</f>
        <v>0</v>
      </c>
      <c r="K32" s="244"/>
      <c r="L32" s="246"/>
      <c r="M32" s="120">
        <f>+K32+'8'!M32+L32</f>
        <v>0</v>
      </c>
      <c r="Q32" s="179">
        <f>SUM(Q25:Q31)</f>
        <v>480</v>
      </c>
      <c r="R32" s="179">
        <f>SUM(R25:R31)</f>
        <v>479160</v>
      </c>
      <c r="S32" s="179">
        <f>SUM(S25:S31)</f>
        <v>412077.6</v>
      </c>
      <c r="W32" s="179">
        <f>SUM(W25:W31)</f>
        <v>1070</v>
      </c>
      <c r="X32" s="179">
        <f>SUM(X25:X31)</f>
        <v>1066960</v>
      </c>
      <c r="Y32" s="179">
        <f>SUM(Y25:Y31)</f>
        <v>917585.6</v>
      </c>
    </row>
    <row r="33" spans="1:25" ht="13.5" thickBot="1">
      <c r="A33" s="176"/>
      <c r="B33" s="177"/>
      <c r="C33" s="106">
        <f>C32/($C$32+$D$32+$E$32)</f>
        <v>0.96727867660425382</v>
      </c>
      <c r="D33" s="107">
        <f>D32/($C$32+$D$32+$E$32)</f>
        <v>3.2721323395746231E-2</v>
      </c>
      <c r="E33" s="108">
        <f>E32/($C$32+$D$32+$E$32)</f>
        <v>0</v>
      </c>
      <c r="F33" s="109"/>
      <c r="G33" s="178"/>
      <c r="H33" s="179"/>
      <c r="I33" s="180"/>
      <c r="J33" s="124"/>
      <c r="K33" s="125"/>
      <c r="L33" s="216"/>
      <c r="M33" s="122"/>
      <c r="Q33" s="152">
        <f>480-Q32</f>
        <v>0</v>
      </c>
      <c r="R33" s="179">
        <f>+R32/Q32</f>
        <v>998.25</v>
      </c>
      <c r="S33" s="179">
        <f>+S32/Q32</f>
        <v>858.495</v>
      </c>
      <c r="W33" s="152">
        <f>480-W32</f>
        <v>-590</v>
      </c>
      <c r="X33" s="179">
        <f>+X32/W32</f>
        <v>997.15887850467288</v>
      </c>
      <c r="Y33" s="179">
        <f>+Y32/W32</f>
        <v>857.55663551401869</v>
      </c>
    </row>
    <row r="34" spans="1:25" ht="13.5" thickBot="1">
      <c r="A34" s="801" t="s">
        <v>70</v>
      </c>
      <c r="B34" s="802"/>
      <c r="C34" s="110">
        <f>C14+C23+C32</f>
        <v>47546</v>
      </c>
      <c r="D34" s="110">
        <f>D14+D23+D32</f>
        <v>540</v>
      </c>
      <c r="E34" s="110">
        <f>E14+E23+E32</f>
        <v>0</v>
      </c>
      <c r="F34" s="111">
        <f>F14+F23+F32</f>
        <v>43</v>
      </c>
      <c r="H34" s="181"/>
      <c r="I34" s="181"/>
      <c r="J34" s="126" t="s">
        <v>29</v>
      </c>
      <c r="K34" s="127">
        <f>SUM(K7:K32)</f>
        <v>47546</v>
      </c>
      <c r="L34" s="215">
        <f>SUM(L7:L32)</f>
        <v>0</v>
      </c>
      <c r="M34" s="123">
        <f>SUM(M7:M32)</f>
        <v>337491</v>
      </c>
    </row>
    <row r="35" spans="1:25" ht="13.5" thickBot="1">
      <c r="A35" s="182"/>
      <c r="B35" s="183"/>
      <c r="C35" s="107">
        <f>C34/($C$34+$D$34+$E$34)</f>
        <v>0.98877012020130595</v>
      </c>
      <c r="D35" s="107">
        <f>D34/($C$34+$D$34+$E$34)</f>
        <v>1.1229879798694007E-2</v>
      </c>
      <c r="E35" s="112">
        <f>E34/($C$34+$D$34+$E$34)</f>
        <v>0</v>
      </c>
      <c r="K35" s="158"/>
      <c r="L35" s="792" t="s">
        <v>187</v>
      </c>
      <c r="M35" s="792"/>
      <c r="N35" s="152" t="s">
        <v>546</v>
      </c>
      <c r="O35" s="152">
        <v>900</v>
      </c>
      <c r="P35" s="152">
        <v>738</v>
      </c>
      <c r="Q35" s="152">
        <v>370</v>
      </c>
    </row>
    <row r="36" spans="1:25" ht="13.5" thickBot="1">
      <c r="A36" s="181"/>
      <c r="B36" s="181"/>
      <c r="C36" s="158"/>
      <c r="D36" s="158"/>
      <c r="E36" s="158"/>
      <c r="G36" s="158"/>
      <c r="H36" s="184"/>
      <c r="I36" s="165" t="s">
        <v>41</v>
      </c>
      <c r="J36" s="165" t="s">
        <v>42</v>
      </c>
      <c r="K36" s="185"/>
      <c r="L36" s="165" t="s">
        <v>41</v>
      </c>
      <c r="M36" s="165" t="s">
        <v>42</v>
      </c>
      <c r="N36" s="152" t="s">
        <v>568</v>
      </c>
      <c r="O36" s="152">
        <v>997.15887850467288</v>
      </c>
      <c r="P36" s="152">
        <v>857.55663551401869</v>
      </c>
      <c r="Q36" s="152">
        <v>1070</v>
      </c>
    </row>
    <row r="37" spans="1:25" ht="17.45" customHeight="1" thickBot="1">
      <c r="A37" s="790" t="s">
        <v>71</v>
      </c>
      <c r="B37" s="791"/>
      <c r="C37" s="165" t="s">
        <v>72</v>
      </c>
      <c r="D37" s="186" t="s">
        <v>73</v>
      </c>
      <c r="E37" s="187" t="s">
        <v>74</v>
      </c>
      <c r="F37" s="365"/>
      <c r="G37" s="367"/>
      <c r="H37" s="189" t="s">
        <v>75</v>
      </c>
      <c r="I37" s="247">
        <f>(16*370+15.5*1070)/1440*G42*2.75*1440/1000000</f>
        <v>51.171922136805563</v>
      </c>
      <c r="J37" s="128">
        <f>+I37+'8'!J37</f>
        <v>369.39287203502676</v>
      </c>
      <c r="K37" s="129" t="s">
        <v>76</v>
      </c>
      <c r="L37" s="426"/>
      <c r="M37" s="427"/>
      <c r="Q37" s="152">
        <f>+Q35+Q36</f>
        <v>1440</v>
      </c>
    </row>
    <row r="38" spans="1:25" ht="17.45" customHeight="1">
      <c r="A38" s="786" t="s">
        <v>13</v>
      </c>
      <c r="B38" s="787"/>
      <c r="C38" s="167">
        <f>SUMIF($G$7:$G$31,"Process",$F$7:$F$31)</f>
        <v>33</v>
      </c>
      <c r="D38" s="121">
        <f>+C38+'8'!D38</f>
        <v>954</v>
      </c>
      <c r="E38" s="146">
        <f t="shared" ref="E38:E51" si="13">D38/60</f>
        <v>15.9</v>
      </c>
      <c r="F38" s="365">
        <v>918.33333333333337</v>
      </c>
      <c r="G38" s="365">
        <v>762.01666666666665</v>
      </c>
      <c r="H38" s="190" t="s">
        <v>77</v>
      </c>
      <c r="I38" s="547">
        <f>15.507+17.016+14.596</f>
        <v>47.119</v>
      </c>
      <c r="J38" s="130">
        <f>+I38+'8'!J38</f>
        <v>343.68330000000003</v>
      </c>
      <c r="K38" s="131" t="s">
        <v>76</v>
      </c>
      <c r="L38" s="428"/>
      <c r="M38" s="429"/>
    </row>
    <row r="39" spans="1:25" ht="17.45" customHeight="1">
      <c r="A39" s="782" t="s">
        <v>14</v>
      </c>
      <c r="B39" s="783"/>
      <c r="C39" s="167">
        <f>SUMIF($G$7:$G$31,"Cleaning",$F$7:$F$31)</f>
        <v>10</v>
      </c>
      <c r="D39" s="121">
        <f>+C39+'8'!D39</f>
        <v>107</v>
      </c>
      <c r="E39" s="146">
        <f t="shared" si="13"/>
        <v>1.7833333333333334</v>
      </c>
      <c r="F39" s="365">
        <v>1000</v>
      </c>
      <c r="G39" s="365">
        <v>860</v>
      </c>
      <c r="H39" s="190" t="s">
        <v>78</v>
      </c>
      <c r="I39" s="145"/>
      <c r="J39" s="132">
        <f>J37/G4</f>
        <v>41.043652448336303</v>
      </c>
      <c r="K39" s="133" t="s">
        <v>76</v>
      </c>
      <c r="L39" s="428"/>
      <c r="M39" s="429"/>
    </row>
    <row r="40" spans="1:25" ht="17.45" customHeight="1">
      <c r="A40" s="782" t="s">
        <v>79</v>
      </c>
      <c r="B40" s="783"/>
      <c r="C40" s="167">
        <f>SUMIF($G$7:$G$31,"Mechanical",$F$7:$F$31)</f>
        <v>0</v>
      </c>
      <c r="D40" s="121">
        <f>+C40+'8'!D40</f>
        <v>120</v>
      </c>
      <c r="E40" s="146">
        <f t="shared" si="13"/>
        <v>2</v>
      </c>
      <c r="F40" s="365">
        <v>998.25</v>
      </c>
      <c r="G40" s="365">
        <v>858.495</v>
      </c>
      <c r="H40" s="190" t="s">
        <v>80</v>
      </c>
      <c r="I40" s="121">
        <f>(K34+L34)/1000</f>
        <v>47.545999999999999</v>
      </c>
      <c r="J40" s="134">
        <f>+I40+'8'!J40</f>
        <v>337.49100000000004</v>
      </c>
      <c r="K40" s="133" t="s">
        <v>76</v>
      </c>
      <c r="L40" s="428"/>
      <c r="M40" s="429"/>
    </row>
    <row r="41" spans="1:25" ht="17.45" customHeight="1">
      <c r="A41" s="782" t="s">
        <v>81</v>
      </c>
      <c r="B41" s="783"/>
      <c r="C41" s="167">
        <f>SUMIF($G$7:$G$31,"Electrical",$F$7:$F$31)</f>
        <v>0</v>
      </c>
      <c r="D41" s="121">
        <f>+C41+'8'!D41</f>
        <v>65</v>
      </c>
      <c r="E41" s="146">
        <f t="shared" si="13"/>
        <v>1.0833333333333333</v>
      </c>
      <c r="F41" s="365"/>
      <c r="G41" s="365"/>
      <c r="H41" s="190" t="s">
        <v>82</v>
      </c>
      <c r="I41" s="145"/>
      <c r="J41" s="132">
        <f>J40/G4</f>
        <v>37.499000000000002</v>
      </c>
      <c r="K41" s="133" t="s">
        <v>76</v>
      </c>
      <c r="L41" s="428"/>
      <c r="M41" s="429"/>
    </row>
    <row r="42" spans="1:25" ht="17.45" customHeight="1">
      <c r="A42" s="782" t="s">
        <v>17</v>
      </c>
      <c r="B42" s="783"/>
      <c r="C42" s="167">
        <f>SUMIF($G$7:$G$31,"Instrument",$F$7:$F$31)</f>
        <v>0</v>
      </c>
      <c r="D42" s="121">
        <f>+C42+'8'!D42</f>
        <v>0</v>
      </c>
      <c r="E42" s="146">
        <f t="shared" si="13"/>
        <v>0</v>
      </c>
      <c r="F42" s="365">
        <f>+(F38*480+F39*480+F40*480)/1440</f>
        <v>972.19444444444446</v>
      </c>
      <c r="G42" s="365">
        <f>+(G38*480+G39*480+G40*480)/1440</f>
        <v>826.83722222222229</v>
      </c>
      <c r="H42" s="190" t="s">
        <v>83</v>
      </c>
      <c r="I42" s="249" t="s">
        <v>572</v>
      </c>
      <c r="J42" s="135"/>
      <c r="K42" s="133" t="s">
        <v>84</v>
      </c>
      <c r="L42" s="428"/>
      <c r="M42" s="429"/>
    </row>
    <row r="43" spans="1:25" ht="17.45" customHeight="1">
      <c r="A43" s="782" t="s">
        <v>202</v>
      </c>
      <c r="B43" s="783"/>
      <c r="C43" s="167">
        <f>SUMIF($G$7:$G$31,"Change Grade",$F$7:$F$31)</f>
        <v>0</v>
      </c>
      <c r="D43" s="121">
        <f>+C43+'8'!D43</f>
        <v>0</v>
      </c>
      <c r="E43" s="146">
        <f t="shared" si="13"/>
        <v>0</v>
      </c>
      <c r="F43" s="365"/>
      <c r="G43" s="366"/>
      <c r="H43" s="191" t="s">
        <v>86</v>
      </c>
      <c r="I43" s="121">
        <f>+Report1!AH17</f>
        <v>68.599999999999994</v>
      </c>
      <c r="J43" s="136">
        <f>+I43+'8'!J43</f>
        <v>522.79999999999995</v>
      </c>
      <c r="K43" s="133" t="s">
        <v>76</v>
      </c>
      <c r="L43" s="430">
        <f>+Report1!AN17</f>
        <v>0</v>
      </c>
      <c r="M43" s="431">
        <f>+L43+'8'!M43</f>
        <v>0</v>
      </c>
    </row>
    <row r="44" spans="1:25" ht="17.45" customHeight="1">
      <c r="A44" s="782" t="s">
        <v>18</v>
      </c>
      <c r="B44" s="783"/>
      <c r="C44" s="167">
        <f>SUMIF($G$7:$G$31,"PLN",$F$7:$F$31)</f>
        <v>0</v>
      </c>
      <c r="D44" s="121">
        <f>+C44+'8'!D44</f>
        <v>0</v>
      </c>
      <c r="E44" s="146">
        <f t="shared" si="13"/>
        <v>0</v>
      </c>
      <c r="F44" s="365"/>
      <c r="G44" s="366"/>
      <c r="H44" s="191" t="s">
        <v>87</v>
      </c>
      <c r="I44" s="121">
        <f>I43/I38</f>
        <v>1.4558882828582949</v>
      </c>
      <c r="J44" s="137">
        <f>J43/J38</f>
        <v>1.5211678891584197</v>
      </c>
      <c r="K44" s="133" t="s">
        <v>76</v>
      </c>
      <c r="L44" s="432">
        <f>+L43/I38</f>
        <v>0</v>
      </c>
      <c r="M44" s="433">
        <f>+M43/J38</f>
        <v>0</v>
      </c>
    </row>
    <row r="45" spans="1:25" ht="17.45" customHeight="1">
      <c r="A45" s="782" t="s">
        <v>19</v>
      </c>
      <c r="B45" s="783"/>
      <c r="C45" s="167">
        <f>SUMIF($G$7:$G$31,"Boiler",$F$7:$F$31)</f>
        <v>0</v>
      </c>
      <c r="D45" s="121">
        <f>+C45+'8'!D45</f>
        <v>0</v>
      </c>
      <c r="E45" s="146">
        <f t="shared" si="13"/>
        <v>0</v>
      </c>
      <c r="F45" s="365"/>
      <c r="G45" s="368"/>
      <c r="H45" s="191" t="s">
        <v>88</v>
      </c>
      <c r="I45" s="121">
        <f>I43/I40</f>
        <v>1.4428132755647163</v>
      </c>
      <c r="J45" s="137">
        <f>J43/J40</f>
        <v>1.5490783457929245</v>
      </c>
      <c r="K45" s="133" t="s">
        <v>76</v>
      </c>
      <c r="L45" s="432">
        <f>+L43/I40</f>
        <v>0</v>
      </c>
      <c r="M45" s="433">
        <f>+M43/J40</f>
        <v>0</v>
      </c>
    </row>
    <row r="46" spans="1:25" ht="17.45" customHeight="1">
      <c r="A46" s="782" t="s">
        <v>89</v>
      </c>
      <c r="B46" s="783"/>
      <c r="C46" s="167">
        <f>SUMIF($G$7:$G$31,"Gas",$F$7:$F$31)</f>
        <v>0</v>
      </c>
      <c r="D46" s="121">
        <f>+C46+'8'!D46</f>
        <v>0</v>
      </c>
      <c r="E46" s="146">
        <f t="shared" si="13"/>
        <v>0</v>
      </c>
      <c r="F46" s="365"/>
      <c r="G46" s="366"/>
      <c r="H46" s="191" t="s">
        <v>90</v>
      </c>
      <c r="I46" s="143">
        <f>+SUMIF(Listrik!P16,"&gt;0")</f>
        <v>40975.099999999904</v>
      </c>
      <c r="J46" s="138">
        <f>+I46+'8'!J46</f>
        <v>310419.95999999996</v>
      </c>
      <c r="K46" s="133" t="s">
        <v>91</v>
      </c>
      <c r="L46" s="432">
        <f>+Listrik!AF16</f>
        <v>0</v>
      </c>
      <c r="M46" s="434">
        <f>+L46+'8'!M46</f>
        <v>0</v>
      </c>
    </row>
    <row r="47" spans="1:25" ht="17.45" customHeight="1">
      <c r="A47" s="782" t="s">
        <v>92</v>
      </c>
      <c r="B47" s="783"/>
      <c r="C47" s="167">
        <f>SUMIF($G$7:$G$31,"Gas",$F$7:$F$31)</f>
        <v>0</v>
      </c>
      <c r="D47" s="121">
        <f>+C47+'8'!D47</f>
        <v>0</v>
      </c>
      <c r="E47" s="146">
        <f t="shared" si="13"/>
        <v>0</v>
      </c>
      <c r="F47" s="365"/>
      <c r="G47" s="366"/>
      <c r="H47" s="191" t="s">
        <v>93</v>
      </c>
      <c r="I47" s="121">
        <f>I46/I38</f>
        <v>869.60886266686271</v>
      </c>
      <c r="J47" s="138">
        <f>J46/J38</f>
        <v>903.21514021775261</v>
      </c>
      <c r="K47" s="133" t="s">
        <v>25</v>
      </c>
      <c r="L47" s="432">
        <f>+L46/I38</f>
        <v>0</v>
      </c>
      <c r="M47" s="433">
        <f>+M46/J38</f>
        <v>0</v>
      </c>
    </row>
    <row r="48" spans="1:25" ht="17.45" customHeight="1">
      <c r="A48" s="782" t="s">
        <v>15</v>
      </c>
      <c r="B48" s="783"/>
      <c r="C48" s="167">
        <f>SUMIF($G$7:$G$31,"Start Up",$F$7:$F$31)</f>
        <v>0</v>
      </c>
      <c r="D48" s="121">
        <f>+C48+'8'!D48</f>
        <v>0</v>
      </c>
      <c r="E48" s="146">
        <f t="shared" si="13"/>
        <v>0</v>
      </c>
      <c r="F48" s="365"/>
      <c r="G48" s="366"/>
      <c r="H48" s="191" t="s">
        <v>94</v>
      </c>
      <c r="I48" s="121">
        <f>I46/I40</f>
        <v>861.79909981912056</v>
      </c>
      <c r="J48" s="138">
        <f>J46/J40</f>
        <v>919.78737210770043</v>
      </c>
      <c r="K48" s="133" t="s">
        <v>25</v>
      </c>
      <c r="L48" s="432">
        <f>+L46/I38</f>
        <v>0</v>
      </c>
      <c r="M48" s="433">
        <f>+M46/J40</f>
        <v>0</v>
      </c>
    </row>
    <row r="49" spans="1:13" ht="17.45" customHeight="1">
      <c r="A49" s="782" t="s">
        <v>21</v>
      </c>
      <c r="B49" s="783"/>
      <c r="C49" s="167">
        <f>SUMIF($G$7:$G$31,"Others",$F$7:$F$31)</f>
        <v>0</v>
      </c>
      <c r="D49" s="121">
        <f>+C49+'8'!D49</f>
        <v>924</v>
      </c>
      <c r="E49" s="146">
        <f t="shared" si="13"/>
        <v>15.4</v>
      </c>
      <c r="F49" s="188"/>
      <c r="H49" s="191" t="s">
        <v>182</v>
      </c>
      <c r="I49" s="121">
        <f>+Report1!AB17</f>
        <v>4468.3044827761669</v>
      </c>
      <c r="J49" s="138">
        <f>+I49+'8'!J49</f>
        <v>30543.074129904668</v>
      </c>
      <c r="K49" s="133" t="s">
        <v>96</v>
      </c>
      <c r="L49" s="428"/>
      <c r="M49" s="429"/>
    </row>
    <row r="50" spans="1:13" ht="17.45" customHeight="1">
      <c r="A50" s="782" t="s">
        <v>20</v>
      </c>
      <c r="B50" s="783"/>
      <c r="C50" s="167">
        <f>SUMIF($G$7:$G$31,"Steam",$F$7:$F$31)</f>
        <v>0</v>
      </c>
      <c r="D50" s="121">
        <f>+C50+'8'!D50</f>
        <v>0</v>
      </c>
      <c r="E50" s="146">
        <f t="shared" si="13"/>
        <v>0</v>
      </c>
      <c r="F50" s="188"/>
      <c r="H50" s="191" t="s">
        <v>97</v>
      </c>
      <c r="I50" s="143">
        <f>I49/I38</f>
        <v>94.830206132901097</v>
      </c>
      <c r="J50" s="136">
        <f>J49/J38</f>
        <v>88.869823264338606</v>
      </c>
      <c r="K50" s="133" t="s">
        <v>96</v>
      </c>
      <c r="L50" s="428"/>
      <c r="M50" s="429"/>
    </row>
    <row r="51" spans="1:13" ht="17.45" customHeight="1" thickBot="1">
      <c r="A51" s="784" t="s">
        <v>98</v>
      </c>
      <c r="B51" s="785"/>
      <c r="C51" s="167">
        <f>SUMIF($G$7:$G$31,"Planned shut",$F$7:$F$31)</f>
        <v>0</v>
      </c>
      <c r="D51" s="121">
        <f>+C51+'8'!D51</f>
        <v>0</v>
      </c>
      <c r="E51" s="146">
        <f t="shared" si="13"/>
        <v>0</v>
      </c>
      <c r="F51" s="188"/>
      <c r="H51" s="193" t="s">
        <v>99</v>
      </c>
      <c r="I51" s="144">
        <f>I49/I40</f>
        <v>93.978557245113507</v>
      </c>
      <c r="J51" s="139">
        <f>J49/J40</f>
        <v>90.50041076622685</v>
      </c>
      <c r="K51" s="140" t="s">
        <v>96</v>
      </c>
      <c r="L51" s="428"/>
      <c r="M51" s="429"/>
    </row>
    <row r="52" spans="1:13" ht="13.5" thickBot="1">
      <c r="A52" s="786" t="s">
        <v>29</v>
      </c>
      <c r="B52" s="787"/>
      <c r="C52" s="147">
        <f>SUM(C38:C51)</f>
        <v>43</v>
      </c>
      <c r="D52" s="147">
        <f>SUM(D38:D51)</f>
        <v>2170</v>
      </c>
      <c r="E52" s="148">
        <f>SUM(E38:E51)</f>
        <v>36.166666666666664</v>
      </c>
      <c r="F52" s="188"/>
      <c r="H52" s="194"/>
      <c r="I52" s="195"/>
      <c r="J52" s="141"/>
      <c r="K52" s="142"/>
      <c r="L52" s="435"/>
      <c r="M52" s="436"/>
    </row>
    <row r="53" spans="1:13" ht="13.5" thickBot="1">
      <c r="A53" s="788"/>
      <c r="B53" s="789"/>
      <c r="C53" s="149">
        <f>C52/(24*60)</f>
        <v>2.9861111111111113E-2</v>
      </c>
      <c r="D53" s="149">
        <f>D52/(24*60*G4)</f>
        <v>0.16743827160493827</v>
      </c>
      <c r="E53" s="150">
        <f>E52/(G4*24)</f>
        <v>0.16743827160493827</v>
      </c>
      <c r="F53" s="188"/>
    </row>
    <row r="54" spans="1:13">
      <c r="E54" s="196"/>
      <c r="F54" s="188"/>
    </row>
    <row r="55" spans="1:13">
      <c r="E55" s="196"/>
    </row>
    <row r="56" spans="1:13">
      <c r="A56" s="197" t="s">
        <v>100</v>
      </c>
      <c r="B56" s="198"/>
      <c r="C56" s="199"/>
      <c r="D56" s="199"/>
      <c r="E56" s="199"/>
      <c r="F56" s="200"/>
      <c r="G56" s="199"/>
      <c r="H56" s="201"/>
      <c r="I56" s="202" t="s">
        <v>101</v>
      </c>
      <c r="J56" s="203">
        <f>+D34+'8'!J56</f>
        <v>1230</v>
      </c>
      <c r="K56" s="204">
        <f>J56/(J40+J56/1000)/1000</f>
        <v>3.6313071820170575E-3</v>
      </c>
    </row>
    <row r="57" spans="1:13">
      <c r="A57" s="179"/>
      <c r="I57" s="202" t="s">
        <v>102</v>
      </c>
      <c r="J57" s="203">
        <f>+E34+'8'!J57</f>
        <v>0</v>
      </c>
      <c r="K57" s="204">
        <f>J57/(J40+J57/1000)/1000</f>
        <v>0</v>
      </c>
    </row>
    <row r="58" spans="1:13">
      <c r="A58" s="205"/>
      <c r="B58" s="206"/>
      <c r="F58" s="188"/>
      <c r="H58" s="207"/>
      <c r="J58" s="158">
        <f>+J56+325</f>
        <v>1555</v>
      </c>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48:B48"/>
    <mergeCell ref="A53:B53"/>
    <mergeCell ref="A52:B52"/>
    <mergeCell ref="A49:B49"/>
    <mergeCell ref="A51:B51"/>
    <mergeCell ref="A50:B50"/>
    <mergeCell ref="A47:B47"/>
    <mergeCell ref="A40:B40"/>
    <mergeCell ref="A41:B41"/>
    <mergeCell ref="A39:B39"/>
    <mergeCell ref="A46:B46"/>
    <mergeCell ref="A42:B42"/>
    <mergeCell ref="A43:B43"/>
    <mergeCell ref="A44:B44"/>
    <mergeCell ref="A45:B45"/>
    <mergeCell ref="L35:M35"/>
    <mergeCell ref="A38:B38"/>
    <mergeCell ref="A24:A32"/>
    <mergeCell ref="A7:A14"/>
    <mergeCell ref="I7:I13"/>
    <mergeCell ref="A15:A23"/>
    <mergeCell ref="I15:I22"/>
    <mergeCell ref="I24:I31"/>
    <mergeCell ref="A37:B37"/>
    <mergeCell ref="A34:B34"/>
  </mergeCells>
  <phoneticPr fontId="31"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Z61"/>
  <sheetViews>
    <sheetView view="pageBreakPreview" zoomScale="80" zoomScaleNormal="75" zoomScaleSheetLayoutView="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28515625" style="152" bestFit="1" customWidth="1"/>
    <col min="11" max="11" width="14" style="152" bestFit="1" customWidth="1"/>
    <col min="12" max="12" width="13.7109375" style="152" bestFit="1" customWidth="1"/>
    <col min="13" max="13" width="15" style="152" bestFit="1"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8</v>
      </c>
      <c r="H4" s="157" t="str">
        <f>+'1'!H4</f>
        <v>.03.26</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544</v>
      </c>
      <c r="O6" s="152">
        <v>850</v>
      </c>
      <c r="P6" s="152">
        <f>+O6-(O6*0.22)</f>
        <v>663</v>
      </c>
      <c r="Q6" s="152">
        <v>240</v>
      </c>
      <c r="R6" s="152">
        <f t="shared" ref="R6" si="0">+O6*Q6</f>
        <v>204000</v>
      </c>
      <c r="S6" s="152">
        <f t="shared" ref="S6:S7" si="1">+P6*Q6</f>
        <v>159120</v>
      </c>
      <c r="U6" s="152" t="s">
        <v>544</v>
      </c>
      <c r="V6" s="152">
        <v>850</v>
      </c>
      <c r="W6" s="152">
        <f>+V6-(V6*0.22)</f>
        <v>663</v>
      </c>
      <c r="X6" s="152">
        <v>240</v>
      </c>
      <c r="Y6" s="152">
        <f t="shared" ref="Y6:Y7" si="2">+V6*X6</f>
        <v>204000</v>
      </c>
      <c r="Z6" s="152">
        <f t="shared" ref="Z6:Z7" si="3">+W6*X6</f>
        <v>159120</v>
      </c>
    </row>
    <row r="7" spans="1:26" ht="13.5" customHeight="1" thickBot="1">
      <c r="A7" s="793" t="s">
        <v>431</v>
      </c>
      <c r="B7" s="218" t="s">
        <v>561</v>
      </c>
      <c r="C7" s="219">
        <v>10272</v>
      </c>
      <c r="D7" s="220"/>
      <c r="E7" s="221"/>
      <c r="F7" s="231"/>
      <c r="G7" s="232" t="s">
        <v>13</v>
      </c>
      <c r="H7" s="233" t="s">
        <v>391</v>
      </c>
      <c r="I7" s="796" t="s">
        <v>551</v>
      </c>
      <c r="J7" s="217" t="str">
        <f>+'7'!J7</f>
        <v>T 14 RC HW</v>
      </c>
      <c r="K7" s="241"/>
      <c r="L7" s="245"/>
      <c r="M7" s="120">
        <f>+K7+'7'!M7+L7</f>
        <v>41293</v>
      </c>
      <c r="N7" s="152" t="s">
        <v>544</v>
      </c>
      <c r="O7" s="152">
        <v>900</v>
      </c>
      <c r="P7" s="152">
        <f>+O7-(O7*0.22)</f>
        <v>702</v>
      </c>
      <c r="Q7" s="152">
        <f>480-Q6</f>
        <v>240</v>
      </c>
      <c r="R7" s="152">
        <f t="shared" ref="R7" si="4">+O7*Q7</f>
        <v>216000</v>
      </c>
      <c r="S7" s="152">
        <f t="shared" si="1"/>
        <v>168480</v>
      </c>
      <c r="U7" s="152" t="s">
        <v>544</v>
      </c>
      <c r="V7" s="152">
        <v>900</v>
      </c>
      <c r="W7" s="152">
        <f>+V7-(V7*0.22)</f>
        <v>702</v>
      </c>
      <c r="X7" s="152">
        <f>480-X6</f>
        <v>240</v>
      </c>
      <c r="Y7" s="152">
        <f t="shared" si="2"/>
        <v>216000</v>
      </c>
      <c r="Z7" s="152">
        <f t="shared" si="3"/>
        <v>168480</v>
      </c>
    </row>
    <row r="8" spans="1:26" ht="13.5" thickBot="1">
      <c r="A8" s="794"/>
      <c r="B8" s="218" t="s">
        <v>560</v>
      </c>
      <c r="C8" s="219">
        <v>3779</v>
      </c>
      <c r="D8" s="220"/>
      <c r="E8" s="222"/>
      <c r="F8" s="234">
        <v>7</v>
      </c>
      <c r="G8" s="583" t="s">
        <v>13</v>
      </c>
      <c r="H8" s="233" t="s">
        <v>487</v>
      </c>
      <c r="I8" s="797"/>
      <c r="J8" s="217" t="str">
        <f>+'7'!J8</f>
        <v>T 15,5 RC HW</v>
      </c>
      <c r="K8" s="242"/>
      <c r="L8" s="242"/>
      <c r="M8" s="120">
        <f>+K8+'7'!M8+L8</f>
        <v>139937</v>
      </c>
      <c r="U8" s="152" t="s">
        <v>544</v>
      </c>
      <c r="V8" s="152">
        <v>850</v>
      </c>
      <c r="W8" s="152">
        <v>663</v>
      </c>
      <c r="X8" s="152">
        <v>134</v>
      </c>
      <c r="Y8" s="152">
        <f t="shared" ref="Y8" si="5">+V8*X8</f>
        <v>113900</v>
      </c>
      <c r="Z8" s="152">
        <f t="shared" ref="Z8" si="6">+W8*X8</f>
        <v>88842</v>
      </c>
    </row>
    <row r="9" spans="1:26" ht="13.5" thickBot="1">
      <c r="A9" s="794"/>
      <c r="B9" s="218"/>
      <c r="C9" s="219"/>
      <c r="D9" s="220"/>
      <c r="E9" s="223"/>
      <c r="F9" s="231">
        <v>10</v>
      </c>
      <c r="G9" s="583" t="s">
        <v>13</v>
      </c>
      <c r="H9" s="236" t="s">
        <v>422</v>
      </c>
      <c r="I9" s="797"/>
      <c r="J9" s="217" t="str">
        <f>+'7'!J9</f>
        <v>T 13,5 RC HW</v>
      </c>
      <c r="K9" s="242"/>
      <c r="L9" s="242"/>
      <c r="M9" s="120">
        <f>+K9+'7'!M9+L9</f>
        <v>31497</v>
      </c>
    </row>
    <row r="10" spans="1:26" ht="26.25" thickBot="1">
      <c r="A10" s="794"/>
      <c r="B10" s="218"/>
      <c r="C10" s="219"/>
      <c r="D10" s="220"/>
      <c r="E10" s="222"/>
      <c r="F10" s="231"/>
      <c r="G10" s="240" t="s">
        <v>14</v>
      </c>
      <c r="H10" s="236" t="s">
        <v>537</v>
      </c>
      <c r="I10" s="797"/>
      <c r="J10" s="217" t="str">
        <f>+'7'!J10</f>
        <v>T 20 RC HW</v>
      </c>
      <c r="K10" s="242">
        <f>+C8</f>
        <v>3779</v>
      </c>
      <c r="L10" s="242"/>
      <c r="M10" s="120">
        <f>+K10+'7'!M10+L10</f>
        <v>35769</v>
      </c>
    </row>
    <row r="11" spans="1:26" ht="26.25" thickBot="1">
      <c r="A11" s="794"/>
      <c r="B11" s="218"/>
      <c r="C11" s="219"/>
      <c r="D11" s="220"/>
      <c r="E11" s="222"/>
      <c r="F11" s="231"/>
      <c r="G11" s="235"/>
      <c r="H11" s="236" t="s">
        <v>538</v>
      </c>
      <c r="I11" s="797"/>
      <c r="J11" s="217" t="s">
        <v>561</v>
      </c>
      <c r="K11" s="242">
        <f>+C7+C17</f>
        <v>18517</v>
      </c>
      <c r="L11" s="242"/>
      <c r="M11" s="120">
        <f>+K11+'7'!M11+L11</f>
        <v>18517</v>
      </c>
    </row>
    <row r="12" spans="1:26" ht="13.5" thickBot="1">
      <c r="A12" s="794"/>
      <c r="B12" s="218"/>
      <c r="C12" s="219"/>
      <c r="D12" s="220"/>
      <c r="E12" s="222"/>
      <c r="F12" s="231"/>
      <c r="G12" s="235"/>
      <c r="H12" s="236"/>
      <c r="I12" s="797"/>
      <c r="J12" s="217" t="s">
        <v>562</v>
      </c>
      <c r="K12" s="242">
        <f>+C16+C25</f>
        <v>22932</v>
      </c>
      <c r="L12" s="242"/>
      <c r="M12" s="120">
        <f>+K12+'7'!M12+L12</f>
        <v>22932</v>
      </c>
    </row>
    <row r="13" spans="1:26" ht="13.5" thickBot="1">
      <c r="A13" s="794"/>
      <c r="B13" s="218"/>
      <c r="C13" s="219"/>
      <c r="D13" s="219"/>
      <c r="E13" s="222"/>
      <c r="F13" s="231"/>
      <c r="G13" s="235"/>
      <c r="H13" s="236"/>
      <c r="I13" s="798"/>
      <c r="J13" s="217">
        <f>+'7'!J13</f>
        <v>0</v>
      </c>
      <c r="K13" s="242"/>
      <c r="L13" s="242"/>
      <c r="M13" s="120">
        <f>+K13+'7'!M13+L13</f>
        <v>0</v>
      </c>
      <c r="Q13" s="179">
        <f>SUM(Q6:Q12)</f>
        <v>480</v>
      </c>
      <c r="R13" s="179">
        <f>SUM(R6:R12)</f>
        <v>420000</v>
      </c>
      <c r="S13" s="179">
        <f>SUM(S6:S12)</f>
        <v>327600</v>
      </c>
      <c r="X13" s="179">
        <f>SUM(X6:X12)</f>
        <v>614</v>
      </c>
      <c r="Y13" s="179">
        <f>SUM(Y6:Y12)</f>
        <v>533900</v>
      </c>
      <c r="Z13" s="179">
        <f>SUM(Z6:Z12)</f>
        <v>416442</v>
      </c>
    </row>
    <row r="14" spans="1:26" ht="13.5" thickBot="1">
      <c r="A14" s="795"/>
      <c r="B14" s="168" t="s">
        <v>3</v>
      </c>
      <c r="C14" s="102">
        <f>SUM(C7:C13)</f>
        <v>14051</v>
      </c>
      <c r="D14" s="114">
        <f>SUM(D7:D13)</f>
        <v>0</v>
      </c>
      <c r="E14" s="115">
        <f>SUM(E5:E13)</f>
        <v>0</v>
      </c>
      <c r="F14" s="105">
        <f>SUM(F6:F13)</f>
        <v>17</v>
      </c>
      <c r="G14" s="162"/>
      <c r="H14" s="169"/>
      <c r="I14" s="170"/>
      <c r="J14" s="217">
        <f>+'7'!J14</f>
        <v>0</v>
      </c>
      <c r="K14" s="242"/>
      <c r="L14" s="242"/>
      <c r="M14" s="120">
        <f>+K14+'7'!M14+L14</f>
        <v>0</v>
      </c>
      <c r="Q14" s="152">
        <f>480-Q13</f>
        <v>0</v>
      </c>
      <c r="R14" s="179">
        <f>+R13/Q13</f>
        <v>875</v>
      </c>
      <c r="S14" s="179">
        <f>+S13/Q13</f>
        <v>682.5</v>
      </c>
      <c r="X14" s="152">
        <f>480-X13</f>
        <v>-134</v>
      </c>
      <c r="Y14" s="179">
        <f>+Y13/X13</f>
        <v>869.54397394136811</v>
      </c>
      <c r="Z14" s="179">
        <f>+Z13/X13</f>
        <v>678.24429967426715</v>
      </c>
    </row>
    <row r="15" spans="1:26" ht="13.5" customHeight="1" thickBot="1">
      <c r="A15" s="793" t="s">
        <v>432</v>
      </c>
      <c r="B15" s="168"/>
      <c r="C15" s="116">
        <f>C14/($C$23+$D$23+$E$23)</f>
        <v>0.88975430597771021</v>
      </c>
      <c r="D15" s="117">
        <f>D14/($C$23+$D$23+$E$23)</f>
        <v>0</v>
      </c>
      <c r="E15" s="118">
        <f>E14/($C$23+$D$23+$E$23)</f>
        <v>0</v>
      </c>
      <c r="F15" s="231"/>
      <c r="G15" s="232" t="s">
        <v>13</v>
      </c>
      <c r="H15" s="233" t="s">
        <v>391</v>
      </c>
      <c r="I15" s="796" t="s">
        <v>550</v>
      </c>
      <c r="J15" s="217">
        <f>+'7'!J15</f>
        <v>0</v>
      </c>
      <c r="K15" s="242"/>
      <c r="L15" s="242"/>
      <c r="M15" s="120">
        <f>+K15+'7'!M15+L15</f>
        <v>0</v>
      </c>
      <c r="N15" s="152" t="s">
        <v>544</v>
      </c>
      <c r="O15" s="152">
        <v>850</v>
      </c>
      <c r="P15" s="152">
        <f>+O15-(O15*0.22)</f>
        <v>663</v>
      </c>
      <c r="Q15" s="152">
        <f>60*2+14</f>
        <v>134</v>
      </c>
      <c r="R15" s="152">
        <f t="shared" ref="R15:R17" si="7">+O15*Q15</f>
        <v>113900</v>
      </c>
      <c r="S15" s="152">
        <f t="shared" ref="S15:S17" si="8">+P15*Q15</f>
        <v>88842</v>
      </c>
    </row>
    <row r="16" spans="1:26" ht="13.5" thickBot="1">
      <c r="A16" s="799"/>
      <c r="B16" s="218" t="s">
        <v>562</v>
      </c>
      <c r="C16" s="225">
        <f>4715+2832</f>
        <v>7547</v>
      </c>
      <c r="D16" s="226"/>
      <c r="E16" s="227"/>
      <c r="F16" s="234">
        <v>4</v>
      </c>
      <c r="G16" s="583" t="s">
        <v>13</v>
      </c>
      <c r="H16" s="233" t="s">
        <v>474</v>
      </c>
      <c r="I16" s="797"/>
      <c r="J16" s="217">
        <f>+'7'!J16</f>
        <v>0</v>
      </c>
      <c r="K16" s="242"/>
      <c r="L16" s="232"/>
      <c r="M16" s="120">
        <f>+K16+'7'!M16+L16</f>
        <v>0</v>
      </c>
      <c r="N16" s="152" t="s">
        <v>545</v>
      </c>
      <c r="O16" s="152">
        <v>900</v>
      </c>
      <c r="P16" s="152">
        <f>+O16-(O16*0.22)</f>
        <v>702</v>
      </c>
      <c r="Q16" s="152">
        <f>60-14+47</f>
        <v>93</v>
      </c>
      <c r="R16" s="152">
        <f t="shared" si="7"/>
        <v>83700</v>
      </c>
      <c r="S16" s="152">
        <f t="shared" si="8"/>
        <v>65286</v>
      </c>
      <c r="U16" s="152" t="s">
        <v>545</v>
      </c>
      <c r="V16" s="152">
        <v>900</v>
      </c>
      <c r="W16" s="152">
        <v>702</v>
      </c>
      <c r="X16" s="152">
        <v>93</v>
      </c>
      <c r="Y16" s="152">
        <f t="shared" ref="Y16:Y18" si="9">+V16*X16</f>
        <v>83700</v>
      </c>
      <c r="Z16" s="152">
        <f t="shared" ref="Z16:Z18" si="10">+W16*X16</f>
        <v>65286</v>
      </c>
    </row>
    <row r="17" spans="1:26" ht="13.5" thickBot="1">
      <c r="A17" s="799"/>
      <c r="B17" s="218" t="s">
        <v>561</v>
      </c>
      <c r="C17" s="219">
        <v>8245</v>
      </c>
      <c r="D17" s="220"/>
      <c r="E17" s="228"/>
      <c r="F17" s="231">
        <v>4</v>
      </c>
      <c r="G17" s="583" t="s">
        <v>13</v>
      </c>
      <c r="H17" s="236" t="s">
        <v>421</v>
      </c>
      <c r="I17" s="797"/>
      <c r="J17" s="217">
        <f>+'7'!J17</f>
        <v>0</v>
      </c>
      <c r="K17" s="242"/>
      <c r="L17" s="232"/>
      <c r="M17" s="120">
        <f>+K17+'7'!M17+L17</f>
        <v>0</v>
      </c>
      <c r="N17" s="152" t="s">
        <v>546</v>
      </c>
      <c r="O17" s="152">
        <v>900</v>
      </c>
      <c r="P17" s="152">
        <f>+O17-(O17*0.18)</f>
        <v>738</v>
      </c>
      <c r="Q17" s="152">
        <f>60-47+240</f>
        <v>253</v>
      </c>
      <c r="R17" s="152">
        <f t="shared" si="7"/>
        <v>227700</v>
      </c>
      <c r="S17" s="152">
        <f t="shared" si="8"/>
        <v>186714</v>
      </c>
      <c r="U17" s="152" t="s">
        <v>546</v>
      </c>
      <c r="V17" s="152">
        <v>900</v>
      </c>
      <c r="W17" s="152">
        <v>738</v>
      </c>
      <c r="X17" s="152">
        <v>253</v>
      </c>
      <c r="Y17" s="152">
        <f t="shared" si="9"/>
        <v>227700</v>
      </c>
      <c r="Z17" s="152">
        <f t="shared" si="10"/>
        <v>186714</v>
      </c>
    </row>
    <row r="18" spans="1:26" ht="26.25" thickBot="1">
      <c r="A18" s="799"/>
      <c r="B18" s="218"/>
      <c r="C18" s="219"/>
      <c r="D18" s="220"/>
      <c r="E18" s="228"/>
      <c r="F18" s="231"/>
      <c r="G18" s="240" t="s">
        <v>14</v>
      </c>
      <c r="H18" s="236" t="s">
        <v>535</v>
      </c>
      <c r="I18" s="797"/>
      <c r="J18" s="217">
        <f>+'7'!J18</f>
        <v>0</v>
      </c>
      <c r="K18" s="242"/>
      <c r="L18" s="242"/>
      <c r="M18" s="120">
        <f>+K18+'7'!M18+L18</f>
        <v>0</v>
      </c>
      <c r="U18" s="152" t="s">
        <v>546</v>
      </c>
      <c r="V18" s="152">
        <v>900</v>
      </c>
      <c r="W18" s="152">
        <v>738</v>
      </c>
      <c r="X18" s="152">
        <v>480</v>
      </c>
      <c r="Y18" s="152">
        <f t="shared" si="9"/>
        <v>432000</v>
      </c>
      <c r="Z18" s="152">
        <f t="shared" si="10"/>
        <v>354240</v>
      </c>
    </row>
    <row r="19" spans="1:26" ht="26.25" thickBot="1">
      <c r="A19" s="799"/>
      <c r="B19" s="218"/>
      <c r="C19" s="219"/>
      <c r="D19" s="220"/>
      <c r="E19" s="228"/>
      <c r="F19" s="238"/>
      <c r="G19" s="235"/>
      <c r="H19" s="236" t="s">
        <v>536</v>
      </c>
      <c r="I19" s="797"/>
      <c r="J19" s="217">
        <f>+'7'!J19</f>
        <v>0</v>
      </c>
      <c r="K19" s="242"/>
      <c r="L19" s="242"/>
      <c r="M19" s="120">
        <f>+K19+'7'!M19+L19</f>
        <v>0</v>
      </c>
    </row>
    <row r="20" spans="1:26" ht="13.5" thickBot="1">
      <c r="A20" s="799"/>
      <c r="B20" s="218"/>
      <c r="C20" s="219"/>
      <c r="D20" s="220"/>
      <c r="E20" s="228"/>
      <c r="F20" s="231"/>
      <c r="G20" s="235"/>
      <c r="H20" s="236"/>
      <c r="I20" s="797"/>
      <c r="J20" s="217">
        <f>+'7'!J20</f>
        <v>0</v>
      </c>
      <c r="K20" s="242"/>
      <c r="L20" s="243"/>
      <c r="M20" s="120">
        <f>+K20+'7'!M20+L20</f>
        <v>0</v>
      </c>
    </row>
    <row r="21" spans="1:26" ht="13.5" thickBot="1">
      <c r="A21" s="799"/>
      <c r="B21" s="218"/>
      <c r="C21" s="219"/>
      <c r="D21" s="220"/>
      <c r="E21" s="228"/>
      <c r="F21" s="234"/>
      <c r="G21" s="235"/>
      <c r="H21" s="236"/>
      <c r="I21" s="797"/>
      <c r="J21" s="217">
        <f>+'7'!J21</f>
        <v>0</v>
      </c>
      <c r="K21" s="242"/>
      <c r="L21" s="242"/>
      <c r="M21" s="120">
        <f>+K21+'7'!M21+L21</f>
        <v>0</v>
      </c>
    </row>
    <row r="22" spans="1:26" ht="13.5" thickBot="1">
      <c r="A22" s="799"/>
      <c r="B22" s="218"/>
      <c r="C22" s="219"/>
      <c r="D22" s="220"/>
      <c r="E22" s="228"/>
      <c r="F22" s="239"/>
      <c r="G22" s="235"/>
      <c r="H22" s="236"/>
      <c r="I22" s="798"/>
      <c r="J22" s="217">
        <f>+'7'!J22</f>
        <v>0</v>
      </c>
      <c r="K22" s="242"/>
      <c r="L22" s="242"/>
      <c r="M22" s="120">
        <f>+K22+'7'!M22+L22</f>
        <v>0</v>
      </c>
      <c r="Q22" s="179">
        <f>SUM(Q15:Q21)</f>
        <v>480</v>
      </c>
      <c r="R22" s="179">
        <f>SUM(R15:R21)</f>
        <v>425300</v>
      </c>
      <c r="S22" s="179">
        <f>SUM(S15:S21)</f>
        <v>340842</v>
      </c>
    </row>
    <row r="23" spans="1:26" ht="13.5" thickBot="1">
      <c r="A23" s="800"/>
      <c r="B23" s="168" t="s">
        <v>3</v>
      </c>
      <c r="C23" s="103">
        <f>SUM(C16:C22)</f>
        <v>15792</v>
      </c>
      <c r="D23" s="114">
        <f>SUM(D16:D22)</f>
        <v>0</v>
      </c>
      <c r="E23" s="115">
        <f>SUM(E18:E22)</f>
        <v>0</v>
      </c>
      <c r="F23" s="105">
        <f>SUM(F15:F22)</f>
        <v>8</v>
      </c>
      <c r="G23" s="162"/>
      <c r="H23" s="169"/>
      <c r="I23" s="172"/>
      <c r="J23" s="217">
        <f>+'7'!J23</f>
        <v>0</v>
      </c>
      <c r="K23" s="242"/>
      <c r="L23" s="242"/>
      <c r="M23" s="120">
        <f>+K23+'7'!M23+L23</f>
        <v>0</v>
      </c>
      <c r="Q23" s="152">
        <f>480-Q22</f>
        <v>0</v>
      </c>
      <c r="R23" s="179">
        <f>+R22/Q22</f>
        <v>886.04166666666663</v>
      </c>
      <c r="S23" s="179">
        <f>+S22/Q22</f>
        <v>710.08749999999998</v>
      </c>
      <c r="X23" s="179">
        <f>SUM(X16:X22)</f>
        <v>826</v>
      </c>
      <c r="Y23" s="179">
        <f>SUM(Y16:Y22)</f>
        <v>743400</v>
      </c>
      <c r="Z23" s="179">
        <f>SUM(Z16:Z22)</f>
        <v>606240</v>
      </c>
    </row>
    <row r="24" spans="1:26" ht="13.5" customHeight="1" thickBot="1">
      <c r="A24" s="793" t="s">
        <v>477</v>
      </c>
      <c r="B24" s="173"/>
      <c r="C24" s="116">
        <f>C23/($C$23+$D$23+$E$23)</f>
        <v>1</v>
      </c>
      <c r="D24" s="117">
        <f>D23/($C$23+$D$23+$E$23)</f>
        <v>0</v>
      </c>
      <c r="E24" s="118">
        <f>E23/($C$23+$D$23+$E$23)</f>
        <v>0</v>
      </c>
      <c r="F24" s="231"/>
      <c r="G24" s="232" t="s">
        <v>13</v>
      </c>
      <c r="H24" s="233" t="s">
        <v>391</v>
      </c>
      <c r="I24" s="796" t="s">
        <v>549</v>
      </c>
      <c r="J24" s="217">
        <f>+'7'!J24</f>
        <v>0</v>
      </c>
      <c r="K24" s="242"/>
      <c r="L24" s="242"/>
      <c r="M24" s="120">
        <f>+K24+'7'!M24+L24</f>
        <v>0</v>
      </c>
      <c r="N24" s="152" t="s">
        <v>546</v>
      </c>
      <c r="O24" s="152">
        <v>900</v>
      </c>
      <c r="P24" s="152">
        <f>+O24-(O24*0.18)</f>
        <v>738</v>
      </c>
      <c r="Q24" s="152">
        <v>480</v>
      </c>
      <c r="R24" s="152">
        <f t="shared" ref="R24" si="11">+O24*Q24</f>
        <v>432000</v>
      </c>
      <c r="S24" s="152">
        <f t="shared" ref="S24" si="12">+P24*Q24</f>
        <v>354240</v>
      </c>
      <c r="X24" s="152">
        <f>480-X23</f>
        <v>-346</v>
      </c>
      <c r="Y24" s="179">
        <f>+Y23/X23</f>
        <v>900</v>
      </c>
      <c r="Z24" s="179">
        <f>+Z23/X23</f>
        <v>733.94673123486677</v>
      </c>
    </row>
    <row r="25" spans="1:26" ht="13.5" thickBot="1">
      <c r="A25" s="799"/>
      <c r="B25" s="218" t="s">
        <v>562</v>
      </c>
      <c r="C25" s="229">
        <v>15385</v>
      </c>
      <c r="D25" s="220"/>
      <c r="E25" s="228"/>
      <c r="F25" s="234">
        <v>4</v>
      </c>
      <c r="G25" s="583" t="s">
        <v>13</v>
      </c>
      <c r="H25" s="233" t="s">
        <v>487</v>
      </c>
      <c r="I25" s="797"/>
      <c r="J25" s="217">
        <f>+'7'!J25</f>
        <v>0</v>
      </c>
      <c r="K25" s="242"/>
      <c r="L25" s="242"/>
      <c r="M25" s="120">
        <f>+K25+'7'!M25+L25</f>
        <v>0</v>
      </c>
      <c r="Q25" s="152">
        <f>480-Q24</f>
        <v>0</v>
      </c>
      <c r="R25" s="152">
        <f t="shared" ref="R25" si="13">+O25*Q25</f>
        <v>0</v>
      </c>
      <c r="S25" s="152">
        <f t="shared" ref="S25" si="14">+P25*Q25</f>
        <v>0</v>
      </c>
    </row>
    <row r="26" spans="1:26" ht="13.5" thickBot="1">
      <c r="A26" s="799"/>
      <c r="B26" s="218"/>
      <c r="C26" s="229"/>
      <c r="D26" s="220"/>
      <c r="E26" s="230"/>
      <c r="F26" s="231">
        <v>7</v>
      </c>
      <c r="G26" s="583" t="s">
        <v>13</v>
      </c>
      <c r="H26" s="236" t="s">
        <v>422</v>
      </c>
      <c r="I26" s="797"/>
      <c r="J26" s="217">
        <f>+'7'!J26</f>
        <v>0</v>
      </c>
      <c r="K26" s="242"/>
      <c r="L26" s="242"/>
      <c r="M26" s="120">
        <f>+K26+'7'!M26+L26</f>
        <v>0</v>
      </c>
    </row>
    <row r="27" spans="1:26" ht="26.25" thickBot="1">
      <c r="A27" s="799"/>
      <c r="B27" s="218"/>
      <c r="C27" s="219"/>
      <c r="D27" s="220"/>
      <c r="E27" s="228"/>
      <c r="F27" s="231">
        <v>8</v>
      </c>
      <c r="G27" s="240" t="s">
        <v>14</v>
      </c>
      <c r="H27" s="236" t="s">
        <v>534</v>
      </c>
      <c r="I27" s="797"/>
      <c r="J27" s="217">
        <f>+'7'!J27</f>
        <v>0</v>
      </c>
      <c r="K27" s="242"/>
      <c r="L27" s="242"/>
      <c r="M27" s="120">
        <f>+K27+'7'!M27+L27</f>
        <v>0</v>
      </c>
    </row>
    <row r="28" spans="1:26" ht="13.5" thickBot="1">
      <c r="A28" s="799"/>
      <c r="B28" s="218"/>
      <c r="C28" s="219"/>
      <c r="D28" s="220"/>
      <c r="E28" s="228"/>
      <c r="F28" s="234"/>
      <c r="G28" s="235"/>
      <c r="H28" s="236"/>
      <c r="I28" s="797"/>
      <c r="J28" s="217">
        <f>+'7'!J28</f>
        <v>0</v>
      </c>
      <c r="K28" s="242"/>
      <c r="L28" s="242"/>
      <c r="M28" s="120">
        <f>+K28+'7'!M28+L28</f>
        <v>0</v>
      </c>
    </row>
    <row r="29" spans="1:26" ht="13.5" thickBot="1">
      <c r="A29" s="799"/>
      <c r="B29" s="218"/>
      <c r="C29" s="219"/>
      <c r="D29" s="220"/>
      <c r="E29" s="228"/>
      <c r="F29" s="239"/>
      <c r="G29" s="235"/>
      <c r="H29" s="236"/>
      <c r="I29" s="797"/>
      <c r="J29" s="217">
        <f>+'7'!J29</f>
        <v>0</v>
      </c>
      <c r="K29" s="242"/>
      <c r="L29" s="242"/>
      <c r="M29" s="120">
        <f>+K29+'7'!M29+L29</f>
        <v>0</v>
      </c>
    </row>
    <row r="30" spans="1:26" ht="13.5" thickBot="1">
      <c r="A30" s="799"/>
      <c r="B30" s="218"/>
      <c r="C30" s="229"/>
      <c r="D30" s="220"/>
      <c r="E30" s="228"/>
      <c r="F30" s="239"/>
      <c r="G30" s="235"/>
      <c r="H30" s="236"/>
      <c r="I30" s="797"/>
      <c r="J30" s="217">
        <f>+'7'!J30</f>
        <v>0</v>
      </c>
      <c r="K30" s="242"/>
      <c r="L30" s="242"/>
      <c r="M30" s="120">
        <f>+K30+'7'!M30+L30</f>
        <v>0</v>
      </c>
    </row>
    <row r="31" spans="1:26" ht="13.5" thickBot="1">
      <c r="A31" s="799"/>
      <c r="B31" s="218"/>
      <c r="C31" s="229"/>
      <c r="D31" s="220"/>
      <c r="E31" s="228"/>
      <c r="F31" s="239"/>
      <c r="G31" s="240"/>
      <c r="H31" s="237"/>
      <c r="I31" s="798"/>
      <c r="J31" s="217">
        <f>+'7'!J31</f>
        <v>0</v>
      </c>
      <c r="K31" s="242"/>
      <c r="L31" s="242"/>
      <c r="M31" s="120">
        <f>+K31+'7'!M31+L31</f>
        <v>0</v>
      </c>
      <c r="Q31" s="179">
        <f>SUM(Q24:Q30)</f>
        <v>480</v>
      </c>
      <c r="R31" s="179">
        <f>SUM(R24:R30)</f>
        <v>432000</v>
      </c>
      <c r="S31" s="179">
        <f>SUM(S24:S30)</f>
        <v>354240</v>
      </c>
    </row>
    <row r="32" spans="1:26" ht="13.5" thickBot="1">
      <c r="A32" s="800"/>
      <c r="B32" s="168" t="s">
        <v>3</v>
      </c>
      <c r="C32" s="102">
        <f>SUM(C25:C31)</f>
        <v>15385</v>
      </c>
      <c r="D32" s="103">
        <f>SUM(D25:D31)</f>
        <v>0</v>
      </c>
      <c r="E32" s="104">
        <f>SUM(E25:E31)</f>
        <v>0</v>
      </c>
      <c r="F32" s="105">
        <f>SUM(F24:F31)</f>
        <v>19</v>
      </c>
      <c r="G32" s="174"/>
      <c r="H32" s="175"/>
      <c r="I32" s="172"/>
      <c r="J32" s="217">
        <f>+'7'!J32</f>
        <v>0</v>
      </c>
      <c r="K32" s="244"/>
      <c r="L32" s="246"/>
      <c r="M32" s="120">
        <f>+K32+'7'!M32+L32</f>
        <v>0</v>
      </c>
      <c r="Q32" s="152">
        <f>480-Q31</f>
        <v>0</v>
      </c>
      <c r="R32" s="179">
        <f>+R31/Q31</f>
        <v>900</v>
      </c>
      <c r="S32" s="179">
        <f>+S31/Q31</f>
        <v>738</v>
      </c>
    </row>
    <row r="33" spans="1:17" ht="13.5" thickBot="1">
      <c r="A33" s="176"/>
      <c r="B33" s="177"/>
      <c r="C33" s="106">
        <f>C32/($C$32+$D$32+$E$32)</f>
        <v>1</v>
      </c>
      <c r="D33" s="107">
        <f>D32/($C$32+$D$32+$E$32)</f>
        <v>0</v>
      </c>
      <c r="E33" s="108">
        <f>E32/($C$32+$D$32+$E$32)</f>
        <v>0</v>
      </c>
      <c r="F33" s="109"/>
      <c r="G33" s="178"/>
      <c r="H33" s="179"/>
      <c r="I33" s="180"/>
      <c r="J33" s="124"/>
      <c r="K33" s="125"/>
      <c r="L33" s="216"/>
      <c r="M33" s="122"/>
    </row>
    <row r="34" spans="1:17" ht="13.5" thickBot="1">
      <c r="A34" s="801" t="s">
        <v>70</v>
      </c>
      <c r="B34" s="802"/>
      <c r="C34" s="110">
        <f>C14+C23+C32</f>
        <v>45228</v>
      </c>
      <c r="D34" s="110">
        <f>D14+D23+D32</f>
        <v>0</v>
      </c>
      <c r="E34" s="110">
        <f>E14+E23+E32</f>
        <v>0</v>
      </c>
      <c r="F34" s="111">
        <f>F14+F23+F32</f>
        <v>44</v>
      </c>
      <c r="H34" s="181"/>
      <c r="I34" s="181"/>
      <c r="J34" s="126" t="s">
        <v>29</v>
      </c>
      <c r="K34" s="127">
        <f>SUM(K7:K32)</f>
        <v>45228</v>
      </c>
      <c r="L34" s="215">
        <f>SUM(L7:L32)</f>
        <v>0</v>
      </c>
      <c r="M34" s="123">
        <f>SUM(M7:M32)</f>
        <v>289945</v>
      </c>
      <c r="N34" s="158"/>
    </row>
    <row r="35" spans="1:17" ht="13.5" thickBot="1">
      <c r="A35" s="182"/>
      <c r="B35" s="183"/>
      <c r="C35" s="107">
        <f>C34/($C$34+$D$34+$E$34)</f>
        <v>1</v>
      </c>
      <c r="D35" s="107">
        <f>D34/($C$34+$D$34+$E$34)</f>
        <v>0</v>
      </c>
      <c r="E35" s="112">
        <f>E34/($C$34+$D$34+$E$34)</f>
        <v>0</v>
      </c>
      <c r="K35" s="158"/>
      <c r="L35" s="792" t="s">
        <v>187</v>
      </c>
      <c r="M35" s="792"/>
      <c r="N35" s="152" t="s">
        <v>544</v>
      </c>
      <c r="O35" s="152">
        <v>869.54397394136811</v>
      </c>
      <c r="P35" s="152">
        <v>678.24429967426715</v>
      </c>
      <c r="Q35" s="152">
        <v>614</v>
      </c>
    </row>
    <row r="36" spans="1:17" ht="13.5" thickBot="1">
      <c r="A36" s="181"/>
      <c r="B36" s="181"/>
      <c r="C36" s="158"/>
      <c r="D36" s="158"/>
      <c r="E36" s="158"/>
      <c r="G36" s="158"/>
      <c r="H36" s="184"/>
      <c r="I36" s="165" t="s">
        <v>41</v>
      </c>
      <c r="J36" s="165" t="s">
        <v>42</v>
      </c>
      <c r="K36" s="185"/>
      <c r="L36" s="165" t="s">
        <v>41</v>
      </c>
      <c r="M36" s="165" t="s">
        <v>42</v>
      </c>
      <c r="N36" s="152" t="s">
        <v>545</v>
      </c>
      <c r="O36" s="152">
        <v>900</v>
      </c>
      <c r="P36" s="152">
        <v>733.94673123486677</v>
      </c>
      <c r="Q36" s="152">
        <v>826</v>
      </c>
    </row>
    <row r="37" spans="1:17" ht="17.45" customHeight="1" thickBot="1">
      <c r="A37" s="790" t="s">
        <v>71</v>
      </c>
      <c r="B37" s="791"/>
      <c r="C37" s="165" t="s">
        <v>72</v>
      </c>
      <c r="D37" s="186" t="s">
        <v>73</v>
      </c>
      <c r="E37" s="187" t="s">
        <v>74</v>
      </c>
      <c r="F37" s="365"/>
      <c r="G37" s="367"/>
      <c r="H37" s="189" t="s">
        <v>75</v>
      </c>
      <c r="I37" s="247">
        <f>(17*614+16*826)/1440*G42*2.75*1440/1000000</f>
        <v>46.197173664583325</v>
      </c>
      <c r="J37" s="128">
        <f>+I37+'7'!J37</f>
        <v>318.22094989822119</v>
      </c>
      <c r="K37" s="129" t="s">
        <v>76</v>
      </c>
      <c r="L37" s="426"/>
      <c r="M37" s="427"/>
      <c r="Q37" s="152">
        <f>+Q35+Q36</f>
        <v>1440</v>
      </c>
    </row>
    <row r="38" spans="1:17" ht="17.45" customHeight="1">
      <c r="A38" s="786" t="s">
        <v>13</v>
      </c>
      <c r="B38" s="787"/>
      <c r="C38" s="167">
        <f>SUMIF($G$7:$G$31,"Process",$F$7:$F$31)</f>
        <v>36</v>
      </c>
      <c r="D38" s="121">
        <f>+C38+'7'!D38</f>
        <v>921</v>
      </c>
      <c r="E38" s="146">
        <f t="shared" ref="E38:E51" si="15">D38/60</f>
        <v>15.35</v>
      </c>
      <c r="F38" s="365">
        <v>875</v>
      </c>
      <c r="G38" s="365">
        <v>682.5</v>
      </c>
      <c r="H38" s="190" t="s">
        <v>77</v>
      </c>
      <c r="I38" s="547">
        <f>13.684+4.912+2.787+6.42+16.047</f>
        <v>43.849999999999994</v>
      </c>
      <c r="J38" s="130">
        <f>+I38+'7'!J38</f>
        <v>296.5643</v>
      </c>
      <c r="K38" s="131" t="s">
        <v>76</v>
      </c>
      <c r="L38" s="428"/>
      <c r="M38" s="429"/>
      <c r="N38" s="548"/>
    </row>
    <row r="39" spans="1:17" ht="17.45" customHeight="1">
      <c r="A39" s="782" t="s">
        <v>14</v>
      </c>
      <c r="B39" s="783"/>
      <c r="C39" s="167">
        <f>SUMIF($G$7:$G$31,"Cleaning",$F$7:$F$31)</f>
        <v>8</v>
      </c>
      <c r="D39" s="121">
        <f>+C39+'7'!D39</f>
        <v>97</v>
      </c>
      <c r="E39" s="146">
        <f t="shared" si="15"/>
        <v>1.6166666666666667</v>
      </c>
      <c r="F39" s="365">
        <v>886.04166666666663</v>
      </c>
      <c r="G39" s="365">
        <v>710.08749999999998</v>
      </c>
      <c r="H39" s="190" t="s">
        <v>78</v>
      </c>
      <c r="I39" s="145"/>
      <c r="J39" s="132">
        <f>J37/G4</f>
        <v>39.777618737277649</v>
      </c>
      <c r="K39" s="133" t="s">
        <v>76</v>
      </c>
      <c r="L39" s="428"/>
      <c r="M39" s="429"/>
    </row>
    <row r="40" spans="1:17" ht="17.45" customHeight="1">
      <c r="A40" s="782" t="s">
        <v>79</v>
      </c>
      <c r="B40" s="783"/>
      <c r="C40" s="167">
        <f>SUMIF($G$7:$G$31,"Mechanical",$F$7:$F$31)</f>
        <v>0</v>
      </c>
      <c r="D40" s="121">
        <f>+C40+'7'!D40</f>
        <v>120</v>
      </c>
      <c r="E40" s="146">
        <f t="shared" si="15"/>
        <v>2</v>
      </c>
      <c r="F40" s="365">
        <v>900</v>
      </c>
      <c r="G40" s="365">
        <v>738</v>
      </c>
      <c r="H40" s="190" t="s">
        <v>80</v>
      </c>
      <c r="I40" s="121">
        <f>(K34+L34)/1000</f>
        <v>45.228000000000002</v>
      </c>
      <c r="J40" s="134">
        <f>+I40+'7'!J40</f>
        <v>289.94500000000005</v>
      </c>
      <c r="K40" s="133" t="s">
        <v>76</v>
      </c>
      <c r="L40" s="428"/>
      <c r="M40" s="429"/>
    </row>
    <row r="41" spans="1:17" ht="17.45" customHeight="1">
      <c r="A41" s="782" t="s">
        <v>81</v>
      </c>
      <c r="B41" s="783"/>
      <c r="C41" s="167">
        <f>SUMIF($G$7:$G$31,"Electrical",$F$7:$F$31)</f>
        <v>0</v>
      </c>
      <c r="D41" s="121">
        <f>+C41+'7'!D41</f>
        <v>65</v>
      </c>
      <c r="E41" s="146">
        <f t="shared" si="15"/>
        <v>1.0833333333333333</v>
      </c>
      <c r="F41" s="365"/>
      <c r="G41" s="365"/>
      <c r="H41" s="190" t="s">
        <v>82</v>
      </c>
      <c r="I41" s="145"/>
      <c r="J41" s="132">
        <f>J40/G4</f>
        <v>36.243125000000006</v>
      </c>
      <c r="K41" s="133" t="s">
        <v>76</v>
      </c>
      <c r="L41" s="428"/>
      <c r="M41" s="429"/>
    </row>
    <row r="42" spans="1:17" ht="17.45" customHeight="1">
      <c r="A42" s="782" t="s">
        <v>17</v>
      </c>
      <c r="B42" s="783"/>
      <c r="C42" s="167">
        <f>SUMIF($G$7:$G$31,"Instrument",$F$7:$F$31)</f>
        <v>0</v>
      </c>
      <c r="D42" s="121">
        <f>+C42+'7'!D42</f>
        <v>0</v>
      </c>
      <c r="E42" s="146">
        <f t="shared" si="15"/>
        <v>0</v>
      </c>
      <c r="F42" s="365">
        <f>+(F38*480+F39*480+F40*480)/1440</f>
        <v>887.01388888888891</v>
      </c>
      <c r="G42" s="365">
        <f>+(G38*480+G39*480+G40*480)/1440</f>
        <v>710.19583333333333</v>
      </c>
      <c r="H42" s="190" t="s">
        <v>83</v>
      </c>
      <c r="I42" s="249" t="s">
        <v>552</v>
      </c>
      <c r="J42" s="135"/>
      <c r="K42" s="133" t="s">
        <v>84</v>
      </c>
      <c r="L42" s="428"/>
      <c r="M42" s="429"/>
    </row>
    <row r="43" spans="1:17" ht="17.45" customHeight="1">
      <c r="A43" s="782" t="s">
        <v>202</v>
      </c>
      <c r="B43" s="783"/>
      <c r="C43" s="167">
        <f>SUMIF($G$7:$G$31,"Change Grade",$F$7:$F$31)</f>
        <v>0</v>
      </c>
      <c r="D43" s="121">
        <f>+C43+'7'!D43</f>
        <v>0</v>
      </c>
      <c r="E43" s="146">
        <f t="shared" si="15"/>
        <v>0</v>
      </c>
      <c r="F43" s="365"/>
      <c r="G43" s="366"/>
      <c r="H43" s="191" t="s">
        <v>86</v>
      </c>
      <c r="I43" s="121">
        <f>+Report1!AH16</f>
        <v>62.4</v>
      </c>
      <c r="J43" s="136">
        <f>+I43+'7'!J43</f>
        <v>454.2</v>
      </c>
      <c r="K43" s="133" t="s">
        <v>76</v>
      </c>
      <c r="L43" s="430">
        <f>+Report1!AN16</f>
        <v>0</v>
      </c>
      <c r="M43" s="431">
        <f>+L43+'7'!M43</f>
        <v>0</v>
      </c>
    </row>
    <row r="44" spans="1:17" ht="17.45" customHeight="1">
      <c r="A44" s="782" t="s">
        <v>18</v>
      </c>
      <c r="B44" s="783"/>
      <c r="C44" s="167">
        <f>SUMIF($G$7:$G$31,"PLN",$F$7:$F$31)</f>
        <v>0</v>
      </c>
      <c r="D44" s="121">
        <f>+C44+'7'!D44</f>
        <v>0</v>
      </c>
      <c r="E44" s="146">
        <f t="shared" si="15"/>
        <v>0</v>
      </c>
      <c r="F44" s="365"/>
      <c r="G44" s="366"/>
      <c r="H44" s="191" t="s">
        <v>87</v>
      </c>
      <c r="I44" s="121">
        <f>I43/I38</f>
        <v>1.4230330672748006</v>
      </c>
      <c r="J44" s="137">
        <f>J43/J38</f>
        <v>1.5315397031942144</v>
      </c>
      <c r="K44" s="133" t="s">
        <v>76</v>
      </c>
      <c r="L44" s="432">
        <f>+L43/I38</f>
        <v>0</v>
      </c>
      <c r="M44" s="433">
        <f>+M43/J38</f>
        <v>0</v>
      </c>
    </row>
    <row r="45" spans="1:17" ht="17.45" customHeight="1">
      <c r="A45" s="782" t="s">
        <v>19</v>
      </c>
      <c r="B45" s="783"/>
      <c r="C45" s="167">
        <f>SUMIF($G$7:$G$31,"Boiler",$F$7:$F$31)</f>
        <v>0</v>
      </c>
      <c r="D45" s="121">
        <f>+C45+'7'!D45</f>
        <v>0</v>
      </c>
      <c r="E45" s="146">
        <f t="shared" si="15"/>
        <v>0</v>
      </c>
      <c r="F45" s="365"/>
      <c r="G45" s="368"/>
      <c r="H45" s="191" t="s">
        <v>88</v>
      </c>
      <c r="I45" s="121">
        <f>I43/I40</f>
        <v>1.3796763067126558</v>
      </c>
      <c r="J45" s="137">
        <f>J43/J40</f>
        <v>1.5665039921364394</v>
      </c>
      <c r="K45" s="133" t="s">
        <v>76</v>
      </c>
      <c r="L45" s="432">
        <f>+L43/I40</f>
        <v>0</v>
      </c>
      <c r="M45" s="433">
        <f>+M43/J40</f>
        <v>0</v>
      </c>
    </row>
    <row r="46" spans="1:17" ht="17.45" customHeight="1">
      <c r="A46" s="782" t="s">
        <v>89</v>
      </c>
      <c r="B46" s="783"/>
      <c r="C46" s="167">
        <f>SUMIF($G$7:$G$31,"Gas",$F$7:$F$31)</f>
        <v>0</v>
      </c>
      <c r="D46" s="121">
        <f>+C46+'7'!D46</f>
        <v>0</v>
      </c>
      <c r="E46" s="146">
        <f t="shared" si="15"/>
        <v>0</v>
      </c>
      <c r="F46" s="365"/>
      <c r="G46" s="366"/>
      <c r="H46" s="191" t="s">
        <v>90</v>
      </c>
      <c r="I46" s="143">
        <f>+SUMIF(Listrik!P15,"&gt;0")</f>
        <v>35576.460000000094</v>
      </c>
      <c r="J46" s="138">
        <f>+I46+'7'!J46</f>
        <v>269444.86000000004</v>
      </c>
      <c r="K46" s="133" t="s">
        <v>91</v>
      </c>
      <c r="L46" s="432">
        <f>+Listrik!AF15</f>
        <v>0</v>
      </c>
      <c r="M46" s="434">
        <f>+L46+'7'!M46</f>
        <v>0</v>
      </c>
    </row>
    <row r="47" spans="1:17" ht="17.45" customHeight="1">
      <c r="A47" s="782" t="s">
        <v>92</v>
      </c>
      <c r="B47" s="783"/>
      <c r="C47" s="167">
        <f>SUMIF($G$7:$G$31,"Gas",$F$7:$F$31)</f>
        <v>0</v>
      </c>
      <c r="D47" s="121">
        <f>+C47+'7'!D47</f>
        <v>0</v>
      </c>
      <c r="E47" s="146">
        <f t="shared" si="15"/>
        <v>0</v>
      </c>
      <c r="F47" s="365"/>
      <c r="G47" s="366"/>
      <c r="H47" s="191" t="s">
        <v>93</v>
      </c>
      <c r="I47" s="121">
        <f>I46/I38</f>
        <v>811.32177879133633</v>
      </c>
      <c r="J47" s="138">
        <f>J46/J38</f>
        <v>908.5546035041981</v>
      </c>
      <c r="K47" s="133" t="s">
        <v>25</v>
      </c>
      <c r="L47" s="432">
        <f>+L46/I38</f>
        <v>0</v>
      </c>
      <c r="M47" s="433">
        <f>+M46/J38</f>
        <v>0</v>
      </c>
    </row>
    <row r="48" spans="1:17" ht="17.45" customHeight="1">
      <c r="A48" s="782" t="s">
        <v>15</v>
      </c>
      <c r="B48" s="783"/>
      <c r="C48" s="167">
        <f>SUMIF($G$7:$G$31,"Start Up",$F$7:$F$31)</f>
        <v>0</v>
      </c>
      <c r="D48" s="121">
        <f>+C48+'7'!D48</f>
        <v>0</v>
      </c>
      <c r="E48" s="146">
        <f t="shared" si="15"/>
        <v>0</v>
      </c>
      <c r="F48" s="365"/>
      <c r="G48" s="366"/>
      <c r="H48" s="191" t="s">
        <v>94</v>
      </c>
      <c r="I48" s="121">
        <f>I46/I40</f>
        <v>786.60254709472213</v>
      </c>
      <c r="J48" s="138">
        <f>J46/J40</f>
        <v>929.2964527755264</v>
      </c>
      <c r="K48" s="133" t="s">
        <v>25</v>
      </c>
      <c r="L48" s="432">
        <f>+L46/I38</f>
        <v>0</v>
      </c>
      <c r="M48" s="433">
        <f>+M46/J40</f>
        <v>0</v>
      </c>
    </row>
    <row r="49" spans="1:13" ht="17.45" customHeight="1">
      <c r="A49" s="782" t="s">
        <v>21</v>
      </c>
      <c r="B49" s="783"/>
      <c r="C49" s="167">
        <f>SUMIF($G$7:$G$31,"Others",$F$7:$F$31)</f>
        <v>0</v>
      </c>
      <c r="D49" s="121">
        <f>+C49+'7'!D49</f>
        <v>924</v>
      </c>
      <c r="E49" s="146">
        <f t="shared" si="15"/>
        <v>15.4</v>
      </c>
      <c r="F49" s="188"/>
      <c r="H49" s="191" t="s">
        <v>182</v>
      </c>
      <c r="I49" s="121">
        <f>+Report1!AB16</f>
        <v>3957.0449630557396</v>
      </c>
      <c r="J49" s="138">
        <f>+I49+'7'!J49</f>
        <v>26074.769647128502</v>
      </c>
      <c r="K49" s="133" t="s">
        <v>96</v>
      </c>
      <c r="L49" s="428"/>
      <c r="M49" s="429"/>
    </row>
    <row r="50" spans="1:13" ht="17.45" customHeight="1">
      <c r="A50" s="782" t="s">
        <v>20</v>
      </c>
      <c r="B50" s="783"/>
      <c r="C50" s="167">
        <f>SUMIF($G$7:$G$31,"Steam",$F$7:$F$31)</f>
        <v>0</v>
      </c>
      <c r="D50" s="121">
        <f>+C50+'7'!D50</f>
        <v>0</v>
      </c>
      <c r="E50" s="146">
        <f t="shared" si="15"/>
        <v>0</v>
      </c>
      <c r="F50" s="188"/>
      <c r="H50" s="191" t="s">
        <v>97</v>
      </c>
      <c r="I50" s="143">
        <f>I49/I38</f>
        <v>90.240478062844701</v>
      </c>
      <c r="J50" s="136">
        <f>J49/J38</f>
        <v>87.922820269090053</v>
      </c>
      <c r="K50" s="133" t="s">
        <v>96</v>
      </c>
      <c r="L50" s="428"/>
      <c r="M50" s="429"/>
    </row>
    <row r="51" spans="1:13" ht="17.45" customHeight="1" thickBot="1">
      <c r="A51" s="784" t="s">
        <v>98</v>
      </c>
      <c r="B51" s="785"/>
      <c r="C51" s="167">
        <f>SUMIF($G$7:$G$31,"Planned shut",$F$7:$F$31)</f>
        <v>0</v>
      </c>
      <c r="D51" s="121">
        <f>+C51+'7'!D51</f>
        <v>0</v>
      </c>
      <c r="E51" s="146">
        <f t="shared" si="15"/>
        <v>0</v>
      </c>
      <c r="F51" s="188"/>
      <c r="H51" s="193" t="s">
        <v>99</v>
      </c>
      <c r="I51" s="144">
        <f>I49/I40</f>
        <v>87.491044553279821</v>
      </c>
      <c r="J51" s="139">
        <f>J49/J40</f>
        <v>89.930054483189906</v>
      </c>
      <c r="K51" s="140" t="s">
        <v>96</v>
      </c>
      <c r="L51" s="428"/>
      <c r="M51" s="429"/>
    </row>
    <row r="52" spans="1:13" ht="13.5" thickBot="1">
      <c r="A52" s="786" t="s">
        <v>29</v>
      </c>
      <c r="B52" s="787"/>
      <c r="C52" s="147">
        <f>SUM(C38:C51)</f>
        <v>44</v>
      </c>
      <c r="D52" s="147">
        <f>SUM(D38:D51)</f>
        <v>2127</v>
      </c>
      <c r="E52" s="148">
        <f>SUM(E38:E51)</f>
        <v>35.449999999999996</v>
      </c>
      <c r="F52" s="188"/>
      <c r="H52" s="194"/>
      <c r="I52" s="195"/>
      <c r="J52" s="141"/>
      <c r="K52" s="142"/>
      <c r="L52" s="435"/>
      <c r="M52" s="436"/>
    </row>
    <row r="53" spans="1:13" ht="13.5" thickBot="1">
      <c r="A53" s="788"/>
      <c r="B53" s="789"/>
      <c r="C53" s="149">
        <f>C52/(24*60)</f>
        <v>3.0555555555555555E-2</v>
      </c>
      <c r="D53" s="149">
        <f>D52/(24*60*G4)</f>
        <v>0.18463541666666666</v>
      </c>
      <c r="E53" s="150">
        <f>E52/(G4*24)</f>
        <v>0.18463541666666664</v>
      </c>
      <c r="F53" s="188"/>
    </row>
    <row r="54" spans="1:13">
      <c r="E54" s="196"/>
      <c r="F54" s="188"/>
    </row>
    <row r="55" spans="1:13">
      <c r="E55" s="196"/>
    </row>
    <row r="56" spans="1:13">
      <c r="A56" s="197" t="s">
        <v>100</v>
      </c>
      <c r="B56" s="198"/>
      <c r="C56" s="199"/>
      <c r="D56" s="199"/>
      <c r="E56" s="199"/>
      <c r="F56" s="200"/>
      <c r="G56" s="199"/>
      <c r="H56" s="201"/>
      <c r="I56" s="202" t="s">
        <v>101</v>
      </c>
      <c r="J56" s="203">
        <f>+D34+'7'!J56</f>
        <v>690</v>
      </c>
      <c r="K56" s="204">
        <f>J56/(J40+J56/1000)/1000</f>
        <v>2.3741118585166956E-3</v>
      </c>
    </row>
    <row r="57" spans="1:13">
      <c r="A57" s="179"/>
      <c r="I57" s="202" t="s">
        <v>102</v>
      </c>
      <c r="J57" s="203">
        <f>+E34+'7'!J57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3:B53"/>
    <mergeCell ref="A37:B37"/>
    <mergeCell ref="A48:B48"/>
    <mergeCell ref="A50:B50"/>
    <mergeCell ref="A49:B49"/>
    <mergeCell ref="A52:B52"/>
    <mergeCell ref="A51:B51"/>
    <mergeCell ref="A46:B46"/>
    <mergeCell ref="A47:B47"/>
    <mergeCell ref="A42:B42"/>
    <mergeCell ref="A34:B34"/>
    <mergeCell ref="A38:B38"/>
    <mergeCell ref="A39:B39"/>
    <mergeCell ref="A7:A14"/>
    <mergeCell ref="I7:I13"/>
    <mergeCell ref="A15:A23"/>
    <mergeCell ref="I15:I22"/>
    <mergeCell ref="A24:A32"/>
    <mergeCell ref="I24:I31"/>
    <mergeCell ref="L35:M35"/>
    <mergeCell ref="A43:B43"/>
    <mergeCell ref="A45:B45"/>
    <mergeCell ref="A40:B40"/>
    <mergeCell ref="A41:B41"/>
    <mergeCell ref="A44:B44"/>
  </mergeCells>
  <phoneticPr fontId="31"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61"/>
  <sheetViews>
    <sheetView view="pageBreakPreview" zoomScale="80" zoomScaleNormal="75" zoomScaleSheetLayoutView="80" workbookViewId="0">
      <selection activeCell="H13" sqref="H13"/>
    </sheetView>
  </sheetViews>
  <sheetFormatPr defaultColWidth="9.140625" defaultRowHeight="12.75"/>
  <cols>
    <col min="1" max="1" width="8" style="152" customWidth="1"/>
    <col min="2" max="2" width="7" style="152" bestFit="1" customWidth="1"/>
    <col min="3" max="3" width="14.85546875" style="152" bestFit="1" customWidth="1"/>
    <col min="4" max="4" width="12.710937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3.28515625" style="152" bestFit="1" customWidth="1"/>
    <col min="12" max="12" width="12" style="152" bestFit="1" customWidth="1"/>
    <col min="13" max="13" width="15.5703125" style="152" bestFit="1" customWidth="1"/>
    <col min="14" max="14" width="9.140625" style="152"/>
    <col min="15" max="15" width="9.5703125" style="152" bestFit="1" customWidth="1"/>
    <col min="16" max="16384" width="9.140625" style="152"/>
  </cols>
  <sheetData>
    <row r="1" spans="1:19" ht="15.75">
      <c r="A1" s="151"/>
    </row>
    <row r="2" spans="1:19" ht="15.75">
      <c r="A2" s="151" t="s">
        <v>185</v>
      </c>
    </row>
    <row r="3" spans="1:19" ht="15">
      <c r="A3" s="153"/>
    </row>
    <row r="4" spans="1:19" ht="20.25">
      <c r="A4" s="154" t="s">
        <v>5</v>
      </c>
      <c r="B4" s="155"/>
      <c r="F4" s="156" t="s">
        <v>30</v>
      </c>
      <c r="G4" s="157">
        <v>7</v>
      </c>
      <c r="H4" s="157" t="str">
        <f>+'1'!H4</f>
        <v>.03.26</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509</v>
      </c>
      <c r="O6" s="152">
        <v>850</v>
      </c>
      <c r="P6" s="152">
        <f>+O6-(O6*0.22)</f>
        <v>663</v>
      </c>
      <c r="Q6" s="152">
        <f>60-25+60</f>
        <v>95</v>
      </c>
      <c r="R6" s="152">
        <f t="shared" ref="R6" si="0">+O6*Q6</f>
        <v>80750</v>
      </c>
      <c r="S6" s="152">
        <f t="shared" ref="S6" si="1">+P6*Q6</f>
        <v>62985</v>
      </c>
    </row>
    <row r="7" spans="1:19" ht="13.5" customHeight="1" thickBot="1">
      <c r="A7" s="793" t="s">
        <v>431</v>
      </c>
      <c r="B7" s="218"/>
      <c r="C7" s="219"/>
      <c r="D7" s="220"/>
      <c r="E7" s="221"/>
      <c r="F7" s="231"/>
      <c r="G7" s="232" t="s">
        <v>13</v>
      </c>
      <c r="H7" s="233" t="s">
        <v>391</v>
      </c>
      <c r="I7" s="796" t="s">
        <v>547</v>
      </c>
      <c r="J7" s="217" t="str">
        <f>+'6'!J7</f>
        <v>T 14 RC HW</v>
      </c>
      <c r="K7" s="241"/>
      <c r="L7" s="245"/>
      <c r="M7" s="120">
        <f>+K7+'6'!M7+L7</f>
        <v>41293</v>
      </c>
    </row>
    <row r="8" spans="1:19" ht="13.5" thickBot="1">
      <c r="A8" s="794"/>
      <c r="B8" s="218"/>
      <c r="C8" s="219"/>
      <c r="D8" s="220"/>
      <c r="E8" s="222"/>
      <c r="F8" s="234">
        <v>2</v>
      </c>
      <c r="G8" s="583" t="s">
        <v>13</v>
      </c>
      <c r="H8" s="233" t="s">
        <v>420</v>
      </c>
      <c r="I8" s="797"/>
      <c r="J8" s="217" t="str">
        <f>+'6'!J8</f>
        <v>T 15,5 RC HW</v>
      </c>
      <c r="K8" s="242"/>
      <c r="L8" s="242"/>
      <c r="M8" s="120">
        <f>+K8+'6'!M8+L8</f>
        <v>139937</v>
      </c>
    </row>
    <row r="9" spans="1:19" ht="13.5" thickBot="1">
      <c r="A9" s="794"/>
      <c r="B9" s="218"/>
      <c r="C9" s="219"/>
      <c r="D9" s="220"/>
      <c r="E9" s="223"/>
      <c r="F9" s="231">
        <v>3</v>
      </c>
      <c r="G9" s="583" t="s">
        <v>13</v>
      </c>
      <c r="H9" s="236" t="s">
        <v>548</v>
      </c>
      <c r="I9" s="797"/>
      <c r="J9" s="217" t="str">
        <f>+'6'!J9</f>
        <v>T 13,5 RC HW</v>
      </c>
      <c r="K9" s="242"/>
      <c r="L9" s="242"/>
      <c r="M9" s="120">
        <f>+K9+'6'!M9+L9</f>
        <v>31497</v>
      </c>
    </row>
    <row r="10" spans="1:19" ht="26.25" thickBot="1">
      <c r="A10" s="794"/>
      <c r="B10" s="218"/>
      <c r="C10" s="219"/>
      <c r="D10" s="220"/>
      <c r="E10" s="222"/>
      <c r="F10" s="231"/>
      <c r="G10" s="240" t="s">
        <v>14</v>
      </c>
      <c r="H10" s="236" t="s">
        <v>542</v>
      </c>
      <c r="I10" s="797"/>
      <c r="J10" s="217" t="s">
        <v>560</v>
      </c>
      <c r="K10" s="242">
        <f>+C34</f>
        <v>31990</v>
      </c>
      <c r="L10" s="242"/>
      <c r="M10" s="120">
        <f>+K10+'6'!M10+L10</f>
        <v>31990</v>
      </c>
    </row>
    <row r="11" spans="1:19" ht="120" customHeight="1" thickBot="1">
      <c r="A11" s="794"/>
      <c r="B11" s="218"/>
      <c r="C11" s="219"/>
      <c r="D11" s="220"/>
      <c r="E11" s="222"/>
      <c r="F11" s="231">
        <v>385</v>
      </c>
      <c r="G11" s="235" t="s">
        <v>21</v>
      </c>
      <c r="H11" s="236" t="s">
        <v>543</v>
      </c>
      <c r="I11" s="797"/>
      <c r="J11" s="217">
        <f>+'6'!J11</f>
        <v>0</v>
      </c>
      <c r="K11" s="242"/>
      <c r="L11" s="242"/>
      <c r="M11" s="120">
        <f>+K11+'6'!M11+L11</f>
        <v>0</v>
      </c>
    </row>
    <row r="12" spans="1:19" ht="13.5" thickBot="1">
      <c r="A12" s="794"/>
      <c r="B12" s="218"/>
      <c r="C12" s="219"/>
      <c r="D12" s="220"/>
      <c r="E12" s="222"/>
      <c r="F12" s="231"/>
      <c r="G12" s="235"/>
      <c r="H12" s="236"/>
      <c r="I12" s="797"/>
      <c r="J12" s="217">
        <f>+'6'!J12</f>
        <v>0</v>
      </c>
      <c r="K12" s="242"/>
      <c r="L12" s="242"/>
      <c r="M12" s="120">
        <f>+K12+'6'!M12+L12</f>
        <v>0</v>
      </c>
    </row>
    <row r="13" spans="1:19" ht="13.5" thickBot="1">
      <c r="A13" s="794"/>
      <c r="B13" s="218"/>
      <c r="C13" s="219"/>
      <c r="D13" s="219"/>
      <c r="E13" s="222"/>
      <c r="F13" s="231"/>
      <c r="G13" s="235"/>
      <c r="H13" s="236"/>
      <c r="I13" s="798"/>
      <c r="J13" s="217">
        <f>+'6'!J13</f>
        <v>0</v>
      </c>
      <c r="K13" s="242"/>
      <c r="L13" s="242"/>
      <c r="M13" s="120">
        <f>+K13+'6'!M13+L13</f>
        <v>0</v>
      </c>
      <c r="Q13" s="179">
        <f>SUM(Q6:Q12)</f>
        <v>95</v>
      </c>
      <c r="R13" s="179">
        <f>SUM(R6:R12)</f>
        <v>80750</v>
      </c>
      <c r="S13" s="179">
        <f>SUM(S6:S12)</f>
        <v>62985</v>
      </c>
    </row>
    <row r="14" spans="1:19" ht="13.5" thickBot="1">
      <c r="A14" s="795"/>
      <c r="B14" s="168" t="s">
        <v>3</v>
      </c>
      <c r="C14" s="102">
        <f>SUM(C7:C13)</f>
        <v>0</v>
      </c>
      <c r="D14" s="114">
        <f>SUM(D7:D13)</f>
        <v>0</v>
      </c>
      <c r="E14" s="115">
        <f>SUM(E5:E13)</f>
        <v>0</v>
      </c>
      <c r="F14" s="105">
        <f>SUM(F6:F13)</f>
        <v>390</v>
      </c>
      <c r="G14" s="162"/>
      <c r="H14" s="169"/>
      <c r="I14" s="170"/>
      <c r="J14" s="217">
        <f>+'6'!J14</f>
        <v>0</v>
      </c>
      <c r="K14" s="242"/>
      <c r="L14" s="242"/>
      <c r="M14" s="120">
        <f>+K14+'6'!M14+L14</f>
        <v>0</v>
      </c>
      <c r="Q14" s="152">
        <f>480-Q13</f>
        <v>385</v>
      </c>
      <c r="R14" s="179">
        <f>+R13/Q13</f>
        <v>850</v>
      </c>
      <c r="S14" s="179">
        <f>+S13/Q13</f>
        <v>663</v>
      </c>
    </row>
    <row r="15" spans="1:19" ht="13.5" customHeight="1" thickBot="1">
      <c r="A15" s="793" t="s">
        <v>432</v>
      </c>
      <c r="B15" s="168"/>
      <c r="C15" s="116">
        <f>C14/($C$23+$D$23+$E$23)</f>
        <v>0</v>
      </c>
      <c r="D15" s="117">
        <f>D14/($C$23+$D$23+$E$23)</f>
        <v>0</v>
      </c>
      <c r="E15" s="118">
        <f>E14/($C$23+$D$23+$E$23)</f>
        <v>0</v>
      </c>
      <c r="F15" s="231"/>
      <c r="G15" s="232" t="s">
        <v>13</v>
      </c>
      <c r="H15" s="233" t="s">
        <v>391</v>
      </c>
      <c r="I15" s="796" t="s">
        <v>547</v>
      </c>
      <c r="J15" s="217">
        <f>+'6'!J15</f>
        <v>0</v>
      </c>
      <c r="K15" s="242"/>
      <c r="L15" s="242"/>
      <c r="M15" s="120">
        <f>+K15+'6'!M15+L15</f>
        <v>0</v>
      </c>
    </row>
    <row r="16" spans="1:19" ht="13.5" thickBot="1">
      <c r="A16" s="799"/>
      <c r="B16" s="218" t="s">
        <v>560</v>
      </c>
      <c r="C16" s="225">
        <v>15050</v>
      </c>
      <c r="D16" s="226"/>
      <c r="E16" s="227"/>
      <c r="F16" s="234">
        <v>3</v>
      </c>
      <c r="G16" s="583" t="s">
        <v>13</v>
      </c>
      <c r="H16" s="233" t="s">
        <v>452</v>
      </c>
      <c r="I16" s="797"/>
      <c r="J16" s="217">
        <f>+'6'!J16</f>
        <v>0</v>
      </c>
      <c r="K16" s="242"/>
      <c r="L16" s="242"/>
      <c r="M16" s="120">
        <f>+K16+'6'!M16+L16</f>
        <v>0</v>
      </c>
      <c r="N16" s="152" t="s">
        <v>509</v>
      </c>
      <c r="O16" s="152">
        <v>850</v>
      </c>
      <c r="P16" s="152">
        <f>+O16-(O16*0.22)</f>
        <v>663</v>
      </c>
      <c r="Q16" s="152">
        <v>480</v>
      </c>
      <c r="R16" s="152">
        <f t="shared" ref="R16" si="2">+O16*Q16</f>
        <v>408000</v>
      </c>
      <c r="S16" s="152">
        <f t="shared" ref="S16" si="3">+P16*Q16</f>
        <v>318240</v>
      </c>
    </row>
    <row r="17" spans="1:19" ht="13.5" thickBot="1">
      <c r="A17" s="799"/>
      <c r="B17" s="218"/>
      <c r="C17" s="219"/>
      <c r="D17" s="220"/>
      <c r="E17" s="228"/>
      <c r="F17" s="231">
        <v>5</v>
      </c>
      <c r="G17" s="583" t="s">
        <v>13</v>
      </c>
      <c r="H17" s="236" t="s">
        <v>456</v>
      </c>
      <c r="I17" s="797"/>
      <c r="J17" s="217">
        <f>+'6'!J17</f>
        <v>0</v>
      </c>
      <c r="K17" s="242"/>
      <c r="L17" s="232"/>
      <c r="M17" s="120">
        <f>+K17+'6'!M17+L17</f>
        <v>0</v>
      </c>
    </row>
    <row r="18" spans="1:19" ht="26.25" thickBot="1">
      <c r="A18" s="799"/>
      <c r="B18" s="218"/>
      <c r="C18" s="219"/>
      <c r="D18" s="220"/>
      <c r="E18" s="228"/>
      <c r="F18" s="231"/>
      <c r="G18" s="240" t="s">
        <v>14</v>
      </c>
      <c r="H18" s="236" t="s">
        <v>541</v>
      </c>
      <c r="I18" s="797"/>
      <c r="J18" s="217">
        <f>+'6'!J18</f>
        <v>0</v>
      </c>
      <c r="K18" s="242"/>
      <c r="L18" s="242"/>
      <c r="M18" s="120">
        <f>+K18+'6'!M18+L18</f>
        <v>0</v>
      </c>
    </row>
    <row r="19" spans="1:19" ht="13.5" thickBot="1">
      <c r="A19" s="799"/>
      <c r="B19" s="218"/>
      <c r="C19" s="219"/>
      <c r="D19" s="220"/>
      <c r="E19" s="228"/>
      <c r="F19" s="238"/>
      <c r="G19" s="235"/>
      <c r="H19" s="236"/>
      <c r="I19" s="797"/>
      <c r="J19" s="217">
        <f>+'6'!J19</f>
        <v>0</v>
      </c>
      <c r="K19" s="242"/>
      <c r="L19" s="242"/>
      <c r="M19" s="120">
        <f>+K19+'6'!M19+L19</f>
        <v>0</v>
      </c>
    </row>
    <row r="20" spans="1:19" ht="13.5" thickBot="1">
      <c r="A20" s="799"/>
      <c r="B20" s="218"/>
      <c r="C20" s="219"/>
      <c r="D20" s="220"/>
      <c r="E20" s="228"/>
      <c r="F20" s="231"/>
      <c r="G20" s="235"/>
      <c r="H20" s="236"/>
      <c r="I20" s="797"/>
      <c r="J20" s="217">
        <f>+'6'!J20</f>
        <v>0</v>
      </c>
      <c r="K20" s="243"/>
      <c r="L20" s="243"/>
      <c r="M20" s="120">
        <f>+K20+'6'!M20+L20</f>
        <v>0</v>
      </c>
    </row>
    <row r="21" spans="1:19" ht="13.5" thickBot="1">
      <c r="A21" s="799"/>
      <c r="B21" s="218"/>
      <c r="C21" s="219"/>
      <c r="D21" s="220"/>
      <c r="E21" s="228"/>
      <c r="F21" s="234"/>
      <c r="G21" s="235"/>
      <c r="H21" s="236"/>
      <c r="I21" s="797"/>
      <c r="J21" s="217">
        <f>+'6'!J21</f>
        <v>0</v>
      </c>
      <c r="K21" s="242"/>
      <c r="L21" s="242"/>
      <c r="M21" s="120">
        <f>+K21+'6'!M21+L21</f>
        <v>0</v>
      </c>
    </row>
    <row r="22" spans="1:19" ht="13.5" thickBot="1">
      <c r="A22" s="799"/>
      <c r="B22" s="218"/>
      <c r="C22" s="219"/>
      <c r="D22" s="220"/>
      <c r="E22" s="228"/>
      <c r="F22" s="239"/>
      <c r="G22" s="235"/>
      <c r="H22" s="236"/>
      <c r="I22" s="798"/>
      <c r="J22" s="217">
        <f>+'6'!J22</f>
        <v>0</v>
      </c>
      <c r="K22" s="242"/>
      <c r="L22" s="242"/>
      <c r="M22" s="120">
        <f>+K22+'6'!M22+L22</f>
        <v>0</v>
      </c>
    </row>
    <row r="23" spans="1:19" ht="13.5" thickBot="1">
      <c r="A23" s="800"/>
      <c r="B23" s="168" t="s">
        <v>3</v>
      </c>
      <c r="C23" s="103">
        <f>SUM(C16:C22)</f>
        <v>15050</v>
      </c>
      <c r="D23" s="114">
        <f>SUM(D16:D22)</f>
        <v>0</v>
      </c>
      <c r="E23" s="115">
        <f>SUM(E18:E22)</f>
        <v>0</v>
      </c>
      <c r="F23" s="105">
        <f>SUM(F15:F22)</f>
        <v>8</v>
      </c>
      <c r="G23" s="162"/>
      <c r="H23" s="169"/>
      <c r="I23" s="172"/>
      <c r="J23" s="217">
        <f>+'6'!J23</f>
        <v>0</v>
      </c>
      <c r="K23" s="242"/>
      <c r="L23" s="242"/>
      <c r="M23" s="120">
        <f>+K23+'6'!M23+L23</f>
        <v>0</v>
      </c>
      <c r="Q23" s="179">
        <f>SUM(Q16:Q22)</f>
        <v>480</v>
      </c>
      <c r="R23" s="179">
        <f>SUM(R16:R22)</f>
        <v>408000</v>
      </c>
      <c r="S23" s="179">
        <f>SUM(S16:S22)</f>
        <v>318240</v>
      </c>
    </row>
    <row r="24" spans="1:19" ht="13.5" customHeight="1" thickBot="1">
      <c r="A24" s="793" t="s">
        <v>477</v>
      </c>
      <c r="B24" s="173"/>
      <c r="C24" s="116">
        <f>C23/($C$23+$D$23+$E$23)</f>
        <v>1</v>
      </c>
      <c r="D24" s="117">
        <f>D23/($C$23+$D$23+$E$23)</f>
        <v>0</v>
      </c>
      <c r="E24" s="118">
        <f>E23/($C$23+$D$23+$E$23)</f>
        <v>0</v>
      </c>
      <c r="F24" s="231"/>
      <c r="G24" s="232" t="s">
        <v>13</v>
      </c>
      <c r="H24" s="233" t="s">
        <v>391</v>
      </c>
      <c r="I24" s="796" t="s">
        <v>547</v>
      </c>
      <c r="J24" s="217">
        <f>+'6'!J24</f>
        <v>0</v>
      </c>
      <c r="K24" s="242"/>
      <c r="L24" s="242"/>
      <c r="M24" s="120">
        <f>+K24+'6'!M24+L24</f>
        <v>0</v>
      </c>
      <c r="Q24" s="152">
        <f>480-Q23</f>
        <v>0</v>
      </c>
      <c r="R24" s="179">
        <f>+R23/Q23</f>
        <v>850</v>
      </c>
      <c r="S24" s="179">
        <f>+S23/Q23</f>
        <v>663</v>
      </c>
    </row>
    <row r="25" spans="1:19" ht="13.5" thickBot="1">
      <c r="A25" s="799"/>
      <c r="B25" s="218" t="s">
        <v>560</v>
      </c>
      <c r="C25" s="229">
        <v>16940</v>
      </c>
      <c r="D25" s="220"/>
      <c r="E25" s="228"/>
      <c r="F25" s="234">
        <v>4</v>
      </c>
      <c r="G25" s="583" t="s">
        <v>13</v>
      </c>
      <c r="H25" s="233" t="s">
        <v>487</v>
      </c>
      <c r="I25" s="797"/>
      <c r="J25" s="217">
        <f>+'6'!J25</f>
        <v>0</v>
      </c>
      <c r="K25" s="242"/>
      <c r="L25" s="242"/>
      <c r="M25" s="120">
        <f>+K25+'6'!M25+L25</f>
        <v>0</v>
      </c>
      <c r="N25" s="152" t="s">
        <v>509</v>
      </c>
      <c r="O25" s="152">
        <v>850</v>
      </c>
      <c r="P25" s="152">
        <f>+O25-(O25*0.22)</f>
        <v>663</v>
      </c>
      <c r="Q25" s="152">
        <f>60*7+57</f>
        <v>477</v>
      </c>
      <c r="R25" s="152">
        <f t="shared" ref="R25:R26" si="4">+O25*Q25</f>
        <v>405450</v>
      </c>
      <c r="S25" s="152">
        <f t="shared" ref="S25:S26" si="5">+P25*Q25</f>
        <v>316251</v>
      </c>
    </row>
    <row r="26" spans="1:19" ht="13.5" thickBot="1">
      <c r="A26" s="799"/>
      <c r="B26" s="218"/>
      <c r="C26" s="229"/>
      <c r="D26" s="220"/>
      <c r="E26" s="230"/>
      <c r="F26" s="231">
        <v>9</v>
      </c>
      <c r="G26" s="583" t="s">
        <v>13</v>
      </c>
      <c r="H26" s="236" t="s">
        <v>421</v>
      </c>
      <c r="I26" s="797"/>
      <c r="J26" s="217">
        <f>+'6'!J26</f>
        <v>0</v>
      </c>
      <c r="K26" s="242"/>
      <c r="L26" s="242"/>
      <c r="M26" s="120">
        <f>+K26+'6'!M26+L26</f>
        <v>0</v>
      </c>
      <c r="N26" s="152" t="s">
        <v>544</v>
      </c>
      <c r="O26" s="152">
        <v>850</v>
      </c>
      <c r="P26" s="152">
        <f>+O26-(O26*0.22)</f>
        <v>663</v>
      </c>
      <c r="Q26" s="152">
        <f>480-Q25</f>
        <v>3</v>
      </c>
      <c r="R26" s="152">
        <f t="shared" si="4"/>
        <v>2550</v>
      </c>
      <c r="S26" s="152">
        <f t="shared" si="5"/>
        <v>1989</v>
      </c>
    </row>
    <row r="27" spans="1:19" ht="26.25" thickBot="1">
      <c r="A27" s="799"/>
      <c r="B27" s="218"/>
      <c r="C27" s="219"/>
      <c r="D27" s="220"/>
      <c r="E27" s="228"/>
      <c r="F27" s="231">
        <v>8</v>
      </c>
      <c r="G27" s="240" t="s">
        <v>14</v>
      </c>
      <c r="H27" s="236" t="s">
        <v>539</v>
      </c>
      <c r="I27" s="797"/>
      <c r="J27" s="217">
        <f>+'6'!J27</f>
        <v>0</v>
      </c>
      <c r="K27" s="242"/>
      <c r="L27" s="242"/>
      <c r="M27" s="120">
        <f>+K27+'6'!M27+L27</f>
        <v>0</v>
      </c>
    </row>
    <row r="28" spans="1:19" ht="13.5" thickBot="1">
      <c r="A28" s="799"/>
      <c r="B28" s="218"/>
      <c r="C28" s="219"/>
      <c r="D28" s="220"/>
      <c r="E28" s="228"/>
      <c r="F28" s="234"/>
      <c r="G28" s="235"/>
      <c r="H28" s="236" t="s">
        <v>540</v>
      </c>
      <c r="I28" s="797"/>
      <c r="J28" s="217">
        <f>+'6'!J28</f>
        <v>0</v>
      </c>
      <c r="K28" s="242"/>
      <c r="L28" s="242"/>
      <c r="M28" s="120">
        <f>+K28+'6'!M28+L28</f>
        <v>0</v>
      </c>
    </row>
    <row r="29" spans="1:19" ht="13.5" thickBot="1">
      <c r="A29" s="799"/>
      <c r="B29" s="218"/>
      <c r="C29" s="219"/>
      <c r="D29" s="220"/>
      <c r="E29" s="228"/>
      <c r="F29" s="239"/>
      <c r="G29" s="235"/>
      <c r="H29" s="236"/>
      <c r="I29" s="797"/>
      <c r="J29" s="217">
        <f>+'6'!J29</f>
        <v>0</v>
      </c>
      <c r="K29" s="242"/>
      <c r="L29" s="242"/>
      <c r="M29" s="120">
        <f>+K29+'6'!M29+L29</f>
        <v>0</v>
      </c>
    </row>
    <row r="30" spans="1:19" ht="13.5" thickBot="1">
      <c r="A30" s="799"/>
      <c r="B30" s="218"/>
      <c r="C30" s="229"/>
      <c r="D30" s="220"/>
      <c r="E30" s="228"/>
      <c r="F30" s="239"/>
      <c r="G30" s="235"/>
      <c r="H30" s="236"/>
      <c r="I30" s="797"/>
      <c r="J30" s="217">
        <f>+'6'!J30</f>
        <v>0</v>
      </c>
      <c r="K30" s="242"/>
      <c r="L30" s="242"/>
      <c r="M30" s="120">
        <f>+K30+'6'!M30+L30</f>
        <v>0</v>
      </c>
    </row>
    <row r="31" spans="1:19" ht="13.5" thickBot="1">
      <c r="A31" s="799"/>
      <c r="B31" s="218"/>
      <c r="C31" s="229"/>
      <c r="D31" s="220"/>
      <c r="E31" s="228"/>
      <c r="F31" s="239"/>
      <c r="G31" s="240"/>
      <c r="H31" s="237"/>
      <c r="I31" s="798"/>
      <c r="J31" s="217">
        <f>+'6'!J31</f>
        <v>0</v>
      </c>
      <c r="K31" s="242"/>
      <c r="L31" s="242"/>
      <c r="M31" s="120">
        <f>+K31+'6'!M31+L31</f>
        <v>0</v>
      </c>
    </row>
    <row r="32" spans="1:19" ht="13.5" thickBot="1">
      <c r="A32" s="800"/>
      <c r="B32" s="168" t="s">
        <v>3</v>
      </c>
      <c r="C32" s="102">
        <f>SUM(C25:C31)</f>
        <v>16940</v>
      </c>
      <c r="D32" s="103">
        <f>SUM(D25:D31)</f>
        <v>0</v>
      </c>
      <c r="E32" s="104">
        <f>SUM(E25:E31)</f>
        <v>0</v>
      </c>
      <c r="F32" s="105">
        <f>SUM(F24:F31)</f>
        <v>21</v>
      </c>
      <c r="G32" s="174"/>
      <c r="H32" s="175"/>
      <c r="I32" s="172"/>
      <c r="J32" s="217">
        <f>+'6'!J32</f>
        <v>0</v>
      </c>
      <c r="K32" s="244"/>
      <c r="L32" s="246"/>
      <c r="M32" s="120">
        <f>+K32+'6'!M32+L32</f>
        <v>0</v>
      </c>
      <c r="Q32" s="179">
        <f>SUM(Q25:Q31)</f>
        <v>480</v>
      </c>
      <c r="R32" s="179">
        <f>SUM(R25:R31)</f>
        <v>408000</v>
      </c>
      <c r="S32" s="179">
        <f>SUM(S25:S31)</f>
        <v>318240</v>
      </c>
    </row>
    <row r="33" spans="1:19" ht="13.5" thickBot="1">
      <c r="A33" s="176"/>
      <c r="B33" s="177"/>
      <c r="C33" s="106">
        <f>C32/($C$32+$D$32+$E$32)</f>
        <v>1</v>
      </c>
      <c r="D33" s="107">
        <f>D32/($C$32+$D$32+$E$32)</f>
        <v>0</v>
      </c>
      <c r="E33" s="108">
        <f>E32/($C$32+$D$32+$E$32)</f>
        <v>0</v>
      </c>
      <c r="F33" s="109"/>
      <c r="G33" s="178"/>
      <c r="H33" s="179"/>
      <c r="I33" s="180"/>
      <c r="J33" s="124"/>
      <c r="K33" s="125"/>
      <c r="L33" s="216"/>
      <c r="M33" s="122"/>
      <c r="Q33" s="152">
        <f>480-Q32</f>
        <v>0</v>
      </c>
      <c r="R33" s="179">
        <f>+R32/Q32</f>
        <v>850</v>
      </c>
      <c r="S33" s="179">
        <f>+S32/Q32</f>
        <v>663</v>
      </c>
    </row>
    <row r="34" spans="1:19" ht="13.5" thickBot="1">
      <c r="A34" s="801" t="s">
        <v>70</v>
      </c>
      <c r="B34" s="802"/>
      <c r="C34" s="110">
        <f>C14+C23+C32</f>
        <v>31990</v>
      </c>
      <c r="D34" s="110">
        <f>D14+D23+D32</f>
        <v>0</v>
      </c>
      <c r="E34" s="110">
        <f>E14+E23+E32</f>
        <v>0</v>
      </c>
      <c r="F34" s="111">
        <f>F14+F23+F32</f>
        <v>419</v>
      </c>
      <c r="G34" s="152">
        <f>34+385</f>
        <v>419</v>
      </c>
      <c r="H34" s="181"/>
      <c r="I34" s="181"/>
      <c r="J34" s="126" t="s">
        <v>29</v>
      </c>
      <c r="K34" s="127">
        <f>SUM(K7:K32)</f>
        <v>31990</v>
      </c>
      <c r="L34" s="215">
        <f>SUM(L7:L32)</f>
        <v>0</v>
      </c>
      <c r="M34" s="123">
        <f>SUM(M7:M32)</f>
        <v>244717</v>
      </c>
      <c r="N34" s="158"/>
    </row>
    <row r="35" spans="1:19" ht="13.5" thickBot="1">
      <c r="A35" s="182"/>
      <c r="B35" s="183"/>
      <c r="C35" s="107">
        <f>C34/($C$34+$D$34+$E$34)</f>
        <v>1</v>
      </c>
      <c r="D35" s="107">
        <f>D34/($C$34+$D$34+$E$34)</f>
        <v>0</v>
      </c>
      <c r="E35" s="112">
        <f>E34/($C$34+$D$34+$E$34)</f>
        <v>0</v>
      </c>
      <c r="K35" s="158"/>
      <c r="L35" s="792" t="s">
        <v>187</v>
      </c>
      <c r="M35" s="792"/>
    </row>
    <row r="36" spans="1:19" ht="13.5" thickBot="1">
      <c r="A36" s="181"/>
      <c r="B36" s="181"/>
      <c r="C36" s="158"/>
      <c r="D36" s="158"/>
      <c r="E36" s="158"/>
      <c r="G36" s="158"/>
      <c r="H36" s="184"/>
      <c r="I36" s="165" t="s">
        <v>41</v>
      </c>
      <c r="J36" s="165" t="s">
        <v>42</v>
      </c>
      <c r="K36" s="185"/>
      <c r="L36" s="165" t="s">
        <v>41</v>
      </c>
      <c r="M36" s="165" t="s">
        <v>42</v>
      </c>
      <c r="O36" s="152">
        <v>95</v>
      </c>
      <c r="P36" s="152" t="s">
        <v>509</v>
      </c>
      <c r="Q36" s="152">
        <v>850</v>
      </c>
      <c r="R36" s="152">
        <v>663</v>
      </c>
      <c r="S36" s="152">
        <f>95+480+480-3</f>
        <v>1052</v>
      </c>
    </row>
    <row r="37" spans="1:19" ht="17.45" customHeight="1" thickBot="1">
      <c r="A37" s="790" t="s">
        <v>71</v>
      </c>
      <c r="B37" s="791"/>
      <c r="C37" s="165" t="s">
        <v>72</v>
      </c>
      <c r="D37" s="186" t="s">
        <v>73</v>
      </c>
      <c r="E37" s="187" t="s">
        <v>74</v>
      </c>
      <c r="F37" s="365"/>
      <c r="G37" s="367"/>
      <c r="H37" s="189" t="s">
        <v>75</v>
      </c>
      <c r="I37" s="247">
        <f>(20*1052+17*3)/1055*G42*2.75*1055/1000000</f>
        <v>38.454165750000001</v>
      </c>
      <c r="J37" s="128">
        <f>+I37+'6'!J37</f>
        <v>272.02377623363788</v>
      </c>
      <c r="K37" s="129" t="s">
        <v>76</v>
      </c>
      <c r="L37" s="426"/>
      <c r="M37" s="427"/>
      <c r="O37" s="152">
        <v>480</v>
      </c>
      <c r="P37" s="152" t="s">
        <v>544</v>
      </c>
      <c r="Q37" s="152">
        <v>850</v>
      </c>
      <c r="R37" s="152">
        <v>663</v>
      </c>
      <c r="S37" s="152">
        <v>3</v>
      </c>
    </row>
    <row r="38" spans="1:19" ht="17.45" customHeight="1">
      <c r="A38" s="786" t="s">
        <v>13</v>
      </c>
      <c r="B38" s="787"/>
      <c r="C38" s="167">
        <f>SUMIF($G$7:$G$31,"Process",$F$7:$F$31)</f>
        <v>26</v>
      </c>
      <c r="D38" s="121">
        <f>+C38+'6'!D38</f>
        <v>885</v>
      </c>
      <c r="E38" s="146">
        <f t="shared" ref="E38:E51" si="6">D38/60</f>
        <v>14.75</v>
      </c>
      <c r="F38" s="365">
        <v>850</v>
      </c>
      <c r="G38" s="365">
        <v>663</v>
      </c>
      <c r="H38" s="190" t="s">
        <v>77</v>
      </c>
      <c r="I38" s="547">
        <f>1.455+16.871+18.725</f>
        <v>37.051000000000002</v>
      </c>
      <c r="J38" s="130">
        <f>+I38+'6'!J38</f>
        <v>252.71429999999998</v>
      </c>
      <c r="K38" s="131" t="s">
        <v>76</v>
      </c>
      <c r="L38" s="428"/>
      <c r="M38" s="429"/>
      <c r="O38" s="548">
        <v>480</v>
      </c>
      <c r="S38" s="152">
        <f>+S36+S37</f>
        <v>1055</v>
      </c>
    </row>
    <row r="39" spans="1:19" ht="17.45" customHeight="1">
      <c r="A39" s="782" t="s">
        <v>14</v>
      </c>
      <c r="B39" s="783"/>
      <c r="C39" s="167">
        <f>SUMIF($G$7:$G$31,"Cleaning",$F$7:$F$31)</f>
        <v>8</v>
      </c>
      <c r="D39" s="121">
        <f>+C39+'6'!D39</f>
        <v>89</v>
      </c>
      <c r="E39" s="146">
        <f t="shared" si="6"/>
        <v>1.4833333333333334</v>
      </c>
      <c r="F39" s="365">
        <v>850</v>
      </c>
      <c r="G39" s="365">
        <v>663</v>
      </c>
      <c r="H39" s="190" t="s">
        <v>78</v>
      </c>
      <c r="I39" s="145"/>
      <c r="J39" s="132">
        <f>J37/G4</f>
        <v>38.860539461948271</v>
      </c>
      <c r="K39" s="133" t="s">
        <v>76</v>
      </c>
      <c r="L39" s="428"/>
      <c r="M39" s="429"/>
      <c r="O39" s="152">
        <f>SUM(O36:O38)</f>
        <v>1055</v>
      </c>
    </row>
    <row r="40" spans="1:19" ht="17.45" customHeight="1">
      <c r="A40" s="782" t="s">
        <v>79</v>
      </c>
      <c r="B40" s="783"/>
      <c r="C40" s="167">
        <f>SUMIF($G$7:$G$31,"Mechanical",$F$7:$F$31)</f>
        <v>0</v>
      </c>
      <c r="D40" s="121">
        <f>+C40+'6'!D40</f>
        <v>120</v>
      </c>
      <c r="E40" s="146">
        <f t="shared" si="6"/>
        <v>2</v>
      </c>
      <c r="F40" s="365">
        <v>850</v>
      </c>
      <c r="G40" s="365">
        <v>663</v>
      </c>
      <c r="H40" s="190" t="s">
        <v>80</v>
      </c>
      <c r="I40" s="121">
        <f>(K34+L34)/1000</f>
        <v>31.99</v>
      </c>
      <c r="J40" s="134">
        <f>+I40+'6'!J40</f>
        <v>244.71700000000004</v>
      </c>
      <c r="K40" s="133" t="s">
        <v>76</v>
      </c>
      <c r="L40" s="428"/>
      <c r="M40" s="429"/>
    </row>
    <row r="41" spans="1:19" ht="17.45" customHeight="1">
      <c r="A41" s="782" t="s">
        <v>81</v>
      </c>
      <c r="B41" s="783"/>
      <c r="C41" s="167">
        <f>SUMIF($G$7:$G$31,"Electrical",$F$7:$F$31)</f>
        <v>0</v>
      </c>
      <c r="D41" s="121">
        <f>+C41+'6'!D41</f>
        <v>65</v>
      </c>
      <c r="E41" s="146">
        <f t="shared" si="6"/>
        <v>1.0833333333333333</v>
      </c>
      <c r="F41" s="365"/>
      <c r="G41" s="365"/>
      <c r="H41" s="190" t="s">
        <v>82</v>
      </c>
      <c r="I41" s="145"/>
      <c r="J41" s="132">
        <f>J40/G4</f>
        <v>34.959571428571437</v>
      </c>
      <c r="K41" s="133" t="s">
        <v>76</v>
      </c>
      <c r="L41" s="428"/>
      <c r="M41" s="429"/>
    </row>
    <row r="42" spans="1:19" ht="17.45" customHeight="1">
      <c r="A42" s="782" t="s">
        <v>17</v>
      </c>
      <c r="B42" s="783"/>
      <c r="C42" s="167">
        <f>SUMIF($G$7:$G$31,"Instrument",$F$7:$F$31)</f>
        <v>0</v>
      </c>
      <c r="D42" s="121">
        <f>+C42+'6'!D42</f>
        <v>0</v>
      </c>
      <c r="E42" s="146">
        <f t="shared" si="6"/>
        <v>0</v>
      </c>
      <c r="F42" s="365">
        <f>+(95*F38+480*F39+480*F40)/1055</f>
        <v>850</v>
      </c>
      <c r="G42" s="365">
        <f>+(95*G38+480*G39+480*G40)/1055</f>
        <v>663</v>
      </c>
      <c r="H42" s="190" t="s">
        <v>83</v>
      </c>
      <c r="I42" s="249" t="s">
        <v>547</v>
      </c>
      <c r="J42" s="135"/>
      <c r="K42" s="133" t="s">
        <v>84</v>
      </c>
      <c r="L42" s="428"/>
      <c r="M42" s="429"/>
    </row>
    <row r="43" spans="1:19" ht="17.45" customHeight="1">
      <c r="A43" s="782" t="s">
        <v>202</v>
      </c>
      <c r="B43" s="783"/>
      <c r="C43" s="167">
        <f>SUMIF($G$7:$G$31,"Change Grade",$F$7:$F$31)</f>
        <v>0</v>
      </c>
      <c r="D43" s="121">
        <f>+C43+'6'!D43</f>
        <v>0</v>
      </c>
      <c r="E43" s="146">
        <f t="shared" si="6"/>
        <v>0</v>
      </c>
      <c r="F43" s="365"/>
      <c r="G43" s="366"/>
      <c r="H43" s="191" t="s">
        <v>86</v>
      </c>
      <c r="I43" s="121">
        <f>+Report1!AH15</f>
        <v>50.2</v>
      </c>
      <c r="J43" s="136">
        <f>+I43+'6'!J43</f>
        <v>391.8</v>
      </c>
      <c r="K43" s="133" t="s">
        <v>76</v>
      </c>
      <c r="L43" s="430">
        <f>+Report1!AN15</f>
        <v>0</v>
      </c>
      <c r="M43" s="431">
        <f>+L43+'6'!M43</f>
        <v>0</v>
      </c>
    </row>
    <row r="44" spans="1:19" ht="17.45" customHeight="1">
      <c r="A44" s="782" t="s">
        <v>18</v>
      </c>
      <c r="B44" s="783"/>
      <c r="C44" s="167">
        <f>SUMIF($G$7:$G$31,"PLN",$F$7:$F$31)</f>
        <v>0</v>
      </c>
      <c r="D44" s="121">
        <f>+C44+'6'!D44</f>
        <v>0</v>
      </c>
      <c r="E44" s="146">
        <f t="shared" si="6"/>
        <v>0</v>
      </c>
      <c r="F44" s="365"/>
      <c r="G44" s="366"/>
      <c r="H44" s="191" t="s">
        <v>87</v>
      </c>
      <c r="I44" s="121">
        <f>I43/I38</f>
        <v>1.3548892067690481</v>
      </c>
      <c r="J44" s="137">
        <f>J43/J38</f>
        <v>1.5503673515903138</v>
      </c>
      <c r="K44" s="133" t="s">
        <v>76</v>
      </c>
      <c r="L44" s="432">
        <f>+L43/I38</f>
        <v>0</v>
      </c>
      <c r="M44" s="433">
        <f>+M43/J38</f>
        <v>0</v>
      </c>
    </row>
    <row r="45" spans="1:19" ht="17.45" customHeight="1">
      <c r="A45" s="782" t="s">
        <v>19</v>
      </c>
      <c r="B45" s="783"/>
      <c r="C45" s="167">
        <f>SUMIF($G$7:$G$31,"Boiler",$F$7:$F$31)</f>
        <v>0</v>
      </c>
      <c r="D45" s="121">
        <f>+C45+'6'!D45</f>
        <v>0</v>
      </c>
      <c r="E45" s="146">
        <f t="shared" si="6"/>
        <v>0</v>
      </c>
      <c r="F45" s="365"/>
      <c r="G45" s="368"/>
      <c r="H45" s="191" t="s">
        <v>88</v>
      </c>
      <c r="I45" s="121">
        <f>I43/I40</f>
        <v>1.5692403876211318</v>
      </c>
      <c r="J45" s="137">
        <f>J43/J40</f>
        <v>1.6010330299897431</v>
      </c>
      <c r="K45" s="133" t="s">
        <v>76</v>
      </c>
      <c r="L45" s="432">
        <f>+L43/I40</f>
        <v>0</v>
      </c>
      <c r="M45" s="433">
        <f>+M43/J40</f>
        <v>0</v>
      </c>
    </row>
    <row r="46" spans="1:19" ht="17.45" customHeight="1">
      <c r="A46" s="782" t="s">
        <v>89</v>
      </c>
      <c r="B46" s="783"/>
      <c r="C46" s="167">
        <f>SUMIF($G$7:$G$31,"Gas",$F$7:$F$31)</f>
        <v>0</v>
      </c>
      <c r="D46" s="121">
        <f>+C46+'6'!D46</f>
        <v>0</v>
      </c>
      <c r="E46" s="146">
        <f t="shared" si="6"/>
        <v>0</v>
      </c>
      <c r="F46" s="365"/>
      <c r="G46" s="366"/>
      <c r="H46" s="191" t="s">
        <v>90</v>
      </c>
      <c r="I46" s="143">
        <f>+SUMIF(Listrik!P14,"&gt;0")</f>
        <v>28849.019999999968</v>
      </c>
      <c r="J46" s="138">
        <f>+I46+'6'!J46</f>
        <v>233868.39999999994</v>
      </c>
      <c r="K46" s="133" t="s">
        <v>91</v>
      </c>
      <c r="L46" s="432">
        <f>+Listrik!AF14</f>
        <v>0</v>
      </c>
      <c r="M46" s="434">
        <f>+L46+'6'!M46</f>
        <v>0</v>
      </c>
    </row>
    <row r="47" spans="1:19" ht="17.45" customHeight="1">
      <c r="A47" s="782" t="s">
        <v>92</v>
      </c>
      <c r="B47" s="783"/>
      <c r="C47" s="167">
        <f>SUMIF($G$7:$G$31,"Gas",$F$7:$F$31)</f>
        <v>0</v>
      </c>
      <c r="D47" s="121">
        <f>+C47+'6'!D47</f>
        <v>0</v>
      </c>
      <c r="E47" s="146">
        <f t="shared" si="6"/>
        <v>0</v>
      </c>
      <c r="F47" s="365"/>
      <c r="G47" s="366"/>
      <c r="H47" s="191" t="s">
        <v>93</v>
      </c>
      <c r="I47" s="121">
        <f>I46/I38</f>
        <v>778.62999649132189</v>
      </c>
      <c r="J47" s="138">
        <f>J46/J38</f>
        <v>925.42606413645751</v>
      </c>
      <c r="K47" s="133" t="s">
        <v>25</v>
      </c>
      <c r="L47" s="432">
        <f>+L46/I38</f>
        <v>0</v>
      </c>
      <c r="M47" s="433">
        <f>+M46/J38</f>
        <v>0</v>
      </c>
    </row>
    <row r="48" spans="1:19" ht="17.45" customHeight="1">
      <c r="A48" s="782" t="s">
        <v>15</v>
      </c>
      <c r="B48" s="783"/>
      <c r="C48" s="167">
        <f>SUMIF($G$7:$G$31,"Start Up",$F$7:$F$31)</f>
        <v>0</v>
      </c>
      <c r="D48" s="121">
        <f>+C48+'6'!D48</f>
        <v>0</v>
      </c>
      <c r="E48" s="146">
        <f t="shared" si="6"/>
        <v>0</v>
      </c>
      <c r="F48" s="365"/>
      <c r="G48" s="366"/>
      <c r="H48" s="191" t="s">
        <v>94</v>
      </c>
      <c r="I48" s="121">
        <f>I46/I40</f>
        <v>901.81369177867987</v>
      </c>
      <c r="J48" s="138">
        <f>J46/J40</f>
        <v>955.66879293224372</v>
      </c>
      <c r="K48" s="133" t="s">
        <v>25</v>
      </c>
      <c r="L48" s="432">
        <f>+L46/I38</f>
        <v>0</v>
      </c>
      <c r="M48" s="433">
        <f>+M46/J40</f>
        <v>0</v>
      </c>
    </row>
    <row r="49" spans="1:13" ht="17.45" customHeight="1">
      <c r="A49" s="782" t="s">
        <v>21</v>
      </c>
      <c r="B49" s="783"/>
      <c r="C49" s="167">
        <f>SUMIF($G$7:$G$31,"Others",$F$7:$F$31)</f>
        <v>385</v>
      </c>
      <c r="D49" s="121">
        <f>+C49+'6'!D49</f>
        <v>924</v>
      </c>
      <c r="E49" s="146">
        <f t="shared" si="6"/>
        <v>15.4</v>
      </c>
      <c r="F49" s="188"/>
      <c r="H49" s="191" t="s">
        <v>182</v>
      </c>
      <c r="I49" s="121">
        <f>+Report1!AB15</f>
        <v>4350.4667975801558</v>
      </c>
      <c r="J49" s="138">
        <f>+I49+'6'!J49</f>
        <v>22117.72468407276</v>
      </c>
      <c r="K49" s="133" t="s">
        <v>96</v>
      </c>
      <c r="L49" s="428"/>
      <c r="M49" s="429"/>
    </row>
    <row r="50" spans="1:13" ht="17.45" customHeight="1">
      <c r="A50" s="782" t="s">
        <v>20</v>
      </c>
      <c r="B50" s="783"/>
      <c r="C50" s="167">
        <f>SUMIF($G$7:$G$31,"Steam",$F$7:$F$31)</f>
        <v>0</v>
      </c>
      <c r="D50" s="121">
        <f>+C50+'6'!D50</f>
        <v>0</v>
      </c>
      <c r="E50" s="146">
        <f t="shared" si="6"/>
        <v>0</v>
      </c>
      <c r="F50" s="188"/>
      <c r="H50" s="191" t="s">
        <v>97</v>
      </c>
      <c r="I50" s="143">
        <f>I49/I38</f>
        <v>117.41833682168243</v>
      </c>
      <c r="J50" s="136">
        <f>J49/J38</f>
        <v>87.520669325292488</v>
      </c>
      <c r="K50" s="133" t="s">
        <v>96</v>
      </c>
      <c r="L50" s="428"/>
      <c r="M50" s="429"/>
    </row>
    <row r="51" spans="1:13" ht="17.45" customHeight="1" thickBot="1">
      <c r="A51" s="784" t="s">
        <v>98</v>
      </c>
      <c r="B51" s="785"/>
      <c r="C51" s="167">
        <f>SUMIF($G$7:$G$31,"Planned shut",$F$7:$F$31)</f>
        <v>0</v>
      </c>
      <c r="D51" s="121">
        <f>+C51+'6'!D51</f>
        <v>0</v>
      </c>
      <c r="E51" s="146">
        <f t="shared" si="6"/>
        <v>0</v>
      </c>
      <c r="F51" s="188"/>
      <c r="H51" s="193" t="s">
        <v>99</v>
      </c>
      <c r="I51" s="144">
        <f>I49/I40</f>
        <v>135.99458573242126</v>
      </c>
      <c r="J51" s="139">
        <f>J49/J40</f>
        <v>90.380826358907456</v>
      </c>
      <c r="K51" s="140" t="s">
        <v>96</v>
      </c>
      <c r="L51" s="428"/>
      <c r="M51" s="429"/>
    </row>
    <row r="52" spans="1:13" ht="13.5" thickBot="1">
      <c r="A52" s="786" t="s">
        <v>29</v>
      </c>
      <c r="B52" s="787"/>
      <c r="C52" s="147">
        <f>SUM(C38:C51)</f>
        <v>419</v>
      </c>
      <c r="D52" s="147">
        <f>SUM(D38:D51)</f>
        <v>2083</v>
      </c>
      <c r="E52" s="148">
        <f>SUM(E38:E51)</f>
        <v>34.716666666666669</v>
      </c>
      <c r="F52" s="188"/>
      <c r="H52" s="194"/>
      <c r="I52" s="195"/>
      <c r="J52" s="141"/>
      <c r="K52" s="142"/>
      <c r="L52" s="435"/>
      <c r="M52" s="436"/>
    </row>
    <row r="53" spans="1:13" ht="13.5" thickBot="1">
      <c r="A53" s="788"/>
      <c r="B53" s="789"/>
      <c r="C53" s="149">
        <f>C52/(24*60)</f>
        <v>0.29097222222222224</v>
      </c>
      <c r="D53" s="149">
        <f>D52/(24*60*G4)</f>
        <v>0.20664682539682538</v>
      </c>
      <c r="E53" s="150">
        <f>E52/(G4*24)</f>
        <v>0.20664682539682541</v>
      </c>
      <c r="F53" s="188"/>
    </row>
    <row r="54" spans="1:13">
      <c r="E54" s="196"/>
      <c r="F54" s="188"/>
    </row>
    <row r="55" spans="1:13">
      <c r="E55" s="196"/>
    </row>
    <row r="56" spans="1:13">
      <c r="A56" s="197" t="s">
        <v>100</v>
      </c>
      <c r="B56" s="198"/>
      <c r="C56" s="199"/>
      <c r="D56" s="199"/>
      <c r="E56" s="199"/>
      <c r="F56" s="200"/>
      <c r="G56" s="199"/>
      <c r="H56" s="201"/>
      <c r="I56" s="202" t="s">
        <v>101</v>
      </c>
      <c r="J56" s="203">
        <f>+D34+'6'!J56</f>
        <v>690</v>
      </c>
      <c r="K56" s="204">
        <f>J56/(J40+J56/1000)/1000</f>
        <v>2.8116557392413415E-3</v>
      </c>
    </row>
    <row r="57" spans="1:13">
      <c r="A57" s="179"/>
      <c r="I57" s="202" t="s">
        <v>102</v>
      </c>
      <c r="J57" s="203">
        <f>+E34+'6'!J57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1"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S61"/>
  <sheetViews>
    <sheetView view="pageBreakPreview" topLeftCell="G1" zoomScale="80" zoomScaleNormal="75" zoomScaleSheetLayoutView="80" workbookViewId="0">
      <selection activeCell="I24" sqref="I24:I31"/>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2.85546875" style="152" bestFit="1" customWidth="1"/>
    <col min="12" max="12" width="8.28515625" style="152" customWidth="1"/>
    <col min="13" max="13" width="14.570312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6</v>
      </c>
      <c r="H4" s="157" t="str">
        <f>+'1'!H4</f>
        <v>.03.26</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497</v>
      </c>
      <c r="O6" s="152">
        <v>1000</v>
      </c>
      <c r="P6" s="152">
        <f>+O6-(O6*0.18)</f>
        <v>820</v>
      </c>
      <c r="Q6" s="152">
        <f>60+52</f>
        <v>112</v>
      </c>
      <c r="R6" s="152">
        <f t="shared" ref="R6:R7" si="0">+O6*Q6</f>
        <v>112000</v>
      </c>
      <c r="S6" s="152">
        <f t="shared" ref="S6:S7" si="1">+P6*Q6</f>
        <v>91840</v>
      </c>
    </row>
    <row r="7" spans="1:19" ht="13.5" customHeight="1" thickBot="1">
      <c r="A7" s="793" t="s">
        <v>430</v>
      </c>
      <c r="B7" s="218" t="s">
        <v>501</v>
      </c>
      <c r="C7" s="219">
        <v>9688</v>
      </c>
      <c r="D7" s="220"/>
      <c r="E7" s="221"/>
      <c r="F7" s="231">
        <v>2</v>
      </c>
      <c r="G7" s="232" t="s">
        <v>13</v>
      </c>
      <c r="H7" s="233" t="s">
        <v>453</v>
      </c>
      <c r="I7" s="796" t="s">
        <v>507</v>
      </c>
      <c r="J7" s="217" t="str">
        <f>+'5'!J7</f>
        <v>T 14 RC HW</v>
      </c>
      <c r="K7" s="241"/>
      <c r="L7" s="245"/>
      <c r="M7" s="120">
        <f>+K7+'5'!M7+L7</f>
        <v>41293</v>
      </c>
      <c r="N7" s="152" t="s">
        <v>509</v>
      </c>
      <c r="O7" s="152">
        <v>1000</v>
      </c>
      <c r="P7" s="152">
        <f t="shared" ref="P7:P8" si="2">+O7-(O7*0.18)</f>
        <v>820</v>
      </c>
      <c r="Q7" s="152">
        <f>60-52+2</f>
        <v>10</v>
      </c>
      <c r="R7" s="152">
        <f t="shared" si="0"/>
        <v>10000</v>
      </c>
      <c r="S7" s="152">
        <f t="shared" si="1"/>
        <v>8200</v>
      </c>
    </row>
    <row r="8" spans="1:19" ht="13.5" thickBot="1">
      <c r="A8" s="794"/>
      <c r="B8" s="218"/>
      <c r="C8" s="219"/>
      <c r="D8" s="220"/>
      <c r="E8" s="222"/>
      <c r="F8" s="234">
        <v>9</v>
      </c>
      <c r="G8" s="583" t="s">
        <v>13</v>
      </c>
      <c r="H8" s="233" t="s">
        <v>452</v>
      </c>
      <c r="I8" s="797"/>
      <c r="J8" s="217" t="str">
        <f>+'5'!J8</f>
        <v>T 15,5 RC HW</v>
      </c>
      <c r="K8" s="242"/>
      <c r="L8" s="242"/>
      <c r="M8" s="120">
        <f>+K8+'5'!M8+L8</f>
        <v>139937</v>
      </c>
      <c r="N8" s="152" t="s">
        <v>497</v>
      </c>
      <c r="O8" s="152">
        <v>1000</v>
      </c>
      <c r="P8" s="152">
        <f t="shared" si="2"/>
        <v>820</v>
      </c>
      <c r="Q8" s="152">
        <f>60-2+300</f>
        <v>358</v>
      </c>
      <c r="R8" s="152">
        <f t="shared" ref="R8" si="3">+O8*Q8</f>
        <v>358000</v>
      </c>
      <c r="S8" s="152">
        <f t="shared" ref="S8" si="4">+P8*Q8</f>
        <v>293560</v>
      </c>
    </row>
    <row r="9" spans="1:19" ht="13.5" thickBot="1">
      <c r="A9" s="794"/>
      <c r="B9" s="218"/>
      <c r="C9" s="219"/>
      <c r="D9" s="220"/>
      <c r="E9" s="223"/>
      <c r="F9" s="231">
        <v>4</v>
      </c>
      <c r="G9" s="583" t="s">
        <v>13</v>
      </c>
      <c r="H9" s="236" t="s">
        <v>421</v>
      </c>
      <c r="I9" s="797"/>
      <c r="J9" s="217" t="str">
        <f>+'5'!J9</f>
        <v>T 13,5 RC HW</v>
      </c>
      <c r="K9" s="242">
        <f>+C34</f>
        <v>26603</v>
      </c>
      <c r="L9" s="242"/>
      <c r="M9" s="120">
        <f>+K9+'5'!M9+L9</f>
        <v>31497</v>
      </c>
    </row>
    <row r="10" spans="1:19" ht="26.25" thickBot="1">
      <c r="A10" s="794"/>
      <c r="B10" s="218"/>
      <c r="C10" s="219"/>
      <c r="D10" s="220"/>
      <c r="E10" s="222"/>
      <c r="F10" s="231">
        <v>9</v>
      </c>
      <c r="G10" s="240" t="s">
        <v>14</v>
      </c>
      <c r="H10" s="236" t="s">
        <v>502</v>
      </c>
      <c r="I10" s="797"/>
      <c r="J10" s="217">
        <f>+'5'!J10</f>
        <v>0</v>
      </c>
      <c r="K10" s="242"/>
      <c r="L10" s="242"/>
      <c r="M10" s="120">
        <f>+K10+'5'!M10+L10</f>
        <v>0</v>
      </c>
    </row>
    <row r="11" spans="1:19" ht="26.25" thickBot="1">
      <c r="A11" s="794"/>
      <c r="B11" s="218"/>
      <c r="C11" s="219"/>
      <c r="D11" s="220"/>
      <c r="E11" s="222"/>
      <c r="F11" s="231"/>
      <c r="G11" s="235"/>
      <c r="H11" s="236" t="s">
        <v>503</v>
      </c>
      <c r="I11" s="797"/>
      <c r="J11" s="217">
        <f>+'5'!J11</f>
        <v>0</v>
      </c>
      <c r="K11" s="242"/>
      <c r="L11" s="242"/>
      <c r="M11" s="120">
        <f>+K11+'5'!M11+L11</f>
        <v>0</v>
      </c>
    </row>
    <row r="12" spans="1:19" ht="13.5" thickBot="1">
      <c r="A12" s="794"/>
      <c r="B12" s="218"/>
      <c r="C12" s="219"/>
      <c r="D12" s="220"/>
      <c r="E12" s="222"/>
      <c r="F12" s="231"/>
      <c r="G12" s="235"/>
      <c r="H12" s="236"/>
      <c r="I12" s="797"/>
      <c r="J12" s="217">
        <f>+'5'!J12</f>
        <v>0</v>
      </c>
      <c r="K12" s="242"/>
      <c r="L12" s="242"/>
      <c r="M12" s="120">
        <f>+K12+'5'!M12+L12</f>
        <v>0</v>
      </c>
    </row>
    <row r="13" spans="1:19" ht="13.5" thickBot="1">
      <c r="A13" s="794"/>
      <c r="B13" s="218"/>
      <c r="C13" s="219"/>
      <c r="D13" s="219"/>
      <c r="E13" s="222"/>
      <c r="F13" s="231"/>
      <c r="G13" s="583"/>
      <c r="H13" s="236"/>
      <c r="I13" s="798"/>
      <c r="J13" s="217">
        <f>+'5'!J13</f>
        <v>0</v>
      </c>
      <c r="K13" s="242"/>
      <c r="L13" s="242"/>
      <c r="M13" s="120">
        <f>+K13+'5'!M13+L13</f>
        <v>0</v>
      </c>
      <c r="Q13" s="179">
        <f>SUM(Q6:Q12)</f>
        <v>480</v>
      </c>
      <c r="R13" s="179">
        <f>SUM(R6:R12)</f>
        <v>480000</v>
      </c>
      <c r="S13" s="179">
        <f>SUM(S6:S12)</f>
        <v>393600</v>
      </c>
    </row>
    <row r="14" spans="1:19" ht="13.5" thickBot="1">
      <c r="A14" s="795"/>
      <c r="B14" s="168"/>
      <c r="C14" s="102">
        <f>SUM(C7:C13)</f>
        <v>9688</v>
      </c>
      <c r="D14" s="114">
        <f>SUM(D7:D13)</f>
        <v>0</v>
      </c>
      <c r="E14" s="115">
        <f>SUM(E5:E13)</f>
        <v>0</v>
      </c>
      <c r="F14" s="105">
        <f>SUM(F6:F13)</f>
        <v>24</v>
      </c>
      <c r="G14" s="162"/>
      <c r="H14" s="169"/>
      <c r="I14" s="170"/>
      <c r="J14" s="217">
        <f>+'5'!J14</f>
        <v>0</v>
      </c>
      <c r="K14" s="242"/>
      <c r="L14" s="242"/>
      <c r="M14" s="120">
        <f>+K14+'5'!M14+L14</f>
        <v>0</v>
      </c>
      <c r="Q14" s="152">
        <f>480-Q13</f>
        <v>0</v>
      </c>
      <c r="R14" s="179">
        <f>+R13/Q13</f>
        <v>1000</v>
      </c>
      <c r="S14" s="179">
        <f>+S13/Q13</f>
        <v>820</v>
      </c>
    </row>
    <row r="15" spans="1:19" ht="13.5" customHeight="1" thickBot="1">
      <c r="A15" s="793" t="s">
        <v>432</v>
      </c>
      <c r="B15" s="168"/>
      <c r="C15" s="116">
        <f>C14/($C$23+$D$23+$E$23)</f>
        <v>0.76591034864416163</v>
      </c>
      <c r="D15" s="117">
        <f>D14/($C$23+$D$23+$E$23)</f>
        <v>0</v>
      </c>
      <c r="E15" s="118">
        <f>E14/($C$23+$D$23+$E$23)</f>
        <v>0</v>
      </c>
      <c r="F15" s="231"/>
      <c r="G15" s="232" t="s">
        <v>13</v>
      </c>
      <c r="H15" s="233" t="s">
        <v>391</v>
      </c>
      <c r="I15" s="796" t="s">
        <v>507</v>
      </c>
      <c r="J15" s="217">
        <f>+'5'!J15</f>
        <v>0</v>
      </c>
      <c r="K15" s="242"/>
      <c r="L15" s="242"/>
      <c r="M15" s="120">
        <f>+K15+'5'!M15+L15</f>
        <v>0</v>
      </c>
      <c r="P15" s="179"/>
      <c r="Q15" s="179"/>
      <c r="R15" s="179"/>
    </row>
    <row r="16" spans="1:19" ht="13.5" thickBot="1">
      <c r="A16" s="799"/>
      <c r="B16" s="218" t="s">
        <v>501</v>
      </c>
      <c r="C16" s="225">
        <v>12649</v>
      </c>
      <c r="D16" s="226"/>
      <c r="E16" s="227"/>
      <c r="F16" s="234">
        <v>4</v>
      </c>
      <c r="G16" s="583" t="s">
        <v>13</v>
      </c>
      <c r="H16" s="233" t="s">
        <v>474</v>
      </c>
      <c r="I16" s="797"/>
      <c r="J16" s="217">
        <f>+'5'!J16</f>
        <v>0</v>
      </c>
      <c r="K16" s="242"/>
      <c r="L16" s="232"/>
      <c r="M16" s="120">
        <f>+K16+'5'!M16+L16</f>
        <v>0</v>
      </c>
      <c r="N16" s="152" t="s">
        <v>497</v>
      </c>
      <c r="O16" s="152">
        <v>1000</v>
      </c>
      <c r="P16" s="152">
        <f>+O16-(O16*0.18)</f>
        <v>820</v>
      </c>
      <c r="Q16" s="152">
        <f>60*5+43</f>
        <v>343</v>
      </c>
      <c r="R16" s="152">
        <f t="shared" ref="R16:R17" si="5">+O16*Q16</f>
        <v>343000</v>
      </c>
      <c r="S16" s="152">
        <f t="shared" ref="S16:S17" si="6">+P16*Q16</f>
        <v>281260</v>
      </c>
    </row>
    <row r="17" spans="1:19" ht="13.5" thickBot="1">
      <c r="A17" s="799"/>
      <c r="B17" s="218"/>
      <c r="C17" s="219"/>
      <c r="D17" s="220"/>
      <c r="E17" s="228"/>
      <c r="F17" s="231">
        <v>4</v>
      </c>
      <c r="G17" s="583" t="s">
        <v>13</v>
      </c>
      <c r="H17" s="236" t="s">
        <v>456</v>
      </c>
      <c r="I17" s="797"/>
      <c r="J17" s="217">
        <f>+'5'!J17</f>
        <v>0</v>
      </c>
      <c r="K17" s="232"/>
      <c r="L17" s="232"/>
      <c r="M17" s="120">
        <f>+K17+'5'!M17+L17</f>
        <v>0</v>
      </c>
      <c r="N17" s="152" t="s">
        <v>413</v>
      </c>
      <c r="O17" s="152">
        <v>1000</v>
      </c>
      <c r="P17" s="152">
        <f>+O17-(O17*0.22)</f>
        <v>780</v>
      </c>
      <c r="Q17" s="152">
        <f>60-43+60+1</f>
        <v>78</v>
      </c>
      <c r="R17" s="152">
        <f t="shared" si="5"/>
        <v>78000</v>
      </c>
      <c r="S17" s="152">
        <f t="shared" si="6"/>
        <v>60840</v>
      </c>
    </row>
    <row r="18" spans="1:19" ht="26.25" thickBot="1">
      <c r="A18" s="799"/>
      <c r="B18" s="218"/>
      <c r="C18" s="219"/>
      <c r="D18" s="220"/>
      <c r="E18" s="228"/>
      <c r="F18" s="238"/>
      <c r="G18" s="240" t="s">
        <v>14</v>
      </c>
      <c r="H18" s="236" t="s">
        <v>504</v>
      </c>
      <c r="I18" s="797"/>
      <c r="J18" s="217">
        <f>+'5'!J18</f>
        <v>0</v>
      </c>
      <c r="K18" s="242"/>
      <c r="L18" s="242"/>
      <c r="M18" s="120">
        <f>+K18+'5'!M18+L18</f>
        <v>0</v>
      </c>
    </row>
    <row r="19" spans="1:19" ht="26.25" thickBot="1">
      <c r="A19" s="799"/>
      <c r="B19" s="218"/>
      <c r="C19" s="219"/>
      <c r="D19" s="220"/>
      <c r="E19" s="228"/>
      <c r="F19" s="231">
        <v>59</v>
      </c>
      <c r="G19" s="235" t="s">
        <v>21</v>
      </c>
      <c r="H19" s="236" t="s">
        <v>505</v>
      </c>
      <c r="I19" s="797"/>
      <c r="J19" s="217">
        <f>+'5'!J19</f>
        <v>0</v>
      </c>
      <c r="K19" s="242"/>
      <c r="L19" s="242"/>
      <c r="M19" s="120">
        <f>+K19+'5'!M19+L19</f>
        <v>0</v>
      </c>
    </row>
    <row r="20" spans="1:19" ht="13.5" thickBot="1">
      <c r="A20" s="799"/>
      <c r="B20" s="218"/>
      <c r="C20" s="219"/>
      <c r="D20" s="220"/>
      <c r="E20" s="228"/>
      <c r="F20" s="231"/>
      <c r="G20" s="235"/>
      <c r="H20" s="236"/>
      <c r="I20" s="797"/>
      <c r="J20" s="217">
        <f>+'5'!J20</f>
        <v>0</v>
      </c>
      <c r="K20" s="243"/>
      <c r="L20" s="243"/>
      <c r="M20" s="120">
        <f>+K20+'5'!M20+L20</f>
        <v>0</v>
      </c>
    </row>
    <row r="21" spans="1:19" ht="13.5" thickBot="1">
      <c r="A21" s="799"/>
      <c r="B21" s="218"/>
      <c r="C21" s="219"/>
      <c r="D21" s="220"/>
      <c r="E21" s="228"/>
      <c r="F21" s="234"/>
      <c r="G21" s="235"/>
      <c r="H21" s="236"/>
      <c r="I21" s="797"/>
      <c r="J21" s="217">
        <f>+'5'!J21</f>
        <v>0</v>
      </c>
      <c r="K21" s="242"/>
      <c r="L21" s="242"/>
      <c r="M21" s="120">
        <f>+K21+'5'!M21+L21</f>
        <v>0</v>
      </c>
    </row>
    <row r="22" spans="1:19" ht="13.5" thickBot="1">
      <c r="A22" s="799"/>
      <c r="B22" s="218"/>
      <c r="C22" s="219"/>
      <c r="D22" s="220"/>
      <c r="E22" s="228"/>
      <c r="F22" s="239"/>
      <c r="G22" s="235"/>
      <c r="H22" s="236"/>
      <c r="I22" s="798"/>
      <c r="J22" s="217">
        <f>+'5'!J22</f>
        <v>0</v>
      </c>
      <c r="K22" s="242"/>
      <c r="L22" s="242"/>
      <c r="M22" s="120">
        <f>+K22+'5'!M22+L22</f>
        <v>0</v>
      </c>
    </row>
    <row r="23" spans="1:19" ht="13.5" thickBot="1">
      <c r="A23" s="800"/>
      <c r="B23" s="168"/>
      <c r="C23" s="103">
        <f>SUM(C16:C22)</f>
        <v>12649</v>
      </c>
      <c r="D23" s="114">
        <f>SUM(D16:D22)</f>
        <v>0</v>
      </c>
      <c r="E23" s="115">
        <f>SUM(E18:E22)</f>
        <v>0</v>
      </c>
      <c r="F23" s="105">
        <f>SUM(F15:F22)</f>
        <v>67</v>
      </c>
      <c r="G23" s="162"/>
      <c r="H23" s="169"/>
      <c r="I23" s="172"/>
      <c r="J23" s="217">
        <f>+'5'!J23</f>
        <v>0</v>
      </c>
      <c r="K23" s="242"/>
      <c r="L23" s="242"/>
      <c r="M23" s="120">
        <f>+K23+'5'!M23+L23</f>
        <v>0</v>
      </c>
      <c r="Q23" s="179">
        <f>SUM(Q16:Q22)</f>
        <v>421</v>
      </c>
      <c r="R23" s="179">
        <f>SUM(R16:R22)</f>
        <v>421000</v>
      </c>
      <c r="S23" s="179">
        <f>SUM(S16:S22)</f>
        <v>342100</v>
      </c>
    </row>
    <row r="24" spans="1:19" ht="13.5" customHeight="1" thickBot="1">
      <c r="A24" s="793" t="s">
        <v>477</v>
      </c>
      <c r="B24" s="173"/>
      <c r="C24" s="116">
        <f>C23/($C$23+$D$23+$E$23)</f>
        <v>1</v>
      </c>
      <c r="D24" s="117">
        <f>D23/($C$23+$D$23+$E$23)</f>
        <v>0</v>
      </c>
      <c r="E24" s="118">
        <f>E23/($C$23+$D$23+$E$23)</f>
        <v>0</v>
      </c>
      <c r="F24" s="231"/>
      <c r="G24" s="232" t="s">
        <v>13</v>
      </c>
      <c r="H24" s="233" t="s">
        <v>391</v>
      </c>
      <c r="I24" s="796" t="s">
        <v>508</v>
      </c>
      <c r="J24" s="217">
        <f>+'5'!J24</f>
        <v>0</v>
      </c>
      <c r="K24" s="242"/>
      <c r="L24" s="242"/>
      <c r="M24" s="120">
        <f>+K24+'5'!M24+L24</f>
        <v>0</v>
      </c>
      <c r="Q24" s="152">
        <f>480-Q23</f>
        <v>59</v>
      </c>
      <c r="R24" s="179">
        <f>+R23/Q23</f>
        <v>1000</v>
      </c>
      <c r="S24" s="179">
        <f>+S23/Q23</f>
        <v>812.58907363420428</v>
      </c>
    </row>
    <row r="25" spans="1:19" ht="13.5" customHeight="1" thickBot="1">
      <c r="A25" s="799"/>
      <c r="B25" s="218" t="s">
        <v>501</v>
      </c>
      <c r="C25" s="229">
        <v>4266</v>
      </c>
      <c r="D25" s="220"/>
      <c r="E25" s="228"/>
      <c r="F25" s="234"/>
      <c r="G25" s="583" t="s">
        <v>13</v>
      </c>
      <c r="H25" s="233" t="s">
        <v>452</v>
      </c>
      <c r="I25" s="797"/>
      <c r="J25" s="217">
        <f>+'5'!J25</f>
        <v>0</v>
      </c>
      <c r="K25" s="242"/>
      <c r="L25" s="242"/>
      <c r="M25" s="120">
        <f>+K25+'5'!M25+L25</f>
        <v>0</v>
      </c>
    </row>
    <row r="26" spans="1:19" ht="13.5" customHeight="1" thickBot="1">
      <c r="A26" s="799"/>
      <c r="B26" s="218"/>
      <c r="C26" s="229"/>
      <c r="D26" s="220"/>
      <c r="E26" s="230"/>
      <c r="F26" s="231"/>
      <c r="G26" s="583" t="s">
        <v>13</v>
      </c>
      <c r="H26" s="236" t="s">
        <v>422</v>
      </c>
      <c r="I26" s="797"/>
      <c r="J26" s="217">
        <f>+'5'!J26</f>
        <v>0</v>
      </c>
      <c r="K26" s="242"/>
      <c r="L26" s="242"/>
      <c r="M26" s="120">
        <f>+K26+'5'!M26+L26</f>
        <v>0</v>
      </c>
      <c r="N26" s="152" t="s">
        <v>497</v>
      </c>
      <c r="O26" s="152">
        <v>1000</v>
      </c>
      <c r="P26" s="152">
        <v>820</v>
      </c>
      <c r="Q26" s="152">
        <v>112</v>
      </c>
      <c r="R26" s="152">
        <f t="shared" ref="R26:R28" si="7">+O26*Q26</f>
        <v>112000</v>
      </c>
      <c r="S26" s="152">
        <f t="shared" ref="S26:S28" si="8">+P26*Q26</f>
        <v>91840</v>
      </c>
    </row>
    <row r="27" spans="1:19" ht="13.5" customHeight="1" thickBot="1">
      <c r="A27" s="799"/>
      <c r="B27" s="218"/>
      <c r="C27" s="219"/>
      <c r="D27" s="220"/>
      <c r="E27" s="228"/>
      <c r="F27" s="231"/>
      <c r="G27" s="240" t="s">
        <v>14</v>
      </c>
      <c r="H27" s="236" t="s">
        <v>515</v>
      </c>
      <c r="I27" s="797"/>
      <c r="J27" s="217">
        <f>+'5'!J27</f>
        <v>0</v>
      </c>
      <c r="K27" s="242"/>
      <c r="L27" s="242"/>
      <c r="M27" s="120">
        <f>+K27+'5'!M27+L27</f>
        <v>0</v>
      </c>
      <c r="N27" s="152" t="s">
        <v>497</v>
      </c>
      <c r="O27" s="152">
        <v>1000</v>
      </c>
      <c r="P27" s="152">
        <v>820</v>
      </c>
      <c r="Q27" s="152">
        <v>358</v>
      </c>
      <c r="R27" s="152">
        <f t="shared" si="7"/>
        <v>358000</v>
      </c>
      <c r="S27" s="152">
        <f t="shared" si="8"/>
        <v>293560</v>
      </c>
    </row>
    <row r="28" spans="1:19" ht="132.75" customHeight="1" thickBot="1">
      <c r="A28" s="799"/>
      <c r="B28" s="218"/>
      <c r="C28" s="219"/>
      <c r="D28" s="220"/>
      <c r="E28" s="228"/>
      <c r="F28" s="234">
        <v>480</v>
      </c>
      <c r="G28" s="235" t="s">
        <v>21</v>
      </c>
      <c r="H28" s="236" t="s">
        <v>506</v>
      </c>
      <c r="I28" s="797"/>
      <c r="J28" s="217">
        <f>+'5'!J28</f>
        <v>0</v>
      </c>
      <c r="K28" s="242"/>
      <c r="L28" s="242"/>
      <c r="M28" s="120">
        <f>+K28+'5'!M28+L28</f>
        <v>0</v>
      </c>
      <c r="N28" s="152" t="s">
        <v>497</v>
      </c>
      <c r="O28" s="152">
        <v>1000</v>
      </c>
      <c r="P28" s="152">
        <v>820</v>
      </c>
      <c r="Q28" s="152">
        <v>343</v>
      </c>
      <c r="R28" s="152">
        <f t="shared" si="7"/>
        <v>343000</v>
      </c>
      <c r="S28" s="152">
        <f t="shared" si="8"/>
        <v>281260</v>
      </c>
    </row>
    <row r="29" spans="1:19" ht="13.5" thickBot="1">
      <c r="A29" s="799"/>
      <c r="B29" s="218"/>
      <c r="C29" s="219"/>
      <c r="D29" s="220"/>
      <c r="E29" s="228"/>
      <c r="F29" s="239"/>
      <c r="G29" s="235"/>
      <c r="H29" s="236"/>
      <c r="I29" s="797"/>
      <c r="J29" s="217">
        <f>+'5'!J29</f>
        <v>0</v>
      </c>
      <c r="K29" s="242"/>
      <c r="L29" s="242"/>
      <c r="M29" s="120">
        <f>+K29+'5'!M29+L29</f>
        <v>0</v>
      </c>
    </row>
    <row r="30" spans="1:19" ht="13.5" customHeight="1" thickBot="1">
      <c r="A30" s="799"/>
      <c r="B30" s="218"/>
      <c r="C30" s="229"/>
      <c r="D30" s="220"/>
      <c r="E30" s="228"/>
      <c r="F30" s="239"/>
      <c r="G30" s="235"/>
      <c r="H30" s="236"/>
      <c r="I30" s="797"/>
      <c r="J30" s="217">
        <f>+'5'!J30</f>
        <v>0</v>
      </c>
      <c r="K30" s="242"/>
      <c r="L30" s="242"/>
      <c r="M30" s="120">
        <f>+K30+'5'!M30+L30</f>
        <v>0</v>
      </c>
    </row>
    <row r="31" spans="1:19" ht="13.5" customHeight="1" thickBot="1">
      <c r="A31" s="799"/>
      <c r="B31" s="218"/>
      <c r="C31" s="229"/>
      <c r="D31" s="220"/>
      <c r="E31" s="228"/>
      <c r="F31" s="239"/>
      <c r="G31" s="240"/>
      <c r="H31" s="237"/>
      <c r="I31" s="798"/>
      <c r="J31" s="217">
        <f>+'5'!J31</f>
        <v>0</v>
      </c>
      <c r="K31" s="242"/>
      <c r="L31" s="242"/>
      <c r="M31" s="120">
        <f>+K31+'5'!M31+L31</f>
        <v>0</v>
      </c>
    </row>
    <row r="32" spans="1:19" ht="13.5" customHeight="1" thickBot="1">
      <c r="A32" s="800"/>
      <c r="B32" s="168"/>
      <c r="C32" s="102">
        <f>SUM(C25:C31)</f>
        <v>4266</v>
      </c>
      <c r="D32" s="103">
        <f>SUM(D25:D31)</f>
        <v>0</v>
      </c>
      <c r="E32" s="104">
        <f>SUM(E25:E31)</f>
        <v>0</v>
      </c>
      <c r="F32" s="105">
        <f>SUM(F24:F31)</f>
        <v>480</v>
      </c>
      <c r="G32" s="174"/>
      <c r="H32" s="175"/>
      <c r="I32" s="172"/>
      <c r="J32" s="217">
        <f>+'5'!J32</f>
        <v>0</v>
      </c>
      <c r="K32" s="244"/>
      <c r="L32" s="246"/>
      <c r="M32" s="120">
        <f>+K32+'5'!M32+L32</f>
        <v>0</v>
      </c>
    </row>
    <row r="33" spans="1:19" ht="13.5" thickBot="1">
      <c r="A33" s="176"/>
      <c r="B33" s="177"/>
      <c r="C33" s="106">
        <f>C32/($C$32+$D$32+$E$32)</f>
        <v>1</v>
      </c>
      <c r="D33" s="107">
        <f>D32/($C$32+$D$32+$E$32)</f>
        <v>0</v>
      </c>
      <c r="E33" s="108">
        <f>E32/($C$32+$D$32+$E$32)</f>
        <v>0</v>
      </c>
      <c r="F33" s="109"/>
      <c r="G33" s="178"/>
      <c r="H33" s="179"/>
      <c r="I33" s="180"/>
      <c r="J33" s="124"/>
      <c r="K33" s="125"/>
      <c r="L33" s="216"/>
      <c r="M33" s="122"/>
      <c r="Q33" s="179">
        <f>SUM(Q26:Q32)</f>
        <v>813</v>
      </c>
      <c r="R33" s="179">
        <f>SUM(R26:R32)</f>
        <v>813000</v>
      </c>
      <c r="S33" s="179">
        <f>SUM(S26:S32)</f>
        <v>666660</v>
      </c>
    </row>
    <row r="34" spans="1:19" ht="13.5" thickBot="1">
      <c r="A34" s="801" t="s">
        <v>70</v>
      </c>
      <c r="B34" s="802"/>
      <c r="C34" s="110">
        <f>C14+C23+C32</f>
        <v>26603</v>
      </c>
      <c r="D34" s="110">
        <f>D14+D23+D32</f>
        <v>0</v>
      </c>
      <c r="E34" s="110">
        <f>E14+E23+E32</f>
        <v>0</v>
      </c>
      <c r="F34" s="111">
        <f>F14+F23+F32</f>
        <v>571</v>
      </c>
      <c r="H34" s="181"/>
      <c r="I34" s="181"/>
      <c r="J34" s="126" t="s">
        <v>29</v>
      </c>
      <c r="K34" s="127">
        <f>SUM(K7:K32)</f>
        <v>26603</v>
      </c>
      <c r="L34" s="215">
        <f>SUM(L7:L32)</f>
        <v>0</v>
      </c>
      <c r="M34" s="123">
        <f>SUM(M7:M32)</f>
        <v>212727</v>
      </c>
      <c r="Q34" s="152">
        <f>480-Q33</f>
        <v>-333</v>
      </c>
      <c r="R34" s="179">
        <f>+R33/Q33</f>
        <v>1000</v>
      </c>
      <c r="S34" s="179">
        <f>+S33/Q33</f>
        <v>820</v>
      </c>
    </row>
    <row r="35" spans="1:19" ht="13.5" thickBot="1">
      <c r="A35" s="182"/>
      <c r="B35" s="183"/>
      <c r="C35" s="107">
        <f>C34/($C$34+$D$34+$E$34)</f>
        <v>1</v>
      </c>
      <c r="D35" s="107">
        <f>D34/($C$34+$D$34+$E$34)</f>
        <v>0</v>
      </c>
      <c r="E35" s="112">
        <f>E34/($C$34+$D$34+$E$34)</f>
        <v>0</v>
      </c>
      <c r="K35" s="158"/>
      <c r="L35" s="792" t="s">
        <v>187</v>
      </c>
      <c r="M35" s="792"/>
      <c r="N35" s="152" t="s">
        <v>497</v>
      </c>
      <c r="O35" s="152">
        <v>1000</v>
      </c>
      <c r="P35" s="152">
        <v>820</v>
      </c>
      <c r="Q35" s="152">
        <v>813</v>
      </c>
    </row>
    <row r="36" spans="1:19" ht="13.5" thickBot="1">
      <c r="A36" s="181"/>
      <c r="B36" s="181"/>
      <c r="C36" s="158"/>
      <c r="D36" s="158"/>
      <c r="E36" s="158"/>
      <c r="G36" s="158"/>
      <c r="H36" s="184"/>
      <c r="I36" s="165" t="s">
        <v>41</v>
      </c>
      <c r="J36" s="165" t="s">
        <v>42</v>
      </c>
      <c r="K36" s="185"/>
      <c r="L36" s="165" t="s">
        <v>41</v>
      </c>
      <c r="M36" s="165" t="s">
        <v>42</v>
      </c>
      <c r="N36" s="152" t="s">
        <v>509</v>
      </c>
      <c r="O36" s="152">
        <v>1000</v>
      </c>
      <c r="P36" s="152">
        <v>820</v>
      </c>
      <c r="Q36" s="152">
        <v>10</v>
      </c>
    </row>
    <row r="37" spans="1:19" ht="17.45" customHeight="1" thickBot="1">
      <c r="A37" s="790" t="s">
        <v>71</v>
      </c>
      <c r="B37" s="791"/>
      <c r="C37" s="165" t="s">
        <v>72</v>
      </c>
      <c r="D37" s="186" t="s">
        <v>73</v>
      </c>
      <c r="E37" s="187" t="s">
        <v>74</v>
      </c>
      <c r="F37" s="365"/>
      <c r="G37" s="367"/>
      <c r="H37" s="189" t="s">
        <v>75</v>
      </c>
      <c r="I37" s="247">
        <f>(13.5*813+10*20+14*78)/901*G42*2.75*901/1000000</f>
        <v>27.663212499999997</v>
      </c>
      <c r="J37" s="128">
        <f>+I37+'5'!J37</f>
        <v>233.56961048363786</v>
      </c>
      <c r="K37" s="129" t="s">
        <v>76</v>
      </c>
      <c r="L37" s="426"/>
      <c r="M37" s="427"/>
      <c r="N37" s="152" t="s">
        <v>413</v>
      </c>
      <c r="O37" s="152">
        <v>1000</v>
      </c>
      <c r="P37" s="152">
        <v>780</v>
      </c>
      <c r="Q37" s="152">
        <v>78</v>
      </c>
    </row>
    <row r="38" spans="1:19" ht="17.45" customHeight="1">
      <c r="A38" s="786" t="s">
        <v>13</v>
      </c>
      <c r="B38" s="787"/>
      <c r="C38" s="167">
        <f>SUMIF($G$7:$G$31,"Process",$F$7:$F$31)</f>
        <v>23</v>
      </c>
      <c r="D38" s="121">
        <f>+C38+'5'!D38</f>
        <v>859</v>
      </c>
      <c r="E38" s="146">
        <f t="shared" ref="E38:E51" si="9">D38/60</f>
        <v>14.316666666666666</v>
      </c>
      <c r="F38" s="365">
        <v>1000</v>
      </c>
      <c r="G38" s="365">
        <v>820</v>
      </c>
      <c r="H38" s="190" t="s">
        <v>77</v>
      </c>
      <c r="I38" s="547">
        <f>11.367+2.197+12.993</f>
        <v>26.557000000000002</v>
      </c>
      <c r="J38" s="130">
        <f>+I38+'5'!J38</f>
        <v>215.66329999999999</v>
      </c>
      <c r="K38" s="131" t="s">
        <v>76</v>
      </c>
      <c r="L38" s="428"/>
      <c r="M38" s="429"/>
      <c r="N38" s="152">
        <v>480</v>
      </c>
      <c r="Q38" s="152">
        <f>+Q35+Q36+Q37</f>
        <v>901</v>
      </c>
    </row>
    <row r="39" spans="1:19" ht="17.45" customHeight="1">
      <c r="A39" s="782" t="s">
        <v>14</v>
      </c>
      <c r="B39" s="783"/>
      <c r="C39" s="167">
        <f>SUMIF($G$7:$G$31,"Cleaning",$F$7:$F$31)</f>
        <v>9</v>
      </c>
      <c r="D39" s="121">
        <f>+C39+'5'!D39</f>
        <v>81</v>
      </c>
      <c r="E39" s="146">
        <f t="shared" si="9"/>
        <v>1.35</v>
      </c>
      <c r="F39" s="365">
        <v>1000</v>
      </c>
      <c r="G39" s="365">
        <v>820</v>
      </c>
      <c r="H39" s="190" t="s">
        <v>78</v>
      </c>
      <c r="I39" s="145"/>
      <c r="J39" s="132">
        <f>J37/G4</f>
        <v>38.928268413939641</v>
      </c>
      <c r="K39" s="133" t="s">
        <v>76</v>
      </c>
      <c r="L39" s="428"/>
      <c r="M39" s="429"/>
      <c r="N39" s="152">
        <v>421</v>
      </c>
    </row>
    <row r="40" spans="1:19" ht="17.45" customHeight="1">
      <c r="A40" s="782" t="s">
        <v>79</v>
      </c>
      <c r="B40" s="783"/>
      <c r="C40" s="167">
        <f>SUMIF($G$7:$G$31,"Mechanical",$F$7:$F$31)</f>
        <v>0</v>
      </c>
      <c r="D40" s="121">
        <f>+C40+'5'!D40</f>
        <v>120</v>
      </c>
      <c r="E40" s="146">
        <f t="shared" si="9"/>
        <v>2</v>
      </c>
      <c r="F40" s="365"/>
      <c r="G40" s="365"/>
      <c r="H40" s="190" t="s">
        <v>80</v>
      </c>
      <c r="I40" s="121">
        <f>(K34+L34)/1000</f>
        <v>26.603000000000002</v>
      </c>
      <c r="J40" s="134">
        <f>+I40+'5'!J40</f>
        <v>212.72700000000003</v>
      </c>
      <c r="K40" s="133" t="s">
        <v>76</v>
      </c>
      <c r="L40" s="428"/>
      <c r="M40" s="429"/>
      <c r="N40" s="152">
        <f>+N38+N39</f>
        <v>901</v>
      </c>
    </row>
    <row r="41" spans="1:19" ht="17.45" customHeight="1">
      <c r="A41" s="782" t="s">
        <v>81</v>
      </c>
      <c r="B41" s="783"/>
      <c r="C41" s="167">
        <f>SUMIF($G$7:$G$31,"Electrical",$F$7:$F$31)</f>
        <v>0</v>
      </c>
      <c r="D41" s="121">
        <f>+C41+'5'!D41</f>
        <v>65</v>
      </c>
      <c r="E41" s="146">
        <f t="shared" si="9"/>
        <v>1.0833333333333333</v>
      </c>
      <c r="F41" s="365"/>
      <c r="G41" s="365"/>
      <c r="H41" s="190" t="s">
        <v>82</v>
      </c>
      <c r="I41" s="145"/>
      <c r="J41" s="132">
        <f>J40/G4</f>
        <v>35.454500000000003</v>
      </c>
      <c r="K41" s="133" t="s">
        <v>76</v>
      </c>
      <c r="L41" s="428"/>
      <c r="M41" s="429"/>
    </row>
    <row r="42" spans="1:19" ht="17.45" customHeight="1">
      <c r="A42" s="782" t="s">
        <v>17</v>
      </c>
      <c r="B42" s="783"/>
      <c r="C42" s="167">
        <f>SUMIF($G$7:$G$31,"Instrument",$F$7:$F$31)</f>
        <v>0</v>
      </c>
      <c r="D42" s="121">
        <f>+C42+'5'!D42</f>
        <v>0</v>
      </c>
      <c r="E42" s="146">
        <f t="shared" si="9"/>
        <v>0</v>
      </c>
      <c r="F42" s="365">
        <f>+(480*F38+421*F39)/901</f>
        <v>1000</v>
      </c>
      <c r="G42" s="365">
        <f>+(480*G38+421*G39)/901</f>
        <v>820</v>
      </c>
      <c r="H42" s="190" t="s">
        <v>83</v>
      </c>
      <c r="I42" s="249" t="s">
        <v>507</v>
      </c>
      <c r="J42" s="135"/>
      <c r="K42" s="133" t="s">
        <v>84</v>
      </c>
      <c r="L42" s="428"/>
      <c r="M42" s="429"/>
    </row>
    <row r="43" spans="1:19" ht="17.45" customHeight="1">
      <c r="A43" s="782" t="s">
        <v>85</v>
      </c>
      <c r="B43" s="783"/>
      <c r="C43" s="167">
        <f>SUMIF($G$7:$G$31,"Water",$F$7:$F$31)</f>
        <v>0</v>
      </c>
      <c r="D43" s="121">
        <f>+C43+'5'!D43</f>
        <v>0</v>
      </c>
      <c r="E43" s="146">
        <f t="shared" si="9"/>
        <v>0</v>
      </c>
      <c r="F43" s="365"/>
      <c r="G43" s="366"/>
      <c r="H43" s="191" t="s">
        <v>86</v>
      </c>
      <c r="I43" s="121">
        <f>+Report1!AH14</f>
        <v>46.5</v>
      </c>
      <c r="J43" s="136">
        <f>+I43+'5'!J43</f>
        <v>341.6</v>
      </c>
      <c r="K43" s="133" t="s">
        <v>76</v>
      </c>
      <c r="L43" s="430">
        <f>+Report1!AN14</f>
        <v>0</v>
      </c>
      <c r="M43" s="431">
        <f>+L43+'5'!M43</f>
        <v>0</v>
      </c>
    </row>
    <row r="44" spans="1:19" ht="17.45" customHeight="1">
      <c r="A44" s="782" t="s">
        <v>18</v>
      </c>
      <c r="B44" s="783"/>
      <c r="C44" s="167">
        <f>SUMIF($G$7:$G$31,"PLN",$F$7:$F$31)</f>
        <v>0</v>
      </c>
      <c r="D44" s="121">
        <f>+C44+'5'!D44</f>
        <v>0</v>
      </c>
      <c r="E44" s="146">
        <f t="shared" si="9"/>
        <v>0</v>
      </c>
      <c r="F44" s="365"/>
      <c r="G44" s="366"/>
      <c r="H44" s="191" t="s">
        <v>87</v>
      </c>
      <c r="I44" s="121">
        <f>I43/I38</f>
        <v>1.7509507851037389</v>
      </c>
      <c r="J44" s="137">
        <f>J43/J38</f>
        <v>1.5839505377131855</v>
      </c>
      <c r="K44" s="133" t="s">
        <v>76</v>
      </c>
      <c r="L44" s="432">
        <f>+L43/I38</f>
        <v>0</v>
      </c>
      <c r="M44" s="433">
        <f>+M43/J38</f>
        <v>0</v>
      </c>
    </row>
    <row r="45" spans="1:19" ht="17.45" customHeight="1">
      <c r="A45" s="782" t="s">
        <v>19</v>
      </c>
      <c r="B45" s="783"/>
      <c r="C45" s="167">
        <f>SUMIF($G$7:$G$31,"Boiler",$F$7:$F$31)</f>
        <v>0</v>
      </c>
      <c r="D45" s="121">
        <f>+C45+'5'!D45</f>
        <v>0</v>
      </c>
      <c r="E45" s="146">
        <f t="shared" si="9"/>
        <v>0</v>
      </c>
      <c r="F45" s="365"/>
      <c r="G45" s="368"/>
      <c r="H45" s="191" t="s">
        <v>88</v>
      </c>
      <c r="I45" s="121">
        <f>I43/I40</f>
        <v>1.7479231665601622</v>
      </c>
      <c r="J45" s="137">
        <f>J43/J40</f>
        <v>1.6058140245478947</v>
      </c>
      <c r="K45" s="133" t="s">
        <v>76</v>
      </c>
      <c r="L45" s="432">
        <f>+L43/I40</f>
        <v>0</v>
      </c>
      <c r="M45" s="433">
        <f>+M43/J40</f>
        <v>0</v>
      </c>
    </row>
    <row r="46" spans="1:19" ht="17.45" customHeight="1">
      <c r="A46" s="782" t="s">
        <v>89</v>
      </c>
      <c r="B46" s="783"/>
      <c r="C46" s="167">
        <f>SUMIF($G$7:$G$31,"Gas",$F$7:$F$31)</f>
        <v>0</v>
      </c>
      <c r="D46" s="121">
        <f>+C46+'5'!D46</f>
        <v>0</v>
      </c>
      <c r="E46" s="146">
        <f t="shared" si="9"/>
        <v>0</v>
      </c>
      <c r="F46" s="365"/>
      <c r="G46" s="366"/>
      <c r="H46" s="191" t="s">
        <v>90</v>
      </c>
      <c r="I46" s="143">
        <f>+SUMIF(Listrik!P13,"&gt;0")</f>
        <v>26909.02000000004</v>
      </c>
      <c r="J46" s="138">
        <f>+I46+'5'!J46</f>
        <v>205019.37999999998</v>
      </c>
      <c r="K46" s="133" t="s">
        <v>91</v>
      </c>
      <c r="L46" s="432">
        <f>+Listrik!AF13</f>
        <v>0</v>
      </c>
      <c r="M46" s="434">
        <f>+L46+'5'!M46</f>
        <v>0</v>
      </c>
    </row>
    <row r="47" spans="1:19" ht="17.45" customHeight="1">
      <c r="A47" s="782" t="s">
        <v>92</v>
      </c>
      <c r="B47" s="783"/>
      <c r="C47" s="167">
        <f>SUMIF($G$7:$G$31,"Gas",$F$7:$F$31)</f>
        <v>0</v>
      </c>
      <c r="D47" s="121">
        <f>+C47+'5'!D47</f>
        <v>0</v>
      </c>
      <c r="E47" s="146">
        <f t="shared" si="9"/>
        <v>0</v>
      </c>
      <c r="F47" s="365"/>
      <c r="G47" s="366"/>
      <c r="H47" s="191" t="s">
        <v>93</v>
      </c>
      <c r="I47" s="121">
        <f>I46/I38</f>
        <v>1013.2552622660706</v>
      </c>
      <c r="J47" s="138">
        <f>J46/J38</f>
        <v>950.64565922899249</v>
      </c>
      <c r="K47" s="133" t="s">
        <v>25</v>
      </c>
      <c r="L47" s="432">
        <f>+L46/I38</f>
        <v>0</v>
      </c>
      <c r="M47" s="433">
        <f>+M46/J38</f>
        <v>0</v>
      </c>
    </row>
    <row r="48" spans="1:19" ht="17.45" customHeight="1">
      <c r="A48" s="782" t="s">
        <v>15</v>
      </c>
      <c r="B48" s="783"/>
      <c r="C48" s="167">
        <f>SUMIF($G$7:$G$31,"Start Up",$F$7:$F$31)</f>
        <v>0</v>
      </c>
      <c r="D48" s="121">
        <f>+C48+'5'!D48</f>
        <v>0</v>
      </c>
      <c r="E48" s="146">
        <f t="shared" si="9"/>
        <v>0</v>
      </c>
      <c r="F48" s="365"/>
      <c r="G48" s="366"/>
      <c r="H48" s="191" t="s">
        <v>94</v>
      </c>
      <c r="I48" s="121">
        <f>I46/I40</f>
        <v>1011.5032139232432</v>
      </c>
      <c r="J48" s="138">
        <f>J46/J40</f>
        <v>963.76755183874138</v>
      </c>
      <c r="K48" s="133" t="s">
        <v>25</v>
      </c>
      <c r="L48" s="432">
        <f>+L46/I38</f>
        <v>0</v>
      </c>
      <c r="M48" s="433">
        <f>+M46/J40</f>
        <v>0</v>
      </c>
    </row>
    <row r="49" spans="1:13" ht="17.45" customHeight="1">
      <c r="A49" s="782" t="s">
        <v>21</v>
      </c>
      <c r="B49" s="783"/>
      <c r="C49" s="167">
        <f>SUMIF($G$7:$G$31,"Others",$F$7:$F$31)</f>
        <v>539</v>
      </c>
      <c r="D49" s="121">
        <f>+C49+'5'!D49</f>
        <v>539</v>
      </c>
      <c r="E49" s="146">
        <f t="shared" si="9"/>
        <v>8.9833333333333325</v>
      </c>
      <c r="F49" s="188"/>
      <c r="H49" s="191" t="s">
        <v>182</v>
      </c>
      <c r="I49" s="121">
        <f>+Report1!AB14</f>
        <v>2299.8884110733748</v>
      </c>
      <c r="J49" s="138">
        <f>+I49+'5'!J49</f>
        <v>17767.257886492604</v>
      </c>
      <c r="K49" s="133" t="s">
        <v>96</v>
      </c>
      <c r="L49" s="428"/>
      <c r="M49" s="429"/>
    </row>
    <row r="50" spans="1:13" ht="17.45" customHeight="1">
      <c r="A50" s="782" t="s">
        <v>20</v>
      </c>
      <c r="B50" s="783"/>
      <c r="C50" s="167">
        <f>SUMIF($G$7:$G$31,"Steam",$F$7:$F$31)</f>
        <v>0</v>
      </c>
      <c r="D50" s="121">
        <f>+C50+'5'!D50</f>
        <v>0</v>
      </c>
      <c r="E50" s="146">
        <f t="shared" si="9"/>
        <v>0</v>
      </c>
      <c r="F50" s="188"/>
      <c r="H50" s="191" t="s">
        <v>97</v>
      </c>
      <c r="I50" s="143">
        <f>I49/I38</f>
        <v>86.601966000428305</v>
      </c>
      <c r="J50" s="136">
        <f>J49/J38</f>
        <v>82.384243802689682</v>
      </c>
      <c r="K50" s="133" t="s">
        <v>96</v>
      </c>
      <c r="L50" s="428"/>
      <c r="M50" s="429"/>
    </row>
    <row r="51" spans="1:13" ht="17.45" customHeight="1" thickBot="1">
      <c r="A51" s="784" t="s">
        <v>98</v>
      </c>
      <c r="B51" s="785"/>
      <c r="C51" s="167">
        <f>SUMIF($G$7:$G$31,"Planned shut",$F$7:$F$31)</f>
        <v>0</v>
      </c>
      <c r="D51" s="121">
        <f>+C51+'5'!D51</f>
        <v>0</v>
      </c>
      <c r="E51" s="146">
        <f t="shared" si="9"/>
        <v>0</v>
      </c>
      <c r="F51" s="188"/>
      <c r="H51" s="193" t="s">
        <v>99</v>
      </c>
      <c r="I51" s="144">
        <f>I49/I40</f>
        <v>86.452220090718143</v>
      </c>
      <c r="J51" s="139">
        <f>J49/J40</f>
        <v>83.521404835740654</v>
      </c>
      <c r="K51" s="140" t="s">
        <v>96</v>
      </c>
      <c r="L51" s="428"/>
      <c r="M51" s="429"/>
    </row>
    <row r="52" spans="1:13" ht="13.5" thickBot="1">
      <c r="A52" s="786" t="s">
        <v>29</v>
      </c>
      <c r="B52" s="787"/>
      <c r="C52" s="147">
        <f>SUM(C38:C51)</f>
        <v>571</v>
      </c>
      <c r="D52" s="147">
        <f>SUM(D38:D51)</f>
        <v>1664</v>
      </c>
      <c r="E52" s="148">
        <f>SUM(E38:E51)</f>
        <v>27.733333333333327</v>
      </c>
      <c r="F52" s="188"/>
      <c r="H52" s="194"/>
      <c r="I52" s="195"/>
      <c r="J52" s="141"/>
      <c r="K52" s="142"/>
      <c r="L52" s="435"/>
      <c r="M52" s="436"/>
    </row>
    <row r="53" spans="1:13" ht="13.5" thickBot="1">
      <c r="A53" s="788"/>
      <c r="B53" s="789"/>
      <c r="C53" s="149">
        <f>C52/(24*60)</f>
        <v>0.39652777777777776</v>
      </c>
      <c r="D53" s="149">
        <f>D52/(24*60*G4)</f>
        <v>0.19259259259259259</v>
      </c>
      <c r="E53" s="150">
        <f>E52/(G4*24)</f>
        <v>0.19259259259259254</v>
      </c>
      <c r="F53" s="188"/>
    </row>
    <row r="54" spans="1:13">
      <c r="E54" s="196"/>
      <c r="F54" s="188"/>
    </row>
    <row r="55" spans="1:13">
      <c r="E55" s="196"/>
    </row>
    <row r="56" spans="1:13">
      <c r="A56" s="197" t="s">
        <v>100</v>
      </c>
      <c r="B56" s="198"/>
      <c r="C56" s="199"/>
      <c r="D56" s="199"/>
      <c r="E56" s="199"/>
      <c r="F56" s="200"/>
      <c r="G56" s="199"/>
      <c r="H56" s="201"/>
      <c r="I56" s="202" t="s">
        <v>101</v>
      </c>
      <c r="J56" s="203">
        <f>+D34+'5'!J56</f>
        <v>690</v>
      </c>
      <c r="K56" s="204">
        <f>J56/(J40+J56/1000)/1000</f>
        <v>3.2331070158422241E-3</v>
      </c>
    </row>
    <row r="57" spans="1:13">
      <c r="A57" s="179"/>
      <c r="I57" s="202" t="s">
        <v>102</v>
      </c>
      <c r="J57" s="203">
        <f>+E34+'5'!J57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1"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61"/>
  <sheetViews>
    <sheetView view="pageBreakPreview" zoomScale="80" zoomScaleNormal="75" zoomScaleSheetLayoutView="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4" style="152" customWidth="1"/>
    <col min="12" max="12" width="8.28515625" style="152" customWidth="1"/>
    <col min="13" max="13" width="15.570312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5</v>
      </c>
      <c r="H4" s="157" t="str">
        <f>+'1'!H4</f>
        <v>.03.26</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1000</v>
      </c>
      <c r="P6" s="152">
        <f>+O6-(O6*0.23)</f>
        <v>770</v>
      </c>
      <c r="Q6" s="152">
        <v>480</v>
      </c>
      <c r="R6" s="152">
        <f t="shared" ref="R6:R7" si="0">+O6*Q6</f>
        <v>480000</v>
      </c>
      <c r="S6" s="152">
        <f t="shared" ref="S6:S7" si="1">+P6*Q6</f>
        <v>369600</v>
      </c>
    </row>
    <row r="7" spans="1:19" ht="13.5" customHeight="1" thickBot="1">
      <c r="A7" s="793" t="s">
        <v>430</v>
      </c>
      <c r="B7" s="218" t="s">
        <v>434</v>
      </c>
      <c r="C7" s="219">
        <v>14773</v>
      </c>
      <c r="D7" s="220"/>
      <c r="E7" s="221"/>
      <c r="F7" s="231">
        <v>2</v>
      </c>
      <c r="G7" s="232" t="s">
        <v>13</v>
      </c>
      <c r="H7" s="233" t="s">
        <v>453</v>
      </c>
      <c r="I7" s="796" t="s">
        <v>483</v>
      </c>
      <c r="J7" s="217" t="str">
        <f>+'4'!J7</f>
        <v>T 14 RC HW</v>
      </c>
      <c r="K7" s="241"/>
      <c r="L7" s="245"/>
      <c r="M7" s="120">
        <f>+K7+'4'!M7+L7</f>
        <v>41293</v>
      </c>
      <c r="R7" s="152">
        <f t="shared" si="0"/>
        <v>0</v>
      </c>
      <c r="S7" s="152">
        <f t="shared" si="1"/>
        <v>0</v>
      </c>
    </row>
    <row r="8" spans="1:19" ht="13.5" thickBot="1">
      <c r="A8" s="794"/>
      <c r="B8" s="218"/>
      <c r="C8" s="219"/>
      <c r="D8" s="220"/>
      <c r="E8" s="222"/>
      <c r="F8" s="234">
        <v>4</v>
      </c>
      <c r="G8" s="583" t="s">
        <v>13</v>
      </c>
      <c r="H8" s="233" t="s">
        <v>474</v>
      </c>
      <c r="I8" s="797"/>
      <c r="J8" s="217" t="str">
        <f>+'4'!J8</f>
        <v>T 15,5 RC HW</v>
      </c>
      <c r="K8" s="242">
        <f>+C7+C16+C25</f>
        <v>38416</v>
      </c>
      <c r="L8" s="242"/>
      <c r="M8" s="120">
        <f>+K8+'4'!M8+L8</f>
        <v>139937</v>
      </c>
    </row>
    <row r="9" spans="1:19" ht="13.5" thickBot="1">
      <c r="A9" s="794"/>
      <c r="B9" s="218"/>
      <c r="C9" s="219"/>
      <c r="D9" s="220"/>
      <c r="E9" s="223"/>
      <c r="F9" s="231">
        <v>4</v>
      </c>
      <c r="G9" s="583" t="s">
        <v>13</v>
      </c>
      <c r="H9" s="236" t="s">
        <v>456</v>
      </c>
      <c r="I9" s="797"/>
      <c r="J9" s="217" t="s">
        <v>501</v>
      </c>
      <c r="K9" s="242">
        <f>+C26</f>
        <v>4894</v>
      </c>
      <c r="L9" s="242"/>
      <c r="M9" s="120">
        <f>+K9+'4'!M9+L9</f>
        <v>4894</v>
      </c>
    </row>
    <row r="10" spans="1:19" ht="26.25" thickBot="1">
      <c r="A10" s="794"/>
      <c r="B10" s="218"/>
      <c r="C10" s="219"/>
      <c r="D10" s="220"/>
      <c r="E10" s="222"/>
      <c r="F10" s="231">
        <v>9</v>
      </c>
      <c r="G10" s="240" t="s">
        <v>14</v>
      </c>
      <c r="H10" s="236" t="s">
        <v>492</v>
      </c>
      <c r="I10" s="797"/>
      <c r="J10" s="217">
        <f>+'4'!J10</f>
        <v>0</v>
      </c>
      <c r="K10" s="242"/>
      <c r="L10" s="242"/>
      <c r="M10" s="120">
        <f>+K10+'4'!M10+L10</f>
        <v>0</v>
      </c>
    </row>
    <row r="11" spans="1:19" ht="26.25" thickBot="1">
      <c r="A11" s="794"/>
      <c r="B11" s="218"/>
      <c r="C11" s="219"/>
      <c r="D11" s="220"/>
      <c r="E11" s="222"/>
      <c r="F11" s="231">
        <v>15</v>
      </c>
      <c r="G11" s="235" t="s">
        <v>81</v>
      </c>
      <c r="H11" s="236" t="s">
        <v>493</v>
      </c>
      <c r="I11" s="797"/>
      <c r="J11" s="217">
        <f>+'4'!J11</f>
        <v>0</v>
      </c>
      <c r="K11" s="242"/>
      <c r="L11" s="242"/>
      <c r="M11" s="120">
        <f>+K11+'4'!M11+L11</f>
        <v>0</v>
      </c>
    </row>
    <row r="12" spans="1:19" ht="13.5" thickBot="1">
      <c r="A12" s="794"/>
      <c r="B12" s="218"/>
      <c r="C12" s="219"/>
      <c r="D12" s="220"/>
      <c r="E12" s="222"/>
      <c r="F12" s="231"/>
      <c r="G12" s="235"/>
      <c r="H12" s="236"/>
      <c r="I12" s="797"/>
      <c r="J12" s="217">
        <f>+'4'!J12</f>
        <v>0</v>
      </c>
      <c r="K12" s="242"/>
      <c r="L12" s="242"/>
      <c r="M12" s="120">
        <f>+K12+'4'!M12+L12</f>
        <v>0</v>
      </c>
    </row>
    <row r="13" spans="1:19" ht="13.5" thickBot="1">
      <c r="A13" s="794"/>
      <c r="B13" s="218"/>
      <c r="C13" s="219"/>
      <c r="D13" s="219"/>
      <c r="E13" s="222"/>
      <c r="F13" s="231"/>
      <c r="G13" s="583"/>
      <c r="H13" s="236"/>
      <c r="I13" s="798"/>
      <c r="J13" s="217">
        <f>+'4'!J13</f>
        <v>0</v>
      </c>
      <c r="K13" s="242"/>
      <c r="L13" s="242"/>
      <c r="M13" s="120">
        <f>+K13+'4'!M13+L13</f>
        <v>0</v>
      </c>
      <c r="Q13" s="179">
        <f>SUM(Q6:Q12)</f>
        <v>480</v>
      </c>
      <c r="R13" s="179">
        <f>SUM(R6:R12)</f>
        <v>480000</v>
      </c>
      <c r="S13" s="179">
        <f>SUM(S6:S12)</f>
        <v>369600</v>
      </c>
    </row>
    <row r="14" spans="1:19" ht="13.5" thickBot="1">
      <c r="A14" s="795"/>
      <c r="B14" s="168"/>
      <c r="C14" s="102">
        <f>SUM(C7:C13)</f>
        <v>14773</v>
      </c>
      <c r="D14" s="114">
        <f>SUM(D7:D13)</f>
        <v>0</v>
      </c>
      <c r="E14" s="115">
        <f>SUM(E5:E13)</f>
        <v>0</v>
      </c>
      <c r="F14" s="105">
        <f>SUM(F6:F13)</f>
        <v>34</v>
      </c>
      <c r="G14" s="162"/>
      <c r="H14" s="169"/>
      <c r="I14" s="170"/>
      <c r="J14" s="217">
        <f>+'4'!J14</f>
        <v>0</v>
      </c>
      <c r="K14" s="242"/>
      <c r="L14" s="242"/>
      <c r="M14" s="120">
        <f>+K14+'4'!M14+L14</f>
        <v>0</v>
      </c>
      <c r="Q14" s="152">
        <f>480-Q13</f>
        <v>0</v>
      </c>
      <c r="R14" s="179">
        <f>+R13/Q13</f>
        <v>1000</v>
      </c>
      <c r="S14" s="179">
        <f>+S13/Q13</f>
        <v>770</v>
      </c>
    </row>
    <row r="15" spans="1:19" ht="13.5" customHeight="1" thickBot="1">
      <c r="A15" s="793" t="s">
        <v>432</v>
      </c>
      <c r="B15" s="168"/>
      <c r="C15" s="116">
        <f>C14/($C$23+$D$23+$E$23)</f>
        <v>0.96606068532566047</v>
      </c>
      <c r="D15" s="117">
        <f>D14/($C$23+$D$23+$E$23)</f>
        <v>0</v>
      </c>
      <c r="E15" s="118">
        <f>E14/($C$23+$D$23+$E$23)</f>
        <v>0</v>
      </c>
      <c r="F15" s="231">
        <v>4</v>
      </c>
      <c r="G15" s="232" t="s">
        <v>13</v>
      </c>
      <c r="H15" s="233" t="s">
        <v>486</v>
      </c>
      <c r="I15" s="796" t="s">
        <v>483</v>
      </c>
      <c r="J15" s="217">
        <f>+'4'!J15</f>
        <v>0</v>
      </c>
      <c r="K15" s="242"/>
      <c r="L15" s="242"/>
      <c r="M15" s="120">
        <f>+K15+'4'!M15+L15</f>
        <v>0</v>
      </c>
      <c r="N15" s="152" t="s">
        <v>414</v>
      </c>
      <c r="O15" s="152">
        <v>1000</v>
      </c>
      <c r="P15" s="152">
        <f>+O15-(O15*0.23)</f>
        <v>770</v>
      </c>
      <c r="Q15" s="152">
        <v>480</v>
      </c>
      <c r="R15" s="152">
        <f t="shared" ref="R15:R16" si="2">+O15*Q15</f>
        <v>480000</v>
      </c>
      <c r="S15" s="152">
        <f t="shared" ref="S15:S16" si="3">+P15*Q15</f>
        <v>369600</v>
      </c>
    </row>
    <row r="16" spans="1:19" ht="13.5" thickBot="1">
      <c r="A16" s="799"/>
      <c r="B16" s="218" t="s">
        <v>434</v>
      </c>
      <c r="C16" s="225">
        <v>15292</v>
      </c>
      <c r="D16" s="226"/>
      <c r="E16" s="227"/>
      <c r="F16" s="234">
        <v>4</v>
      </c>
      <c r="G16" s="583" t="s">
        <v>13</v>
      </c>
      <c r="H16" s="233" t="s">
        <v>474</v>
      </c>
      <c r="I16" s="797"/>
      <c r="J16" s="217">
        <f>+'4'!J16</f>
        <v>0</v>
      </c>
      <c r="K16" s="232"/>
      <c r="L16" s="232"/>
      <c r="M16" s="120">
        <f>+K16+'4'!M16+L16</f>
        <v>0</v>
      </c>
      <c r="R16" s="152">
        <f t="shared" si="2"/>
        <v>0</v>
      </c>
      <c r="S16" s="152">
        <f t="shared" si="3"/>
        <v>0</v>
      </c>
    </row>
    <row r="17" spans="1:19" ht="13.5" thickBot="1">
      <c r="A17" s="799"/>
      <c r="B17" s="218"/>
      <c r="C17" s="219"/>
      <c r="D17" s="220"/>
      <c r="E17" s="228"/>
      <c r="F17" s="231">
        <v>3</v>
      </c>
      <c r="G17" s="583" t="s">
        <v>13</v>
      </c>
      <c r="H17" s="236" t="s">
        <v>456</v>
      </c>
      <c r="I17" s="797"/>
      <c r="J17" s="217">
        <f>+'4'!J17</f>
        <v>0</v>
      </c>
      <c r="K17" s="232"/>
      <c r="L17" s="232"/>
      <c r="M17" s="120">
        <f>+K17+'4'!M17+L17</f>
        <v>0</v>
      </c>
    </row>
    <row r="18" spans="1:19" ht="26.25" thickBot="1">
      <c r="A18" s="799"/>
      <c r="B18" s="218"/>
      <c r="C18" s="219"/>
      <c r="D18" s="220"/>
      <c r="E18" s="228"/>
      <c r="F18" s="238"/>
      <c r="G18" s="240" t="s">
        <v>14</v>
      </c>
      <c r="H18" s="236" t="s">
        <v>496</v>
      </c>
      <c r="I18" s="797"/>
      <c r="J18" s="217">
        <f>+'4'!J18</f>
        <v>0</v>
      </c>
      <c r="K18" s="242"/>
      <c r="L18" s="242"/>
      <c r="M18" s="120">
        <f>+K18+'4'!M18+L18</f>
        <v>0</v>
      </c>
    </row>
    <row r="19" spans="1:19" ht="13.5" thickBot="1">
      <c r="A19" s="799"/>
      <c r="B19" s="218"/>
      <c r="C19" s="219"/>
      <c r="D19" s="220"/>
      <c r="E19" s="228"/>
      <c r="F19" s="231"/>
      <c r="G19" s="235"/>
      <c r="H19" s="236"/>
      <c r="I19" s="797"/>
      <c r="J19" s="217">
        <f>+'4'!J19</f>
        <v>0</v>
      </c>
      <c r="K19" s="242"/>
      <c r="L19" s="242"/>
      <c r="M19" s="120">
        <f>+K19+'4'!M19+L19</f>
        <v>0</v>
      </c>
    </row>
    <row r="20" spans="1:19" ht="13.5" thickBot="1">
      <c r="A20" s="799"/>
      <c r="B20" s="218"/>
      <c r="C20" s="219"/>
      <c r="D20" s="220"/>
      <c r="E20" s="228"/>
      <c r="F20" s="231"/>
      <c r="G20" s="235"/>
      <c r="H20" s="236"/>
      <c r="I20" s="797"/>
      <c r="J20" s="217">
        <f>+'4'!J20</f>
        <v>0</v>
      </c>
      <c r="K20" s="243"/>
      <c r="L20" s="243"/>
      <c r="M20" s="120">
        <f>+K20+'4'!M20+L20</f>
        <v>0</v>
      </c>
    </row>
    <row r="21" spans="1:19" ht="13.5" thickBot="1">
      <c r="A21" s="799"/>
      <c r="B21" s="218"/>
      <c r="C21" s="219"/>
      <c r="D21" s="220"/>
      <c r="E21" s="228"/>
      <c r="F21" s="234"/>
      <c r="G21" s="235"/>
      <c r="H21" s="236"/>
      <c r="I21" s="797"/>
      <c r="J21" s="217">
        <f>+'4'!J21</f>
        <v>0</v>
      </c>
      <c r="K21" s="242"/>
      <c r="L21" s="242"/>
      <c r="M21" s="120">
        <f>+K21+'4'!M21+L21</f>
        <v>0</v>
      </c>
    </row>
    <row r="22" spans="1:19" ht="13.5" thickBot="1">
      <c r="A22" s="799"/>
      <c r="B22" s="218"/>
      <c r="C22" s="219"/>
      <c r="D22" s="220"/>
      <c r="E22" s="228"/>
      <c r="F22" s="239"/>
      <c r="G22" s="235"/>
      <c r="H22" s="236"/>
      <c r="I22" s="798"/>
      <c r="J22" s="217">
        <f>+'4'!J22</f>
        <v>0</v>
      </c>
      <c r="K22" s="242"/>
      <c r="L22" s="242"/>
      <c r="M22" s="120">
        <f>+K22+'4'!M22+L22</f>
        <v>0</v>
      </c>
      <c r="Q22" s="179">
        <f>SUM(Q15:Q21)</f>
        <v>480</v>
      </c>
      <c r="R22" s="179">
        <f>SUM(R15:R21)</f>
        <v>480000</v>
      </c>
      <c r="S22" s="179">
        <f>SUM(S15:S21)</f>
        <v>369600</v>
      </c>
    </row>
    <row r="23" spans="1:19" ht="13.5" thickBot="1">
      <c r="A23" s="800"/>
      <c r="B23" s="168"/>
      <c r="C23" s="103">
        <f>SUM(C16:C22)</f>
        <v>15292</v>
      </c>
      <c r="D23" s="114">
        <f>SUM(D16:D22)</f>
        <v>0</v>
      </c>
      <c r="E23" s="115">
        <f>SUM(E18:E22)</f>
        <v>0</v>
      </c>
      <c r="F23" s="105">
        <f>SUM(F15:F22)</f>
        <v>11</v>
      </c>
      <c r="G23" s="162"/>
      <c r="H23" s="169"/>
      <c r="I23" s="172"/>
      <c r="J23" s="217">
        <f>+'4'!J23</f>
        <v>0</v>
      </c>
      <c r="K23" s="242"/>
      <c r="L23" s="242"/>
      <c r="M23" s="120">
        <f>+K23+'4'!M23+L23</f>
        <v>0</v>
      </c>
      <c r="Q23" s="152">
        <f>480-Q22</f>
        <v>0</v>
      </c>
      <c r="R23" s="179">
        <f>+R22/Q22</f>
        <v>1000</v>
      </c>
      <c r="S23" s="179">
        <f>+S22/Q22</f>
        <v>770</v>
      </c>
    </row>
    <row r="24" spans="1:19" ht="13.5" customHeight="1" thickBot="1">
      <c r="A24" s="793" t="s">
        <v>477</v>
      </c>
      <c r="B24" s="173"/>
      <c r="C24" s="116">
        <f>C23/($C$23+$D$23+$E$23)</f>
        <v>1</v>
      </c>
      <c r="D24" s="117">
        <f>D23/($C$23+$D$23+$E$23)</f>
        <v>0</v>
      </c>
      <c r="E24" s="118">
        <f>E23/($C$23+$D$23+$E$23)</f>
        <v>0</v>
      </c>
      <c r="F24" s="231"/>
      <c r="G24" s="232" t="s">
        <v>13</v>
      </c>
      <c r="H24" s="233" t="s">
        <v>391</v>
      </c>
      <c r="I24" s="796" t="s">
        <v>483</v>
      </c>
      <c r="J24" s="217">
        <f>+'4'!J24</f>
        <v>0</v>
      </c>
      <c r="K24" s="242"/>
      <c r="L24" s="242"/>
      <c r="M24" s="120">
        <f>+K24+'4'!M24+L24</f>
        <v>0</v>
      </c>
      <c r="N24" s="152" t="s">
        <v>414</v>
      </c>
      <c r="O24" s="152">
        <v>1000</v>
      </c>
      <c r="P24" s="152">
        <f>+O24-(O24*0.23)</f>
        <v>770</v>
      </c>
      <c r="Q24" s="152">
        <f>60*2+57</f>
        <v>177</v>
      </c>
      <c r="R24" s="152">
        <f t="shared" ref="R24:R25" si="4">+O24*Q24</f>
        <v>177000</v>
      </c>
      <c r="S24" s="152">
        <f t="shared" ref="S24:S25" si="5">+P24*Q24</f>
        <v>136290</v>
      </c>
    </row>
    <row r="25" spans="1:19" ht="13.5" thickBot="1">
      <c r="A25" s="799"/>
      <c r="B25" s="218" t="s">
        <v>434</v>
      </c>
      <c r="C25" s="229">
        <v>8351</v>
      </c>
      <c r="D25" s="220"/>
      <c r="E25" s="228"/>
      <c r="F25" s="234">
        <v>6</v>
      </c>
      <c r="G25" s="583" t="s">
        <v>13</v>
      </c>
      <c r="H25" s="233" t="s">
        <v>452</v>
      </c>
      <c r="I25" s="797"/>
      <c r="J25" s="217">
        <f>+'4'!J25</f>
        <v>0</v>
      </c>
      <c r="K25" s="242"/>
      <c r="L25" s="242"/>
      <c r="M25" s="120">
        <f>+K25+'4'!M25+L25</f>
        <v>0</v>
      </c>
      <c r="N25" s="152" t="s">
        <v>497</v>
      </c>
      <c r="O25" s="152">
        <v>1000</v>
      </c>
      <c r="P25" s="152">
        <f>+O25-(O25*0.23)</f>
        <v>770</v>
      </c>
      <c r="Q25" s="152">
        <f>480-Q24</f>
        <v>303</v>
      </c>
      <c r="R25" s="152">
        <f t="shared" si="4"/>
        <v>303000</v>
      </c>
      <c r="S25" s="152">
        <f t="shared" si="5"/>
        <v>233310</v>
      </c>
    </row>
    <row r="26" spans="1:19" ht="13.5" thickBot="1">
      <c r="A26" s="799"/>
      <c r="B26" s="218" t="s">
        <v>501</v>
      </c>
      <c r="C26" s="229">
        <v>4894</v>
      </c>
      <c r="D26" s="220"/>
      <c r="E26" s="230"/>
      <c r="F26" s="231">
        <v>7</v>
      </c>
      <c r="G26" s="583" t="s">
        <v>13</v>
      </c>
      <c r="H26" s="236" t="s">
        <v>422</v>
      </c>
      <c r="I26" s="797"/>
      <c r="J26" s="217">
        <f>+'4'!J26</f>
        <v>0</v>
      </c>
      <c r="K26" s="242"/>
      <c r="L26" s="242"/>
      <c r="M26" s="120">
        <f>+K26+'4'!M26+L26</f>
        <v>0</v>
      </c>
    </row>
    <row r="27" spans="1:19" ht="26.25" thickBot="1">
      <c r="A27" s="799"/>
      <c r="B27" s="218"/>
      <c r="C27" s="219"/>
      <c r="D27" s="220"/>
      <c r="E27" s="228"/>
      <c r="F27" s="231">
        <v>8</v>
      </c>
      <c r="G27" s="240" t="s">
        <v>14</v>
      </c>
      <c r="H27" s="236" t="s">
        <v>494</v>
      </c>
      <c r="I27" s="797"/>
      <c r="J27" s="217">
        <f>+'4'!J27</f>
        <v>0</v>
      </c>
      <c r="K27" s="242"/>
      <c r="L27" s="242"/>
      <c r="M27" s="120">
        <f>+K27+'4'!M27+L27</f>
        <v>0</v>
      </c>
    </row>
    <row r="28" spans="1:19" ht="13.5" thickBot="1">
      <c r="A28" s="799"/>
      <c r="B28" s="218"/>
      <c r="C28" s="219"/>
      <c r="D28" s="220"/>
      <c r="E28" s="228"/>
      <c r="F28" s="234"/>
      <c r="G28" s="235"/>
      <c r="H28" s="236" t="s">
        <v>495</v>
      </c>
      <c r="I28" s="797"/>
      <c r="J28" s="217">
        <f>+'4'!J28</f>
        <v>0</v>
      </c>
      <c r="K28" s="242"/>
      <c r="L28" s="242"/>
      <c r="M28" s="120">
        <f>+K28+'4'!M28+L28</f>
        <v>0</v>
      </c>
    </row>
    <row r="29" spans="1:19" ht="13.5" thickBot="1">
      <c r="A29" s="799"/>
      <c r="B29" s="218"/>
      <c r="C29" s="219"/>
      <c r="D29" s="220"/>
      <c r="E29" s="228"/>
      <c r="F29" s="239"/>
      <c r="G29" s="235"/>
      <c r="H29" s="236"/>
      <c r="I29" s="797"/>
      <c r="J29" s="217">
        <f>+'4'!J29</f>
        <v>0</v>
      </c>
      <c r="K29" s="242"/>
      <c r="L29" s="242"/>
      <c r="M29" s="120">
        <f>+K29+'4'!M29+L29</f>
        <v>0</v>
      </c>
    </row>
    <row r="30" spans="1:19" ht="13.5" thickBot="1">
      <c r="A30" s="799"/>
      <c r="B30" s="218"/>
      <c r="C30" s="229"/>
      <c r="D30" s="220"/>
      <c r="E30" s="228"/>
      <c r="F30" s="239"/>
      <c r="G30" s="235"/>
      <c r="H30" s="236"/>
      <c r="I30" s="797"/>
      <c r="J30" s="217">
        <f>+'4'!J30</f>
        <v>0</v>
      </c>
      <c r="K30" s="242"/>
      <c r="L30" s="242"/>
      <c r="M30" s="120">
        <f>+K30+'4'!M30+L30</f>
        <v>0</v>
      </c>
    </row>
    <row r="31" spans="1:19" ht="13.5" thickBot="1">
      <c r="A31" s="799"/>
      <c r="B31" s="218"/>
      <c r="C31" s="229"/>
      <c r="D31" s="220"/>
      <c r="E31" s="228"/>
      <c r="F31" s="239"/>
      <c r="G31" s="240"/>
      <c r="H31" s="237"/>
      <c r="I31" s="798"/>
      <c r="J31" s="217">
        <f>+'4'!J31</f>
        <v>0</v>
      </c>
      <c r="K31" s="242"/>
      <c r="L31" s="242"/>
      <c r="M31" s="120">
        <f>+K31+'4'!M31+L31</f>
        <v>0</v>
      </c>
      <c r="Q31" s="179">
        <f>SUM(Q24:Q30)</f>
        <v>480</v>
      </c>
      <c r="R31" s="179">
        <f>SUM(R24:R30)</f>
        <v>480000</v>
      </c>
      <c r="S31" s="179">
        <f>SUM(S24:S30)</f>
        <v>369600</v>
      </c>
    </row>
    <row r="32" spans="1:19" ht="13.5" thickBot="1">
      <c r="A32" s="800"/>
      <c r="B32" s="168"/>
      <c r="C32" s="102">
        <f>SUM(C25:C31)</f>
        <v>13245</v>
      </c>
      <c r="D32" s="103">
        <f>SUM(D25:D31)</f>
        <v>0</v>
      </c>
      <c r="E32" s="104">
        <f>SUM(E25:E31)</f>
        <v>0</v>
      </c>
      <c r="F32" s="105">
        <f>SUM(F24:F31)</f>
        <v>21</v>
      </c>
      <c r="G32" s="174"/>
      <c r="H32" s="175"/>
      <c r="I32" s="172"/>
      <c r="J32" s="217">
        <f>+'4'!J32</f>
        <v>0</v>
      </c>
      <c r="K32" s="244"/>
      <c r="L32" s="246"/>
      <c r="M32" s="120">
        <f>+K32+'4'!M32+L32</f>
        <v>0</v>
      </c>
      <c r="Q32" s="152">
        <f>480-Q31</f>
        <v>0</v>
      </c>
      <c r="R32" s="179">
        <f>+R31/Q31</f>
        <v>1000</v>
      </c>
      <c r="S32" s="179">
        <f>+S31/Q31</f>
        <v>770</v>
      </c>
    </row>
    <row r="33" spans="1:17" ht="13.5" thickBot="1">
      <c r="A33" s="176"/>
      <c r="B33" s="177"/>
      <c r="C33" s="106">
        <f>C32/($C$32+$D$32+$E$32)</f>
        <v>1</v>
      </c>
      <c r="D33" s="107">
        <f>D32/($C$32+$D$32+$E$32)</f>
        <v>0</v>
      </c>
      <c r="E33" s="108">
        <f>E32/($C$32+$D$32+$E$32)</f>
        <v>0</v>
      </c>
      <c r="F33" s="109"/>
      <c r="G33" s="178"/>
      <c r="H33" s="179"/>
      <c r="I33" s="180"/>
      <c r="J33" s="124"/>
      <c r="K33" s="125"/>
      <c r="L33" s="216"/>
      <c r="M33" s="122"/>
    </row>
    <row r="34" spans="1:17" ht="13.5" thickBot="1">
      <c r="A34" s="801" t="s">
        <v>70</v>
      </c>
      <c r="B34" s="802"/>
      <c r="C34" s="110">
        <f>C14+C23+C32</f>
        <v>43310</v>
      </c>
      <c r="D34" s="110">
        <f>D14+D23+D32</f>
        <v>0</v>
      </c>
      <c r="E34" s="110">
        <f>E14+E23+E32</f>
        <v>0</v>
      </c>
      <c r="F34" s="111">
        <f>F14+F23+F32</f>
        <v>66</v>
      </c>
      <c r="H34" s="181"/>
      <c r="I34" s="181"/>
      <c r="J34" s="126" t="s">
        <v>29</v>
      </c>
      <c r="K34" s="127">
        <f>SUM(K7:K32)</f>
        <v>43310</v>
      </c>
      <c r="L34" s="215">
        <f>SUM(L7:L32)</f>
        <v>0</v>
      </c>
      <c r="M34" s="123">
        <f>SUM(M7:M32)</f>
        <v>186124</v>
      </c>
      <c r="N34" s="158"/>
    </row>
    <row r="35" spans="1:17" ht="13.5" thickBot="1">
      <c r="A35" s="182"/>
      <c r="B35" s="183"/>
      <c r="C35" s="107">
        <f>C34/($C$34+$D$34+$E$34)</f>
        <v>1</v>
      </c>
      <c r="D35" s="107">
        <f>D34/($C$34+$D$34+$E$34)</f>
        <v>0</v>
      </c>
      <c r="E35" s="112">
        <f>E34/($C$34+$D$34+$E$34)</f>
        <v>0</v>
      </c>
      <c r="K35" s="158"/>
      <c r="L35" s="792" t="s">
        <v>187</v>
      </c>
      <c r="M35" s="792"/>
      <c r="N35" s="152" t="s">
        <v>414</v>
      </c>
      <c r="O35" s="152">
        <v>1000</v>
      </c>
      <c r="P35" s="152">
        <v>770</v>
      </c>
      <c r="Q35" s="152">
        <f>480+480+177</f>
        <v>1137</v>
      </c>
    </row>
    <row r="36" spans="1:17" ht="13.5" thickBot="1">
      <c r="A36" s="181"/>
      <c r="B36" s="181"/>
      <c r="C36" s="158"/>
      <c r="D36" s="158"/>
      <c r="E36" s="158"/>
      <c r="G36" s="158"/>
      <c r="H36" s="184"/>
      <c r="I36" s="165" t="s">
        <v>41</v>
      </c>
      <c r="J36" s="165" t="s">
        <v>42</v>
      </c>
      <c r="K36" s="185"/>
      <c r="L36" s="165" t="s">
        <v>41</v>
      </c>
      <c r="M36" s="165" t="s">
        <v>42</v>
      </c>
      <c r="N36" s="152" t="s">
        <v>497</v>
      </c>
      <c r="O36" s="152">
        <v>1000</v>
      </c>
      <c r="P36" s="152">
        <v>770</v>
      </c>
      <c r="Q36" s="152">
        <v>303</v>
      </c>
    </row>
    <row r="37" spans="1:17" ht="17.45" customHeight="1" thickBot="1">
      <c r="A37" s="790" t="s">
        <v>71</v>
      </c>
      <c r="B37" s="791"/>
      <c r="C37" s="165" t="s">
        <v>72</v>
      </c>
      <c r="D37" s="186" t="s">
        <v>73</v>
      </c>
      <c r="E37" s="187" t="s">
        <v>74</v>
      </c>
      <c r="F37" s="365"/>
      <c r="G37" s="367"/>
      <c r="H37" s="189" t="s">
        <v>75</v>
      </c>
      <c r="I37" s="247">
        <f>(15.5*1137+13.5*303)/1440*G42*2.75*1440/1000000</f>
        <v>45.979394999999997</v>
      </c>
      <c r="J37" s="128">
        <f>+I37+'4'!J37</f>
        <v>205.90639798363787</v>
      </c>
      <c r="K37" s="129" t="s">
        <v>76</v>
      </c>
      <c r="L37" s="426"/>
      <c r="M37" s="427"/>
      <c r="Q37" s="152">
        <f>+Q35+Q36</f>
        <v>1440</v>
      </c>
    </row>
    <row r="38" spans="1:17" ht="17.45" customHeight="1">
      <c r="A38" s="786" t="s">
        <v>13</v>
      </c>
      <c r="B38" s="787"/>
      <c r="C38" s="167">
        <f>SUMIF($G$7:$G$31,"Process",$F$7:$F$31)</f>
        <v>34</v>
      </c>
      <c r="D38" s="121">
        <f>+C38+'4'!D38</f>
        <v>836</v>
      </c>
      <c r="E38" s="146">
        <f t="shared" ref="E38:E51" si="6">D38/60</f>
        <v>13.933333333333334</v>
      </c>
      <c r="F38" s="365">
        <v>1000</v>
      </c>
      <c r="G38" s="365">
        <v>770</v>
      </c>
      <c r="H38" s="190" t="s">
        <v>77</v>
      </c>
      <c r="I38" s="547">
        <f>13.823+15.874+6.266+6.517</f>
        <v>42.480000000000004</v>
      </c>
      <c r="J38" s="130">
        <f>+I38+'4'!J38</f>
        <v>189.10629999999998</v>
      </c>
      <c r="K38" s="131" t="s">
        <v>76</v>
      </c>
      <c r="L38" s="428"/>
      <c r="M38" s="429"/>
    </row>
    <row r="39" spans="1:17" ht="17.45" customHeight="1">
      <c r="A39" s="782" t="s">
        <v>14</v>
      </c>
      <c r="B39" s="783"/>
      <c r="C39" s="167">
        <f>SUMIF($G$7:$G$31,"Cleaning",$F$7:$F$31)</f>
        <v>17</v>
      </c>
      <c r="D39" s="121">
        <f>+C39+'4'!D39</f>
        <v>72</v>
      </c>
      <c r="E39" s="146">
        <f t="shared" si="6"/>
        <v>1.2</v>
      </c>
      <c r="F39" s="365">
        <v>1000</v>
      </c>
      <c r="G39" s="365">
        <v>770</v>
      </c>
      <c r="H39" s="190" t="s">
        <v>78</v>
      </c>
      <c r="I39" s="145"/>
      <c r="J39" s="132">
        <f>J37/G4</f>
        <v>41.181279596727578</v>
      </c>
      <c r="K39" s="133" t="s">
        <v>76</v>
      </c>
      <c r="L39" s="428"/>
      <c r="M39" s="429"/>
    </row>
    <row r="40" spans="1:17" ht="17.45" customHeight="1">
      <c r="A40" s="782" t="s">
        <v>79</v>
      </c>
      <c r="B40" s="783"/>
      <c r="C40" s="167">
        <f>SUMIF($G$7:$G$31,"Mechanical",$F$7:$F$31)</f>
        <v>0</v>
      </c>
      <c r="D40" s="121">
        <f>+C40+'4'!D40</f>
        <v>120</v>
      </c>
      <c r="E40" s="146">
        <f t="shared" si="6"/>
        <v>2</v>
      </c>
      <c r="F40" s="365">
        <v>1000</v>
      </c>
      <c r="G40" s="365">
        <v>770</v>
      </c>
      <c r="H40" s="190" t="s">
        <v>80</v>
      </c>
      <c r="I40" s="121">
        <f>(K34+L34)/1000</f>
        <v>43.31</v>
      </c>
      <c r="J40" s="134">
        <f>+I40+'4'!J40</f>
        <v>186.12400000000002</v>
      </c>
      <c r="K40" s="133" t="s">
        <v>76</v>
      </c>
      <c r="L40" s="428"/>
      <c r="M40" s="429"/>
    </row>
    <row r="41" spans="1:17" ht="17.45" customHeight="1">
      <c r="A41" s="782" t="s">
        <v>81</v>
      </c>
      <c r="B41" s="783"/>
      <c r="C41" s="167">
        <f>SUMIF($G$7:$G$31,"Electrical",$F$7:$F$31)</f>
        <v>15</v>
      </c>
      <c r="D41" s="121">
        <f>+C41+'4'!D41</f>
        <v>65</v>
      </c>
      <c r="E41" s="146">
        <f t="shared" si="6"/>
        <v>1.0833333333333333</v>
      </c>
      <c r="F41" s="365"/>
      <c r="G41" s="365"/>
      <c r="H41" s="190" t="s">
        <v>82</v>
      </c>
      <c r="I41" s="145"/>
      <c r="J41" s="132">
        <f>J40/G4</f>
        <v>37.224800000000002</v>
      </c>
      <c r="K41" s="133" t="s">
        <v>76</v>
      </c>
      <c r="L41" s="428"/>
      <c r="M41" s="429"/>
    </row>
    <row r="42" spans="1:17" ht="17.45" customHeight="1">
      <c r="A42" s="782" t="s">
        <v>17</v>
      </c>
      <c r="B42" s="783"/>
      <c r="C42" s="167">
        <f>SUMIF($G$7:$G$31,"Instrument",$F$7:$F$31)</f>
        <v>0</v>
      </c>
      <c r="D42" s="121">
        <f>+C42+'4'!D42</f>
        <v>0</v>
      </c>
      <c r="E42" s="146">
        <f t="shared" si="6"/>
        <v>0</v>
      </c>
      <c r="F42" s="365">
        <f>+(480*F38+480*F39+480*F40)/1440</f>
        <v>1000</v>
      </c>
      <c r="G42" s="365">
        <f>+(480*G38+480*G39+480*G40)/1440</f>
        <v>770</v>
      </c>
      <c r="H42" s="190" t="s">
        <v>83</v>
      </c>
      <c r="I42" s="249" t="s">
        <v>483</v>
      </c>
      <c r="J42" s="135"/>
      <c r="K42" s="133" t="s">
        <v>84</v>
      </c>
      <c r="L42" s="428"/>
      <c r="M42" s="429"/>
    </row>
    <row r="43" spans="1:17" ht="17.45" customHeight="1">
      <c r="A43" s="782" t="s">
        <v>85</v>
      </c>
      <c r="B43" s="783"/>
      <c r="C43" s="167">
        <f>SUMIF($G$7:$G$31,"Water",$F$7:$F$31)</f>
        <v>0</v>
      </c>
      <c r="D43" s="121">
        <f>+C43+'4'!D43</f>
        <v>0</v>
      </c>
      <c r="E43" s="146">
        <f t="shared" si="6"/>
        <v>0</v>
      </c>
      <c r="F43" s="365"/>
      <c r="G43" s="366"/>
      <c r="H43" s="191" t="s">
        <v>86</v>
      </c>
      <c r="I43" s="121">
        <f>+Report1!AH13</f>
        <v>64.3</v>
      </c>
      <c r="J43" s="136">
        <f>+I43+'4'!J43</f>
        <v>295.10000000000002</v>
      </c>
      <c r="K43" s="133" t="s">
        <v>76</v>
      </c>
      <c r="L43" s="430">
        <f>+Report1!AN13</f>
        <v>0</v>
      </c>
      <c r="M43" s="431">
        <f>+L43+'4'!M43</f>
        <v>0</v>
      </c>
    </row>
    <row r="44" spans="1:17" ht="17.45" customHeight="1">
      <c r="A44" s="782" t="s">
        <v>18</v>
      </c>
      <c r="B44" s="783"/>
      <c r="C44" s="167">
        <f>SUMIF($G$7:$G$31,"PLN",$F$7:$F$31)</f>
        <v>0</v>
      </c>
      <c r="D44" s="121">
        <f>+C44+'4'!D44</f>
        <v>0</v>
      </c>
      <c r="E44" s="146">
        <f t="shared" si="6"/>
        <v>0</v>
      </c>
      <c r="F44" s="365"/>
      <c r="G44" s="366"/>
      <c r="H44" s="191" t="s">
        <v>87</v>
      </c>
      <c r="I44" s="121">
        <f>I43/I38</f>
        <v>1.5136534839924669</v>
      </c>
      <c r="J44" s="137">
        <f>J43/J38</f>
        <v>1.5604979844669378</v>
      </c>
      <c r="K44" s="133" t="s">
        <v>76</v>
      </c>
      <c r="L44" s="432">
        <f>+L43/I38</f>
        <v>0</v>
      </c>
      <c r="M44" s="433">
        <f>+M43/J38</f>
        <v>0</v>
      </c>
    </row>
    <row r="45" spans="1:17" ht="17.45" customHeight="1">
      <c r="A45" s="782" t="s">
        <v>19</v>
      </c>
      <c r="B45" s="783"/>
      <c r="C45" s="167">
        <f>SUMIF($G$7:$G$31,"Boiler",$F$7:$F$31)</f>
        <v>0</v>
      </c>
      <c r="D45" s="121">
        <f>+C45+'4'!D45</f>
        <v>0</v>
      </c>
      <c r="E45" s="146">
        <f t="shared" si="6"/>
        <v>0</v>
      </c>
      <c r="F45" s="365"/>
      <c r="G45" s="368"/>
      <c r="H45" s="191" t="s">
        <v>88</v>
      </c>
      <c r="I45" s="121">
        <f>I43/I40</f>
        <v>1.4846455783883628</v>
      </c>
      <c r="J45" s="137">
        <f>J43/J40</f>
        <v>1.5855021383593733</v>
      </c>
      <c r="K45" s="133" t="s">
        <v>76</v>
      </c>
      <c r="L45" s="432">
        <f>+L43/I40</f>
        <v>0</v>
      </c>
      <c r="M45" s="433">
        <f>+M43/J40</f>
        <v>0</v>
      </c>
    </row>
    <row r="46" spans="1:17" ht="17.45" customHeight="1">
      <c r="A46" s="782" t="s">
        <v>89</v>
      </c>
      <c r="B46" s="783"/>
      <c r="C46" s="167">
        <f>SUMIF($G$7:$G$31,"Gas",$F$7:$F$31)</f>
        <v>0</v>
      </c>
      <c r="D46" s="121">
        <f>+C46+'4'!D46</f>
        <v>0</v>
      </c>
      <c r="E46" s="146">
        <f t="shared" si="6"/>
        <v>0</v>
      </c>
      <c r="F46" s="365"/>
      <c r="G46" s="366"/>
      <c r="H46" s="191" t="s">
        <v>90</v>
      </c>
      <c r="I46" s="143">
        <f>+SUMIF(Listrik!P12,"&gt;0")</f>
        <v>39057.419999999991</v>
      </c>
      <c r="J46" s="138">
        <f>+I46+'4'!J46</f>
        <v>178110.35999999993</v>
      </c>
      <c r="K46" s="133" t="s">
        <v>91</v>
      </c>
      <c r="L46" s="432">
        <f>+Listrik!AF12</f>
        <v>0</v>
      </c>
      <c r="M46" s="434">
        <f>+L46+'4'!M46</f>
        <v>0</v>
      </c>
    </row>
    <row r="47" spans="1:17" ht="17.45" customHeight="1">
      <c r="A47" s="782" t="s">
        <v>92</v>
      </c>
      <c r="B47" s="783"/>
      <c r="C47" s="167">
        <f>SUMIF($G$7:$G$31,"Gas",$F$7:$F$31)</f>
        <v>0</v>
      </c>
      <c r="D47" s="121">
        <f>+C47+'4'!D47</f>
        <v>0</v>
      </c>
      <c r="E47" s="146">
        <f t="shared" si="6"/>
        <v>0</v>
      </c>
      <c r="F47" s="365"/>
      <c r="G47" s="366"/>
      <c r="H47" s="191" t="s">
        <v>93</v>
      </c>
      <c r="I47" s="121">
        <f>I46/I38</f>
        <v>919.43079096045165</v>
      </c>
      <c r="J47" s="138">
        <f>J46/J38</f>
        <v>941.85312705076433</v>
      </c>
      <c r="K47" s="133" t="s">
        <v>25</v>
      </c>
      <c r="L47" s="432">
        <f>+L46/I38</f>
        <v>0</v>
      </c>
      <c r="M47" s="433">
        <f>+M46/J38</f>
        <v>0</v>
      </c>
    </row>
    <row r="48" spans="1:17" ht="17.45" customHeight="1">
      <c r="A48" s="782" t="s">
        <v>15</v>
      </c>
      <c r="B48" s="783"/>
      <c r="C48" s="167">
        <f>SUMIF($G$7:$G$31,"Start Up",$F$7:$F$31)</f>
        <v>0</v>
      </c>
      <c r="D48" s="121">
        <f>+C48+'4'!D48</f>
        <v>0</v>
      </c>
      <c r="E48" s="146">
        <f t="shared" si="6"/>
        <v>0</v>
      </c>
      <c r="F48" s="365"/>
      <c r="G48" s="366"/>
      <c r="H48" s="191" t="s">
        <v>94</v>
      </c>
      <c r="I48" s="121">
        <f>I46/I40</f>
        <v>901.81066728238261</v>
      </c>
      <c r="J48" s="138">
        <f>J46/J40</f>
        <v>956.94461756678288</v>
      </c>
      <c r="K48" s="133" t="s">
        <v>25</v>
      </c>
      <c r="L48" s="432">
        <f>+L46/I38</f>
        <v>0</v>
      </c>
      <c r="M48" s="433">
        <f>+M46/J40</f>
        <v>0</v>
      </c>
    </row>
    <row r="49" spans="1:13" ht="17.45" customHeight="1">
      <c r="A49" s="782" t="s">
        <v>21</v>
      </c>
      <c r="B49" s="783"/>
      <c r="C49" s="167">
        <f>SUMIF($G$7:$G$31,"Others",$F$7:$F$31)</f>
        <v>0</v>
      </c>
      <c r="D49" s="121">
        <f>+C49+'4'!D49</f>
        <v>0</v>
      </c>
      <c r="E49" s="146">
        <f t="shared" si="6"/>
        <v>0</v>
      </c>
      <c r="F49" s="188"/>
      <c r="H49" s="191" t="s">
        <v>182</v>
      </c>
      <c r="I49" s="121">
        <f>+Report1!AB13</f>
        <v>4091.4502893290778</v>
      </c>
      <c r="J49" s="138">
        <f>+I49+'4'!J49</f>
        <v>15467.369475419229</v>
      </c>
      <c r="K49" s="133" t="s">
        <v>96</v>
      </c>
      <c r="L49" s="428"/>
      <c r="M49" s="429"/>
    </row>
    <row r="50" spans="1:13" ht="17.45" customHeight="1">
      <c r="A50" s="782" t="s">
        <v>20</v>
      </c>
      <c r="B50" s="783"/>
      <c r="C50" s="167">
        <f>SUMIF($G$7:$G$31,"Steam",$F$7:$F$31)</f>
        <v>0</v>
      </c>
      <c r="D50" s="121">
        <f>+C50+'4'!D50</f>
        <v>0</v>
      </c>
      <c r="E50" s="146">
        <f t="shared" si="6"/>
        <v>0</v>
      </c>
      <c r="F50" s="188"/>
      <c r="H50" s="191" t="s">
        <v>97</v>
      </c>
      <c r="I50" s="143">
        <f>I49/I38</f>
        <v>96.314743157464164</v>
      </c>
      <c r="J50" s="136">
        <f>J49/J38</f>
        <v>81.791931180607051</v>
      </c>
      <c r="K50" s="133" t="s">
        <v>96</v>
      </c>
      <c r="L50" s="428"/>
      <c r="M50" s="429"/>
    </row>
    <row r="51" spans="1:13" ht="17.45" customHeight="1" thickBot="1">
      <c r="A51" s="784" t="s">
        <v>98</v>
      </c>
      <c r="B51" s="785"/>
      <c r="C51" s="167">
        <f>SUMIF($G$7:$G$31,"Planned shut",$F$7:$F$31)</f>
        <v>0</v>
      </c>
      <c r="D51" s="121">
        <f>+C51+'4'!D51</f>
        <v>0</v>
      </c>
      <c r="E51" s="146">
        <f t="shared" si="6"/>
        <v>0</v>
      </c>
      <c r="F51" s="188"/>
      <c r="H51" s="193" t="s">
        <v>99</v>
      </c>
      <c r="I51" s="144">
        <f>I49/I40</f>
        <v>94.468951496861635</v>
      </c>
      <c r="J51" s="139">
        <f>J49/J40</f>
        <v>83.102498739653285</v>
      </c>
      <c r="K51" s="140" t="s">
        <v>96</v>
      </c>
      <c r="L51" s="428"/>
      <c r="M51" s="429"/>
    </row>
    <row r="52" spans="1:13" ht="13.5" thickBot="1">
      <c r="A52" s="786" t="s">
        <v>29</v>
      </c>
      <c r="B52" s="787"/>
      <c r="C52" s="147">
        <f>SUM(C38:C51)</f>
        <v>66</v>
      </c>
      <c r="D52" s="147">
        <f>SUM(D38:D51)</f>
        <v>1093</v>
      </c>
      <c r="E52" s="148">
        <f>SUM(E38:E51)</f>
        <v>18.216666666666665</v>
      </c>
      <c r="F52" s="188"/>
      <c r="H52" s="194"/>
      <c r="I52" s="195"/>
      <c r="J52" s="141"/>
      <c r="K52" s="142"/>
      <c r="L52" s="435"/>
      <c r="M52" s="436"/>
    </row>
    <row r="53" spans="1:13" ht="13.5" thickBot="1">
      <c r="A53" s="788"/>
      <c r="B53" s="789"/>
      <c r="C53" s="149">
        <f>C52/(24*60)</f>
        <v>4.583333333333333E-2</v>
      </c>
      <c r="D53" s="149">
        <f>D52/(24*60*G4)</f>
        <v>0.15180555555555555</v>
      </c>
      <c r="E53" s="150">
        <f>E52/(G4*24)</f>
        <v>0.15180555555555555</v>
      </c>
      <c r="F53" s="188"/>
    </row>
    <row r="54" spans="1:13">
      <c r="E54" s="196"/>
      <c r="F54" s="188"/>
    </row>
    <row r="55" spans="1:13">
      <c r="E55" s="196"/>
    </row>
    <row r="56" spans="1:13">
      <c r="A56" s="197" t="s">
        <v>100</v>
      </c>
      <c r="B56" s="198"/>
      <c r="C56" s="199"/>
      <c r="D56" s="199"/>
      <c r="E56" s="199"/>
      <c r="F56" s="200"/>
      <c r="G56" s="199"/>
      <c r="H56" s="201"/>
      <c r="I56" s="202" t="s">
        <v>101</v>
      </c>
      <c r="J56" s="203">
        <f>+D34+'4'!J56</f>
        <v>690</v>
      </c>
      <c r="K56" s="204">
        <f>J56/(J40+J56/1000)/1000</f>
        <v>3.6935133341184272E-3</v>
      </c>
    </row>
    <row r="57" spans="1:13">
      <c r="A57" s="179"/>
      <c r="I57" s="202" t="s">
        <v>102</v>
      </c>
      <c r="J57" s="203">
        <f>+E34+'4'!J57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1" type="noConversion"/>
  <printOptions horizontalCentered="1"/>
  <pageMargins left="0.17" right="0.16" top="0.17" bottom="0.14027777777777778" header="0" footer="0"/>
  <pageSetup paperSize="9" scale="60"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Z61"/>
  <sheetViews>
    <sheetView view="pageBreakPreview" topLeftCell="G1" zoomScale="80" zoomScaleNormal="75" zoomScaleSheetLayoutView="80" workbookViewId="0">
      <selection activeCell="N24" sqref="N24:S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4" style="152" bestFit="1" customWidth="1"/>
    <col min="12" max="12" width="8.28515625" style="152" customWidth="1"/>
    <col min="13" max="13" width="14.5703125" style="152" bestFit="1"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4</v>
      </c>
      <c r="H4" s="157" t="str">
        <f>+'5'!H4</f>
        <v>.03.26</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413</v>
      </c>
      <c r="O6" s="152">
        <v>1000</v>
      </c>
      <c r="P6" s="152">
        <f>+O6-(O6*0.24)</f>
        <v>760</v>
      </c>
      <c r="Q6" s="152">
        <f>60*4+7</f>
        <v>247</v>
      </c>
      <c r="R6" s="152">
        <f t="shared" ref="R6:R7" si="0">+O6*Q6</f>
        <v>247000</v>
      </c>
      <c r="S6" s="152">
        <f t="shared" ref="S6:S7" si="1">+P6*Q6</f>
        <v>187720</v>
      </c>
    </row>
    <row r="7" spans="1:26" ht="13.5" customHeight="1" thickBot="1">
      <c r="A7" s="793" t="s">
        <v>430</v>
      </c>
      <c r="B7" s="218" t="s">
        <v>433</v>
      </c>
      <c r="C7" s="219">
        <v>10941</v>
      </c>
      <c r="D7" s="220"/>
      <c r="E7" s="221"/>
      <c r="F7" s="231">
        <v>1</v>
      </c>
      <c r="G7" s="232" t="s">
        <v>13</v>
      </c>
      <c r="H7" s="233" t="s">
        <v>453</v>
      </c>
      <c r="I7" s="796" t="s">
        <v>417</v>
      </c>
      <c r="J7" s="217" t="str">
        <f>+'3'!J7</f>
        <v>T 14 RC HW</v>
      </c>
      <c r="K7" s="241">
        <f>+C7</f>
        <v>10941</v>
      </c>
      <c r="L7" s="245"/>
      <c r="M7" s="120">
        <f>+K7+'3'!M7+L7</f>
        <v>41293</v>
      </c>
      <c r="N7" s="152" t="s">
        <v>414</v>
      </c>
      <c r="O7" s="152">
        <v>1000</v>
      </c>
      <c r="P7" s="152">
        <f>+O7-(O7*0.24)</f>
        <v>760</v>
      </c>
      <c r="Q7" s="152">
        <f>60-7+180</f>
        <v>233</v>
      </c>
      <c r="R7" s="152">
        <f t="shared" si="0"/>
        <v>233000</v>
      </c>
      <c r="S7" s="152">
        <f t="shared" si="1"/>
        <v>177080</v>
      </c>
      <c r="U7" s="152" t="s">
        <v>414</v>
      </c>
      <c r="V7" s="152">
        <v>1000</v>
      </c>
      <c r="W7" s="152">
        <v>760</v>
      </c>
      <c r="X7" s="152">
        <v>233</v>
      </c>
      <c r="Y7" s="152">
        <f t="shared" ref="Y7:Y10" si="2">+V7*X7</f>
        <v>233000</v>
      </c>
      <c r="Z7" s="152">
        <f t="shared" ref="Z7:Z10" si="3">+W7*X7</f>
        <v>177080</v>
      </c>
    </row>
    <row r="8" spans="1:26" ht="13.5" thickBot="1">
      <c r="A8" s="794"/>
      <c r="B8" s="218" t="s">
        <v>434</v>
      </c>
      <c r="C8" s="219">
        <v>3773</v>
      </c>
      <c r="D8" s="220"/>
      <c r="E8" s="222"/>
      <c r="F8" s="234">
        <v>6</v>
      </c>
      <c r="G8" s="583" t="s">
        <v>13</v>
      </c>
      <c r="H8" s="233" t="s">
        <v>452</v>
      </c>
      <c r="I8" s="797"/>
      <c r="J8" s="217" t="str">
        <f>+'3'!J8</f>
        <v>T 15,5 RC HW</v>
      </c>
      <c r="K8" s="242">
        <f>+C8+C16+C25</f>
        <v>27151</v>
      </c>
      <c r="L8" s="242"/>
      <c r="M8" s="120">
        <f>+K8+'3'!M8+L8</f>
        <v>101521</v>
      </c>
      <c r="U8" s="152" t="s">
        <v>414</v>
      </c>
      <c r="V8" s="152">
        <v>1000</v>
      </c>
      <c r="W8" s="152">
        <v>760</v>
      </c>
      <c r="X8" s="152">
        <v>115</v>
      </c>
      <c r="Y8" s="152">
        <f t="shared" si="2"/>
        <v>115000</v>
      </c>
      <c r="Z8" s="152">
        <f t="shared" si="3"/>
        <v>87400</v>
      </c>
    </row>
    <row r="9" spans="1:26" ht="13.5" thickBot="1">
      <c r="A9" s="794"/>
      <c r="B9" s="218"/>
      <c r="C9" s="219"/>
      <c r="D9" s="220"/>
      <c r="E9" s="223"/>
      <c r="F9" s="231">
        <v>4</v>
      </c>
      <c r="G9" s="583" t="s">
        <v>13</v>
      </c>
      <c r="H9" s="236" t="s">
        <v>421</v>
      </c>
      <c r="I9" s="797"/>
      <c r="J9" s="217">
        <f>+'3'!J9</f>
        <v>0</v>
      </c>
      <c r="K9" s="242"/>
      <c r="L9" s="242"/>
      <c r="M9" s="120">
        <f>+K9+'3'!M9+L9</f>
        <v>0</v>
      </c>
      <c r="U9" s="152" t="s">
        <v>414</v>
      </c>
      <c r="V9" s="152">
        <v>1000</v>
      </c>
      <c r="W9" s="152">
        <v>760</v>
      </c>
      <c r="X9" s="152">
        <v>195</v>
      </c>
      <c r="Y9" s="152">
        <f t="shared" si="2"/>
        <v>195000</v>
      </c>
      <c r="Z9" s="152">
        <f t="shared" si="3"/>
        <v>148200</v>
      </c>
    </row>
    <row r="10" spans="1:26" ht="26.25" thickBot="1">
      <c r="A10" s="794"/>
      <c r="B10" s="218"/>
      <c r="C10" s="219"/>
      <c r="D10" s="220"/>
      <c r="E10" s="222"/>
      <c r="F10" s="231">
        <v>9</v>
      </c>
      <c r="G10" s="240" t="s">
        <v>14</v>
      </c>
      <c r="H10" s="236" t="s">
        <v>481</v>
      </c>
      <c r="I10" s="797"/>
      <c r="J10" s="217">
        <f>+'3'!J10</f>
        <v>0</v>
      </c>
      <c r="K10" s="242"/>
      <c r="L10" s="242"/>
      <c r="M10" s="120">
        <f>+K10+'3'!M10+L10</f>
        <v>0</v>
      </c>
      <c r="U10" s="152" t="s">
        <v>414</v>
      </c>
      <c r="V10" s="152">
        <v>1000</v>
      </c>
      <c r="W10" s="152">
        <v>770</v>
      </c>
      <c r="X10" s="152">
        <v>480</v>
      </c>
      <c r="Y10" s="152">
        <f t="shared" si="2"/>
        <v>480000</v>
      </c>
      <c r="Z10" s="152">
        <f t="shared" si="3"/>
        <v>369600</v>
      </c>
    </row>
    <row r="11" spans="1:26" ht="13.5" thickBot="1">
      <c r="A11" s="794"/>
      <c r="B11" s="218"/>
      <c r="C11" s="219"/>
      <c r="D11" s="220"/>
      <c r="E11" s="222"/>
      <c r="F11" s="231"/>
      <c r="G11" s="235"/>
      <c r="H11" s="236" t="s">
        <v>482</v>
      </c>
      <c r="I11" s="797"/>
      <c r="J11" s="217">
        <f>+'3'!J11</f>
        <v>0</v>
      </c>
      <c r="K11" s="242"/>
      <c r="L11" s="242"/>
      <c r="M11" s="120">
        <f>+K11+'3'!M11+L11</f>
        <v>0</v>
      </c>
    </row>
    <row r="12" spans="1:26" ht="13.5" thickBot="1">
      <c r="A12" s="794"/>
      <c r="B12" s="218"/>
      <c r="C12" s="219"/>
      <c r="D12" s="220"/>
      <c r="E12" s="222"/>
      <c r="F12" s="231"/>
      <c r="G12" s="235"/>
      <c r="H12" s="236"/>
      <c r="I12" s="797"/>
      <c r="J12" s="217">
        <f>+'3'!J12</f>
        <v>0</v>
      </c>
      <c r="K12" s="242"/>
      <c r="L12" s="242"/>
      <c r="M12" s="120">
        <f>+K12+'3'!M12+L12</f>
        <v>0</v>
      </c>
    </row>
    <row r="13" spans="1:26" ht="13.5" thickBot="1">
      <c r="A13" s="794"/>
      <c r="B13" s="218"/>
      <c r="C13" s="219"/>
      <c r="D13" s="219"/>
      <c r="E13" s="222"/>
      <c r="F13" s="231"/>
      <c r="G13" s="583"/>
      <c r="H13" s="236"/>
      <c r="I13" s="798"/>
      <c r="J13" s="217">
        <f>+'3'!J13</f>
        <v>0</v>
      </c>
      <c r="K13" s="242"/>
      <c r="L13" s="242"/>
      <c r="M13" s="120">
        <f>+K13+'3'!M13+L13</f>
        <v>0</v>
      </c>
      <c r="Q13" s="179">
        <f>SUM(Q6:Q12)</f>
        <v>480</v>
      </c>
      <c r="R13" s="179">
        <f>SUM(R6:R12)</f>
        <v>480000</v>
      </c>
      <c r="S13" s="179">
        <f>SUM(S6:S12)</f>
        <v>364800</v>
      </c>
      <c r="X13" s="179">
        <f>SUM(X7:X12)</f>
        <v>1023</v>
      </c>
      <c r="Y13" s="179">
        <f>SUM(Y7:Y12)</f>
        <v>1023000</v>
      </c>
      <c r="Z13" s="179">
        <f>SUM(Z7:Z12)</f>
        <v>782280</v>
      </c>
    </row>
    <row r="14" spans="1:26" ht="13.5" thickBot="1">
      <c r="A14" s="795"/>
      <c r="B14" s="168"/>
      <c r="C14" s="102">
        <f>SUM(C7:C13)</f>
        <v>14714</v>
      </c>
      <c r="D14" s="114">
        <f>SUM(D7:D13)</f>
        <v>0</v>
      </c>
      <c r="E14" s="115">
        <f>SUM(E5:E13)</f>
        <v>0</v>
      </c>
      <c r="F14" s="105">
        <f>SUM(F6:F13)</f>
        <v>20</v>
      </c>
      <c r="G14" s="162"/>
      <c r="H14" s="169"/>
      <c r="I14" s="170"/>
      <c r="J14" s="217">
        <f>+'3'!J14</f>
        <v>0</v>
      </c>
      <c r="K14" s="242"/>
      <c r="L14" s="242"/>
      <c r="M14" s="120">
        <f>+K14+'3'!M14+L14</f>
        <v>0</v>
      </c>
      <c r="Q14" s="152">
        <f>480-Q13</f>
        <v>0</v>
      </c>
      <c r="R14" s="179">
        <f>+R13/Q13</f>
        <v>1000</v>
      </c>
      <c r="S14" s="179">
        <f>+S13/Q13</f>
        <v>760</v>
      </c>
      <c r="X14" s="152">
        <f>480-X13</f>
        <v>-543</v>
      </c>
      <c r="Y14" s="179">
        <f>+Y13/X13</f>
        <v>1000</v>
      </c>
      <c r="Z14" s="179">
        <f>+Z13/X13</f>
        <v>764.692082111437</v>
      </c>
    </row>
    <row r="15" spans="1:26" ht="13.5" customHeight="1" thickBot="1">
      <c r="A15" s="793" t="s">
        <v>431</v>
      </c>
      <c r="B15" s="168"/>
      <c r="C15" s="116">
        <f>C14/($C$23+$D$23+$E$23)</f>
        <v>1.6343441075197156</v>
      </c>
      <c r="D15" s="117">
        <f>D14/($C$23+$D$23+$E$23)</f>
        <v>0</v>
      </c>
      <c r="E15" s="118">
        <f>E14/($C$23+$D$23+$E$23)</f>
        <v>0</v>
      </c>
      <c r="F15" s="231">
        <v>4</v>
      </c>
      <c r="G15" s="232" t="s">
        <v>13</v>
      </c>
      <c r="H15" s="233" t="s">
        <v>486</v>
      </c>
      <c r="I15" s="796" t="s">
        <v>417</v>
      </c>
      <c r="J15" s="217">
        <f>+'3'!J15</f>
        <v>0</v>
      </c>
      <c r="K15" s="242"/>
      <c r="L15" s="242"/>
      <c r="M15" s="120">
        <f>+K15+'3'!M15+L15</f>
        <v>0</v>
      </c>
      <c r="N15" s="152" t="s">
        <v>414</v>
      </c>
      <c r="O15" s="152">
        <v>1000</v>
      </c>
      <c r="P15" s="152">
        <f>+O15-(O15*0.24)</f>
        <v>760</v>
      </c>
      <c r="Q15" s="152">
        <f>60+55</f>
        <v>115</v>
      </c>
      <c r="R15" s="152">
        <f t="shared" ref="R15:R16" si="4">+O15*Q15</f>
        <v>115000</v>
      </c>
      <c r="S15" s="152">
        <f t="shared" ref="S15:S16" si="5">+P15*Q15</f>
        <v>87400</v>
      </c>
    </row>
    <row r="16" spans="1:26" ht="13.5" thickBot="1">
      <c r="A16" s="804"/>
      <c r="B16" s="218" t="s">
        <v>434</v>
      </c>
      <c r="C16" s="225">
        <v>9003</v>
      </c>
      <c r="D16" s="226"/>
      <c r="E16" s="227"/>
      <c r="F16" s="234"/>
      <c r="G16" s="583" t="s">
        <v>13</v>
      </c>
      <c r="H16" s="233" t="s">
        <v>392</v>
      </c>
      <c r="I16" s="797"/>
      <c r="J16" s="217">
        <f>+'3'!J16</f>
        <v>0</v>
      </c>
      <c r="K16" s="232"/>
      <c r="L16" s="232"/>
      <c r="M16" s="120">
        <f>+K16+'3'!M16+L16</f>
        <v>0</v>
      </c>
      <c r="N16" s="152" t="s">
        <v>414</v>
      </c>
      <c r="O16" s="152">
        <v>1000</v>
      </c>
      <c r="P16" s="152">
        <f>+O16-(O16*0.24)</f>
        <v>760</v>
      </c>
      <c r="Q16" s="152">
        <f>60-45+180</f>
        <v>195</v>
      </c>
      <c r="R16" s="152">
        <f t="shared" si="4"/>
        <v>195000</v>
      </c>
      <c r="S16" s="152">
        <f t="shared" si="5"/>
        <v>148200</v>
      </c>
    </row>
    <row r="17" spans="1:19" ht="13.5" thickBot="1">
      <c r="A17" s="804"/>
      <c r="B17" s="218"/>
      <c r="C17" s="219"/>
      <c r="D17" s="220"/>
      <c r="E17" s="228"/>
      <c r="F17" s="231">
        <v>11</v>
      </c>
      <c r="G17" s="583" t="s">
        <v>13</v>
      </c>
      <c r="H17" s="236" t="s">
        <v>419</v>
      </c>
      <c r="I17" s="797"/>
      <c r="J17" s="217">
        <f>+'3'!J17</f>
        <v>0</v>
      </c>
      <c r="K17" s="232"/>
      <c r="L17" s="232"/>
      <c r="M17" s="120">
        <f>+K17+'3'!M17+L17</f>
        <v>0</v>
      </c>
    </row>
    <row r="18" spans="1:19" ht="26.25" thickBot="1">
      <c r="A18" s="804"/>
      <c r="B18" s="218"/>
      <c r="C18" s="219"/>
      <c r="D18" s="220"/>
      <c r="E18" s="228"/>
      <c r="F18" s="238"/>
      <c r="G18" s="240" t="s">
        <v>14</v>
      </c>
      <c r="H18" s="236" t="s">
        <v>479</v>
      </c>
      <c r="I18" s="797"/>
      <c r="J18" s="217">
        <f>+'3'!J18</f>
        <v>0</v>
      </c>
      <c r="K18" s="242"/>
      <c r="L18" s="242"/>
      <c r="M18" s="120">
        <f>+K18+'3'!M18+L18</f>
        <v>0</v>
      </c>
    </row>
    <row r="19" spans="1:19" ht="106.5" customHeight="1" thickBot="1">
      <c r="A19" s="804"/>
      <c r="B19" s="218"/>
      <c r="C19" s="219"/>
      <c r="D19" s="220"/>
      <c r="E19" s="228"/>
      <c r="F19" s="231">
        <f>45-25</f>
        <v>20</v>
      </c>
      <c r="G19" s="235" t="s">
        <v>81</v>
      </c>
      <c r="H19" s="236" t="s">
        <v>480</v>
      </c>
      <c r="I19" s="797"/>
      <c r="J19" s="217">
        <f>+'3'!J19</f>
        <v>0</v>
      </c>
      <c r="K19" s="242"/>
      <c r="L19" s="242"/>
      <c r="M19" s="120">
        <f>+K19+'3'!M19+L19</f>
        <v>0</v>
      </c>
    </row>
    <row r="20" spans="1:19" ht="13.5" thickBot="1">
      <c r="A20" s="804"/>
      <c r="B20" s="218"/>
      <c r="C20" s="219"/>
      <c r="D20" s="220"/>
      <c r="E20" s="228"/>
      <c r="F20" s="231">
        <f>60-55+120+45</f>
        <v>170</v>
      </c>
      <c r="G20" s="583" t="s">
        <v>13</v>
      </c>
      <c r="H20" s="236"/>
      <c r="I20" s="797"/>
      <c r="J20" s="217">
        <f>+'3'!J20</f>
        <v>0</v>
      </c>
      <c r="K20" s="243"/>
      <c r="L20" s="243"/>
      <c r="M20" s="120">
        <f>+K20+'3'!M20+L20</f>
        <v>0</v>
      </c>
    </row>
    <row r="21" spans="1:19" ht="13.5" thickBot="1">
      <c r="A21" s="804"/>
      <c r="B21" s="218"/>
      <c r="C21" s="219"/>
      <c r="D21" s="220"/>
      <c r="E21" s="228"/>
      <c r="F21" s="234"/>
      <c r="G21" s="235"/>
      <c r="H21" s="236"/>
      <c r="I21" s="797"/>
      <c r="J21" s="217">
        <f>+'3'!J21</f>
        <v>0</v>
      </c>
      <c r="K21" s="242"/>
      <c r="L21" s="242"/>
      <c r="M21" s="120">
        <f>+K21+'3'!M21+L21</f>
        <v>0</v>
      </c>
    </row>
    <row r="22" spans="1:19" ht="13.5" thickBot="1">
      <c r="A22" s="804"/>
      <c r="B22" s="218"/>
      <c r="C22" s="219"/>
      <c r="D22" s="220"/>
      <c r="E22" s="228"/>
      <c r="F22" s="239"/>
      <c r="G22" s="235"/>
      <c r="H22" s="236"/>
      <c r="I22" s="798"/>
      <c r="J22" s="217">
        <f>+'3'!J22</f>
        <v>0</v>
      </c>
      <c r="K22" s="242"/>
      <c r="L22" s="242"/>
      <c r="M22" s="120">
        <f>+K22+'3'!M22+L22</f>
        <v>0</v>
      </c>
      <c r="Q22" s="179">
        <f>SUM(Q15:Q21)</f>
        <v>310</v>
      </c>
      <c r="R22" s="179">
        <f>SUM(R15:R21)</f>
        <v>310000</v>
      </c>
      <c r="S22" s="179">
        <f>SUM(S15:S21)</f>
        <v>235600</v>
      </c>
    </row>
    <row r="23" spans="1:19" ht="13.5" thickBot="1">
      <c r="A23" s="805"/>
      <c r="B23" s="168"/>
      <c r="C23" s="103">
        <f>SUM(C16:C22)</f>
        <v>9003</v>
      </c>
      <c r="D23" s="114">
        <f>SUM(D16:D22)</f>
        <v>0</v>
      </c>
      <c r="E23" s="115">
        <f>SUM(E18:E22)</f>
        <v>0</v>
      </c>
      <c r="F23" s="105">
        <f>SUM(F15:F22)</f>
        <v>205</v>
      </c>
      <c r="G23" s="162"/>
      <c r="H23" s="169"/>
      <c r="I23" s="172"/>
      <c r="J23" s="217">
        <f>+'3'!J23</f>
        <v>0</v>
      </c>
      <c r="K23" s="242"/>
      <c r="L23" s="242"/>
      <c r="M23" s="120">
        <f>+K23+'3'!M23+L23</f>
        <v>0</v>
      </c>
      <c r="Q23" s="152">
        <f>480-Q22</f>
        <v>170</v>
      </c>
      <c r="R23" s="179">
        <f>+R22/Q22</f>
        <v>1000</v>
      </c>
      <c r="S23" s="179">
        <f>+S22/Q22</f>
        <v>760</v>
      </c>
    </row>
    <row r="24" spans="1:19" ht="13.5" customHeight="1" thickBot="1">
      <c r="A24" s="793" t="s">
        <v>477</v>
      </c>
      <c r="B24" s="173"/>
      <c r="C24" s="116">
        <f>C23/($C$23+$D$23+$E$23)</f>
        <v>1</v>
      </c>
      <c r="D24" s="117">
        <f>D23/($C$23+$D$23+$E$23)</f>
        <v>0</v>
      </c>
      <c r="E24" s="118">
        <f>E23/($C$23+$D$23+$E$23)</f>
        <v>0</v>
      </c>
      <c r="F24" s="231"/>
      <c r="G24" s="232" t="s">
        <v>13</v>
      </c>
      <c r="H24" s="233" t="s">
        <v>391</v>
      </c>
      <c r="I24" s="796" t="s">
        <v>483</v>
      </c>
      <c r="J24" s="217">
        <f>+'3'!J24</f>
        <v>0</v>
      </c>
      <c r="K24" s="242"/>
      <c r="L24" s="242"/>
      <c r="M24" s="120">
        <f>+K24+'3'!M24+L24</f>
        <v>0</v>
      </c>
      <c r="N24" s="152" t="s">
        <v>414</v>
      </c>
      <c r="O24" s="152">
        <v>1000</v>
      </c>
      <c r="P24" s="152">
        <f>+O24-(O24*0.23)</f>
        <v>770</v>
      </c>
      <c r="Q24" s="152">
        <v>480</v>
      </c>
      <c r="R24" s="152">
        <f t="shared" ref="R24:R25" si="6">+O24*Q24</f>
        <v>480000</v>
      </c>
      <c r="S24" s="152">
        <f t="shared" ref="S24:S25" si="7">+P24*Q24</f>
        <v>369600</v>
      </c>
    </row>
    <row r="25" spans="1:19" ht="13.5" thickBot="1">
      <c r="A25" s="804"/>
      <c r="B25" s="218" t="s">
        <v>434</v>
      </c>
      <c r="C25" s="229">
        <v>14375</v>
      </c>
      <c r="D25" s="220"/>
      <c r="E25" s="228"/>
      <c r="F25" s="234">
        <v>4</v>
      </c>
      <c r="G25" s="583" t="s">
        <v>13</v>
      </c>
      <c r="H25" s="233" t="s">
        <v>487</v>
      </c>
      <c r="I25" s="797"/>
      <c r="J25" s="217">
        <f>+'3'!J25</f>
        <v>0</v>
      </c>
      <c r="K25" s="242"/>
      <c r="L25" s="242"/>
      <c r="M25" s="120">
        <f>+K25+'3'!M25+L25</f>
        <v>0</v>
      </c>
      <c r="R25" s="152">
        <f t="shared" si="6"/>
        <v>0</v>
      </c>
      <c r="S25" s="152">
        <f t="shared" si="7"/>
        <v>0</v>
      </c>
    </row>
    <row r="26" spans="1:19" ht="13.5" thickBot="1">
      <c r="A26" s="804"/>
      <c r="B26" s="218"/>
      <c r="C26" s="229"/>
      <c r="D26" s="220"/>
      <c r="E26" s="230"/>
      <c r="F26" s="231">
        <v>8</v>
      </c>
      <c r="G26" s="583" t="s">
        <v>13</v>
      </c>
      <c r="H26" s="236" t="s">
        <v>456</v>
      </c>
      <c r="I26" s="797"/>
      <c r="J26" s="217">
        <f>+'3'!J26</f>
        <v>0</v>
      </c>
      <c r="K26" s="242"/>
      <c r="L26" s="242"/>
      <c r="M26" s="120">
        <f>+K26+'3'!M26+L26</f>
        <v>0</v>
      </c>
    </row>
    <row r="27" spans="1:19" ht="26.25" thickBot="1">
      <c r="A27" s="804"/>
      <c r="B27" s="218"/>
      <c r="C27" s="219"/>
      <c r="D27" s="220"/>
      <c r="E27" s="228"/>
      <c r="F27" s="231">
        <v>8</v>
      </c>
      <c r="G27" s="240" t="s">
        <v>14</v>
      </c>
      <c r="H27" s="236" t="s">
        <v>478</v>
      </c>
      <c r="I27" s="797"/>
      <c r="J27" s="217">
        <f>+'3'!J27</f>
        <v>0</v>
      </c>
      <c r="K27" s="242"/>
      <c r="L27" s="242"/>
      <c r="M27" s="120">
        <f>+K27+'3'!M27+L27</f>
        <v>0</v>
      </c>
    </row>
    <row r="28" spans="1:19" ht="13.5" thickBot="1">
      <c r="A28" s="804"/>
      <c r="B28" s="218"/>
      <c r="C28" s="219"/>
      <c r="D28" s="220"/>
      <c r="E28" s="228"/>
      <c r="F28" s="234"/>
      <c r="G28" s="235"/>
      <c r="H28" s="236"/>
      <c r="I28" s="797"/>
      <c r="J28" s="217">
        <f>+'3'!J28</f>
        <v>0</v>
      </c>
      <c r="K28" s="242"/>
      <c r="L28" s="242"/>
      <c r="M28" s="120">
        <f>+K28+'3'!M28+L28</f>
        <v>0</v>
      </c>
    </row>
    <row r="29" spans="1:19" ht="13.5" thickBot="1">
      <c r="A29" s="804"/>
      <c r="B29" s="218"/>
      <c r="C29" s="219"/>
      <c r="D29" s="220"/>
      <c r="E29" s="228"/>
      <c r="F29" s="239"/>
      <c r="G29" s="235"/>
      <c r="H29" s="236"/>
      <c r="I29" s="797"/>
      <c r="J29" s="217">
        <f>+'3'!J29</f>
        <v>0</v>
      </c>
      <c r="K29" s="242"/>
      <c r="L29" s="242"/>
      <c r="M29" s="120">
        <f>+K29+'3'!M29+L29</f>
        <v>0</v>
      </c>
    </row>
    <row r="30" spans="1:19" ht="13.5" thickBot="1">
      <c r="A30" s="804"/>
      <c r="B30" s="218"/>
      <c r="C30" s="229"/>
      <c r="D30" s="220"/>
      <c r="E30" s="228"/>
      <c r="F30" s="239"/>
      <c r="G30" s="235"/>
      <c r="H30" s="236"/>
      <c r="I30" s="797"/>
      <c r="J30" s="217">
        <f>+'3'!J30</f>
        <v>0</v>
      </c>
      <c r="K30" s="242"/>
      <c r="L30" s="242"/>
      <c r="M30" s="120">
        <f>+K30+'3'!M30+L30</f>
        <v>0</v>
      </c>
    </row>
    <row r="31" spans="1:19" ht="13.5" thickBot="1">
      <c r="A31" s="804"/>
      <c r="B31" s="218"/>
      <c r="C31" s="229"/>
      <c r="D31" s="220"/>
      <c r="E31" s="228"/>
      <c r="F31" s="239"/>
      <c r="G31" s="240"/>
      <c r="H31" s="237"/>
      <c r="I31" s="798"/>
      <c r="J31" s="217">
        <f>+'3'!J31</f>
        <v>0</v>
      </c>
      <c r="K31" s="242"/>
      <c r="L31" s="242"/>
      <c r="M31" s="120">
        <f>+K31+'3'!M31+L31</f>
        <v>0</v>
      </c>
      <c r="Q31" s="179">
        <f>SUM(Q24:Q30)</f>
        <v>480</v>
      </c>
      <c r="R31" s="179">
        <f>SUM(R24:R30)</f>
        <v>480000</v>
      </c>
      <c r="S31" s="179">
        <f>SUM(S24:S30)</f>
        <v>369600</v>
      </c>
    </row>
    <row r="32" spans="1:19" ht="13.5" thickBot="1">
      <c r="A32" s="805"/>
      <c r="B32" s="168"/>
      <c r="C32" s="102">
        <f>SUM(C25:C31)</f>
        <v>14375</v>
      </c>
      <c r="D32" s="103">
        <f>SUM(D25:D31)</f>
        <v>0</v>
      </c>
      <c r="E32" s="104">
        <f>SUM(E25:E31)</f>
        <v>0</v>
      </c>
      <c r="F32" s="105">
        <f>SUM(F24:F31)</f>
        <v>20</v>
      </c>
      <c r="G32" s="174"/>
      <c r="H32" s="175"/>
      <c r="I32" s="172"/>
      <c r="J32" s="217">
        <f>+'3'!J32</f>
        <v>0</v>
      </c>
      <c r="K32" s="244"/>
      <c r="L32" s="246"/>
      <c r="M32" s="120">
        <f>+K32+'3'!M32+L32</f>
        <v>0</v>
      </c>
      <c r="Q32" s="152">
        <f>480-Q31</f>
        <v>0</v>
      </c>
      <c r="R32" s="179">
        <f>+R31/Q31</f>
        <v>1000</v>
      </c>
      <c r="S32" s="179">
        <f>+S31/Q31</f>
        <v>770</v>
      </c>
    </row>
    <row r="33" spans="1:17" ht="13.5" thickBot="1">
      <c r="A33" s="176"/>
      <c r="B33" s="177"/>
      <c r="C33" s="106">
        <f>C32/($C$32+$D$32+$E$32)</f>
        <v>1</v>
      </c>
      <c r="D33" s="107">
        <f>D32/($C$32+$D$32+$E$32)</f>
        <v>0</v>
      </c>
      <c r="E33" s="108">
        <f>E32/($C$32+$D$32+$E$32)</f>
        <v>0</v>
      </c>
      <c r="F33" s="109"/>
      <c r="G33" s="178"/>
      <c r="H33" s="179"/>
      <c r="I33" s="180"/>
      <c r="J33" s="124"/>
      <c r="K33" s="125"/>
      <c r="L33" s="216"/>
      <c r="M33" s="122"/>
      <c r="N33" s="152" t="s">
        <v>413</v>
      </c>
      <c r="O33" s="152">
        <v>1000</v>
      </c>
      <c r="P33" s="152">
        <v>760</v>
      </c>
      <c r="Q33" s="152">
        <v>247</v>
      </c>
    </row>
    <row r="34" spans="1:17" ht="13.5" thickBot="1">
      <c r="A34" s="801" t="s">
        <v>70</v>
      </c>
      <c r="B34" s="802"/>
      <c r="C34" s="110">
        <f>C14+C23+C32</f>
        <v>38092</v>
      </c>
      <c r="D34" s="110">
        <f>D14+D23+D32</f>
        <v>0</v>
      </c>
      <c r="E34" s="110">
        <f>E14+E23+E32</f>
        <v>0</v>
      </c>
      <c r="F34" s="111">
        <f>F14+F23+F32</f>
        <v>245</v>
      </c>
      <c r="G34" s="152">
        <f>55+20+170</f>
        <v>245</v>
      </c>
      <c r="H34" s="181"/>
      <c r="I34" s="181"/>
      <c r="J34" s="126" t="s">
        <v>29</v>
      </c>
      <c r="K34" s="127">
        <f>SUM(K7:K32)</f>
        <v>38092</v>
      </c>
      <c r="L34" s="215">
        <f>SUM(L7:L32)</f>
        <v>0</v>
      </c>
      <c r="M34" s="123">
        <f>SUM(M7:M32)</f>
        <v>142814</v>
      </c>
      <c r="N34" s="158" t="s">
        <v>414</v>
      </c>
      <c r="O34" s="152">
        <v>1000</v>
      </c>
      <c r="P34" s="152">
        <v>764.692082111437</v>
      </c>
      <c r="Q34" s="152">
        <v>1023</v>
      </c>
    </row>
    <row r="35" spans="1:17" ht="13.5" thickBot="1">
      <c r="A35" s="182"/>
      <c r="B35" s="183"/>
      <c r="C35" s="107">
        <f>C34/($C$34+$D$34+$E$34)</f>
        <v>1</v>
      </c>
      <c r="D35" s="107">
        <f>D34/($C$34+$D$34+$E$34)</f>
        <v>0</v>
      </c>
      <c r="E35" s="112">
        <f>E34/($C$34+$D$34+$E$34)</f>
        <v>0</v>
      </c>
      <c r="K35" s="158"/>
      <c r="L35" s="792" t="s">
        <v>187</v>
      </c>
      <c r="M35" s="792"/>
      <c r="Q35" s="152">
        <f>+Q33+Q34</f>
        <v>1270</v>
      </c>
    </row>
    <row r="36" spans="1:17" ht="13.5" thickBot="1">
      <c r="A36" s="181"/>
      <c r="B36" s="181"/>
      <c r="C36" s="158"/>
      <c r="D36" s="158"/>
      <c r="E36" s="158"/>
      <c r="G36" s="158"/>
      <c r="H36" s="184"/>
      <c r="I36" s="165" t="s">
        <v>41</v>
      </c>
      <c r="J36" s="165" t="s">
        <v>42</v>
      </c>
      <c r="K36" s="185"/>
      <c r="L36" s="165" t="s">
        <v>41</v>
      </c>
      <c r="M36" s="165" t="s">
        <v>42</v>
      </c>
    </row>
    <row r="37" spans="1:17" ht="17.45" customHeight="1" thickBot="1">
      <c r="A37" s="790" t="s">
        <v>71</v>
      </c>
      <c r="B37" s="791"/>
      <c r="C37" s="165" t="s">
        <v>72</v>
      </c>
      <c r="D37" s="186" t="s">
        <v>73</v>
      </c>
      <c r="E37" s="187" t="s">
        <v>74</v>
      </c>
      <c r="F37" s="365"/>
      <c r="G37" s="367"/>
      <c r="H37" s="189" t="s">
        <v>75</v>
      </c>
      <c r="I37" s="247">
        <f>(14*247+1023*15.5)/1270*G42*2.74*1270/1000000</f>
        <v>40.420533937007875</v>
      </c>
      <c r="J37" s="128">
        <f>+I37+'3'!J37</f>
        <v>159.92700298363786</v>
      </c>
      <c r="K37" s="129" t="s">
        <v>76</v>
      </c>
      <c r="L37" s="426"/>
      <c r="M37" s="427"/>
      <c r="O37" s="152">
        <v>480</v>
      </c>
    </row>
    <row r="38" spans="1:17" ht="17.45" customHeight="1">
      <c r="A38" s="786" t="s">
        <v>13</v>
      </c>
      <c r="B38" s="787"/>
      <c r="C38" s="167">
        <f>SUMIF($G$7:$G$31,"Process",$F$7:$F$31)</f>
        <v>208</v>
      </c>
      <c r="D38" s="121">
        <f>+C38+'3'!D38</f>
        <v>802</v>
      </c>
      <c r="E38" s="146">
        <f t="shared" ref="E38:E51" si="8">D38/60</f>
        <v>13.366666666666667</v>
      </c>
      <c r="F38" s="365">
        <v>1000</v>
      </c>
      <c r="G38" s="365">
        <v>760</v>
      </c>
      <c r="H38" s="190" t="s">
        <v>77</v>
      </c>
      <c r="I38" s="547">
        <f>(16004+8826+13472)/1000</f>
        <v>38.302</v>
      </c>
      <c r="J38" s="130">
        <f>+I38+'3'!J38</f>
        <v>146.62629999999999</v>
      </c>
      <c r="K38" s="131" t="s">
        <v>76</v>
      </c>
      <c r="L38" s="428"/>
      <c r="M38" s="429"/>
      <c r="O38" s="152">
        <v>310</v>
      </c>
    </row>
    <row r="39" spans="1:17" ht="17.45" customHeight="1">
      <c r="A39" s="782" t="s">
        <v>14</v>
      </c>
      <c r="B39" s="783"/>
      <c r="C39" s="167">
        <f>SUMIF($G$7:$G$31,"Cleaning",$F$7:$F$31)</f>
        <v>17</v>
      </c>
      <c r="D39" s="121">
        <f>+C39+'3'!D39</f>
        <v>55</v>
      </c>
      <c r="E39" s="146">
        <f t="shared" si="8"/>
        <v>0.91666666666666663</v>
      </c>
      <c r="F39" s="365">
        <v>1000</v>
      </c>
      <c r="G39" s="365">
        <v>760</v>
      </c>
      <c r="H39" s="190" t="s">
        <v>78</v>
      </c>
      <c r="I39" s="145"/>
      <c r="J39" s="132">
        <f>J37/G4</f>
        <v>39.981750745909466</v>
      </c>
      <c r="K39" s="133" t="s">
        <v>76</v>
      </c>
      <c r="L39" s="428"/>
      <c r="M39" s="429"/>
      <c r="O39" s="152">
        <v>480</v>
      </c>
    </row>
    <row r="40" spans="1:17" ht="17.45" customHeight="1">
      <c r="A40" s="782" t="s">
        <v>79</v>
      </c>
      <c r="B40" s="783"/>
      <c r="C40" s="167">
        <f>SUMIF($G$7:$G$31,"Mechanical",$F$7:$F$31)</f>
        <v>0</v>
      </c>
      <c r="D40" s="121">
        <f>+C40+'3'!D40</f>
        <v>120</v>
      </c>
      <c r="E40" s="146">
        <f t="shared" si="8"/>
        <v>2</v>
      </c>
      <c r="F40" s="365">
        <v>1000</v>
      </c>
      <c r="G40" s="365">
        <v>770</v>
      </c>
      <c r="H40" s="190" t="s">
        <v>80</v>
      </c>
      <c r="I40" s="121">
        <f>(K34+L34)/1000</f>
        <v>38.091999999999999</v>
      </c>
      <c r="J40" s="134">
        <f>+I40+'3'!J40</f>
        <v>142.81400000000002</v>
      </c>
      <c r="K40" s="133" t="s">
        <v>76</v>
      </c>
      <c r="L40" s="428"/>
      <c r="M40" s="429"/>
      <c r="O40" s="152">
        <f>SUM(O37:O39)</f>
        <v>1270</v>
      </c>
    </row>
    <row r="41" spans="1:17" ht="17.45" customHeight="1">
      <c r="A41" s="782" t="s">
        <v>81</v>
      </c>
      <c r="B41" s="783"/>
      <c r="C41" s="167">
        <f>SUMIF($G$7:$G$31,"Electrical",$F$7:$F$31)</f>
        <v>20</v>
      </c>
      <c r="D41" s="121">
        <f>+C41+'3'!D41</f>
        <v>50</v>
      </c>
      <c r="E41" s="146">
        <f t="shared" si="8"/>
        <v>0.83333333333333337</v>
      </c>
      <c r="F41" s="365"/>
      <c r="G41" s="365"/>
      <c r="H41" s="190" t="s">
        <v>82</v>
      </c>
      <c r="I41" s="145"/>
      <c r="J41" s="132">
        <f>J40/G4</f>
        <v>35.703500000000005</v>
      </c>
      <c r="K41" s="133" t="s">
        <v>76</v>
      </c>
      <c r="L41" s="428"/>
      <c r="M41" s="429"/>
    </row>
    <row r="42" spans="1:17" ht="17.45" customHeight="1">
      <c r="A42" s="782" t="s">
        <v>17</v>
      </c>
      <c r="B42" s="783"/>
      <c r="C42" s="167">
        <f>SUMIF($G$7:$G$31,"Instrument",$F$7:$F$31)</f>
        <v>0</v>
      </c>
      <c r="D42" s="121">
        <f>+C42+'3'!D42</f>
        <v>0</v>
      </c>
      <c r="E42" s="146">
        <f t="shared" si="8"/>
        <v>0</v>
      </c>
      <c r="F42" s="365">
        <f>+(480*F38+310*F39+480*F40)/1270</f>
        <v>1000</v>
      </c>
      <c r="G42" s="365">
        <f>+(480*G38+310*G39+480*G40)/1270</f>
        <v>763.77952755905517</v>
      </c>
      <c r="H42" s="190" t="s">
        <v>83</v>
      </c>
      <c r="I42" s="249" t="s">
        <v>491</v>
      </c>
      <c r="J42" s="135"/>
      <c r="K42" s="133" t="s">
        <v>84</v>
      </c>
      <c r="L42" s="428"/>
      <c r="M42" s="429"/>
    </row>
    <row r="43" spans="1:17" ht="17.45" customHeight="1">
      <c r="A43" s="782" t="s">
        <v>202</v>
      </c>
      <c r="B43" s="783"/>
      <c r="C43" s="167">
        <f>SUMIF($G$7:$G$31,"Change Grade",$F$7:$F$31)</f>
        <v>0</v>
      </c>
      <c r="D43" s="121">
        <f>+C43+'3'!D43</f>
        <v>0</v>
      </c>
      <c r="E43" s="146">
        <f t="shared" si="8"/>
        <v>0</v>
      </c>
      <c r="F43" s="365"/>
      <c r="G43" s="366"/>
      <c r="H43" s="191" t="s">
        <v>86</v>
      </c>
      <c r="I43" s="121">
        <f>+Report1!AH12</f>
        <v>59.3</v>
      </c>
      <c r="J43" s="136">
        <f>+I43+'3'!J43</f>
        <v>230.8</v>
      </c>
      <c r="K43" s="133" t="s">
        <v>76</v>
      </c>
      <c r="L43" s="430">
        <f>+Report1!AN12</f>
        <v>0</v>
      </c>
      <c r="M43" s="431">
        <f>+L43+'3'!M43</f>
        <v>0</v>
      </c>
    </row>
    <row r="44" spans="1:17" ht="17.45" customHeight="1">
      <c r="A44" s="782" t="s">
        <v>18</v>
      </c>
      <c r="B44" s="783"/>
      <c r="C44" s="167">
        <f>SUMIF($G$7:$G$31,"PLN",$F$7:$F$31)</f>
        <v>0</v>
      </c>
      <c r="D44" s="121">
        <f>+C44+'3'!D44</f>
        <v>0</v>
      </c>
      <c r="E44" s="146">
        <f t="shared" si="8"/>
        <v>0</v>
      </c>
      <c r="F44" s="365"/>
      <c r="G44" s="366"/>
      <c r="H44" s="191" t="s">
        <v>87</v>
      </c>
      <c r="I44" s="121">
        <f>I43/I38</f>
        <v>1.548222024959532</v>
      </c>
      <c r="J44" s="137">
        <f>J43/J38</f>
        <v>1.5740695905168447</v>
      </c>
      <c r="K44" s="133" t="s">
        <v>76</v>
      </c>
      <c r="L44" s="432">
        <f>+L43/I38</f>
        <v>0</v>
      </c>
      <c r="M44" s="433">
        <f>+M43/J38</f>
        <v>0</v>
      </c>
    </row>
    <row r="45" spans="1:17" ht="17.45" customHeight="1">
      <c r="A45" s="782" t="s">
        <v>19</v>
      </c>
      <c r="B45" s="783"/>
      <c r="C45" s="167">
        <f>SUMIF($G$7:$G$31,"Boiler",$F$7:$F$31)</f>
        <v>0</v>
      </c>
      <c r="D45" s="121">
        <f>+C45+'3'!D45</f>
        <v>0</v>
      </c>
      <c r="E45" s="146">
        <f t="shared" si="8"/>
        <v>0</v>
      </c>
      <c r="F45" s="365"/>
      <c r="G45" s="368"/>
      <c r="H45" s="191" t="s">
        <v>88</v>
      </c>
      <c r="I45" s="121">
        <f>I43/I40</f>
        <v>1.5567573243725716</v>
      </c>
      <c r="J45" s="137">
        <f>J43/J40</f>
        <v>1.6160880585936952</v>
      </c>
      <c r="K45" s="133" t="s">
        <v>76</v>
      </c>
      <c r="L45" s="432">
        <f>+L43/I40</f>
        <v>0</v>
      </c>
      <c r="M45" s="433">
        <f>+M43/J40</f>
        <v>0</v>
      </c>
    </row>
    <row r="46" spans="1:17" ht="17.45" customHeight="1">
      <c r="A46" s="782" t="s">
        <v>89</v>
      </c>
      <c r="B46" s="783"/>
      <c r="C46" s="167">
        <f>SUMIF($G$7:$G$31,"Gas",$F$7:$F$31)</f>
        <v>0</v>
      </c>
      <c r="D46" s="121">
        <f>+C46+'3'!D46</f>
        <v>0</v>
      </c>
      <c r="E46" s="146">
        <f t="shared" si="8"/>
        <v>0</v>
      </c>
      <c r="F46" s="365"/>
      <c r="G46" s="366"/>
      <c r="H46" s="191" t="s">
        <v>90</v>
      </c>
      <c r="I46" s="143">
        <f>+SUMIF(Listrik!P11,"&gt;0")</f>
        <v>34663.359999999971</v>
      </c>
      <c r="J46" s="138">
        <f>+I46+'3'!J46</f>
        <v>139052.93999999994</v>
      </c>
      <c r="K46" s="133" t="s">
        <v>91</v>
      </c>
      <c r="L46" s="432">
        <f>+Listrik!AF11</f>
        <v>0</v>
      </c>
      <c r="M46" s="434">
        <f>+L46+'3'!M46</f>
        <v>0</v>
      </c>
    </row>
    <row r="47" spans="1:17" ht="17.45" customHeight="1">
      <c r="A47" s="782" t="s">
        <v>92</v>
      </c>
      <c r="B47" s="783"/>
      <c r="C47" s="167">
        <f>SUMIF($G$7:$G$31,"Gas",$F$7:$F$31)</f>
        <v>0</v>
      </c>
      <c r="D47" s="121">
        <f>+C47+'3'!D47</f>
        <v>0</v>
      </c>
      <c r="E47" s="146">
        <f t="shared" si="8"/>
        <v>0</v>
      </c>
      <c r="F47" s="365"/>
      <c r="G47" s="366"/>
      <c r="H47" s="191" t="s">
        <v>93</v>
      </c>
      <c r="I47" s="121">
        <f>I46/I38</f>
        <v>905.0013054148601</v>
      </c>
      <c r="J47" s="138">
        <f>J46/J38</f>
        <v>948.34923884732791</v>
      </c>
      <c r="K47" s="133" t="s">
        <v>25</v>
      </c>
      <c r="L47" s="428">
        <f>+L46/I38</f>
        <v>0</v>
      </c>
      <c r="M47" s="433">
        <f>+M46/J38</f>
        <v>0</v>
      </c>
    </row>
    <row r="48" spans="1:17" ht="17.45" customHeight="1">
      <c r="A48" s="782" t="s">
        <v>15</v>
      </c>
      <c r="B48" s="783"/>
      <c r="C48" s="167">
        <f>SUMIF($G$7:$G$31,"Start Up",$F$7:$F$31)</f>
        <v>0</v>
      </c>
      <c r="D48" s="121">
        <f>+C48+'3'!D48</f>
        <v>0</v>
      </c>
      <c r="E48" s="146">
        <f t="shared" si="8"/>
        <v>0</v>
      </c>
      <c r="F48" s="365"/>
      <c r="G48" s="366"/>
      <c r="H48" s="191" t="s">
        <v>94</v>
      </c>
      <c r="I48" s="121">
        <f>I46/I40</f>
        <v>909.99054919668094</v>
      </c>
      <c r="J48" s="138">
        <f>J46/J40</f>
        <v>973.66462671726811</v>
      </c>
      <c r="K48" s="133" t="s">
        <v>25</v>
      </c>
      <c r="L48" s="432">
        <f>+L46/I38</f>
        <v>0</v>
      </c>
      <c r="M48" s="433">
        <f>+M46/J40</f>
        <v>0</v>
      </c>
    </row>
    <row r="49" spans="1:13" ht="17.45" customHeight="1">
      <c r="A49" s="782" t="s">
        <v>21</v>
      </c>
      <c r="B49" s="783"/>
      <c r="C49" s="167">
        <f>SUMIF($G$7:$G$31,"Others",$F$7:$F$31)</f>
        <v>0</v>
      </c>
      <c r="D49" s="121">
        <f>+C49+'3'!D49</f>
        <v>0</v>
      </c>
      <c r="E49" s="146">
        <f t="shared" si="8"/>
        <v>0</v>
      </c>
      <c r="F49" s="188"/>
      <c r="H49" s="191" t="s">
        <v>182</v>
      </c>
      <c r="I49" s="121">
        <f>+Report1!AB12</f>
        <v>3774.0961310746475</v>
      </c>
      <c r="J49" s="138">
        <f>+I49+'3'!J49</f>
        <v>11375.919186090152</v>
      </c>
      <c r="K49" s="133" t="s">
        <v>96</v>
      </c>
      <c r="L49" s="428"/>
      <c r="M49" s="429"/>
    </row>
    <row r="50" spans="1:13" ht="17.45" customHeight="1">
      <c r="A50" s="782" t="s">
        <v>20</v>
      </c>
      <c r="B50" s="783"/>
      <c r="C50" s="167">
        <f>SUMIF($G$7:$G$31,"Steam",$F$7:$F$31)</f>
        <v>0</v>
      </c>
      <c r="D50" s="121">
        <f>+C50+'3'!D50</f>
        <v>0</v>
      </c>
      <c r="E50" s="146">
        <f t="shared" si="8"/>
        <v>0</v>
      </c>
      <c r="F50" s="188"/>
      <c r="H50" s="191" t="s">
        <v>97</v>
      </c>
      <c r="I50" s="143">
        <f>I49/I38</f>
        <v>98.535223515081398</v>
      </c>
      <c r="J50" s="136">
        <f>J49/J38</f>
        <v>77.584438713178699</v>
      </c>
      <c r="K50" s="133" t="s">
        <v>96</v>
      </c>
      <c r="L50" s="428"/>
      <c r="M50" s="429"/>
    </row>
    <row r="51" spans="1:13" ht="17.45" customHeight="1" thickBot="1">
      <c r="A51" s="784" t="s">
        <v>98</v>
      </c>
      <c r="B51" s="785"/>
      <c r="C51" s="167">
        <f>SUMIF($G$7:$G$31,"Planned shut",$F$7:$F$31)</f>
        <v>0</v>
      </c>
      <c r="D51" s="121">
        <f>+C51+'3'!D51</f>
        <v>0</v>
      </c>
      <c r="E51" s="146">
        <f t="shared" si="8"/>
        <v>0</v>
      </c>
      <c r="F51" s="188"/>
      <c r="H51" s="193" t="s">
        <v>99</v>
      </c>
      <c r="I51" s="144">
        <f>I49/I40</f>
        <v>99.078445108543733</v>
      </c>
      <c r="J51" s="139">
        <f>J49/J40</f>
        <v>79.655490260689774</v>
      </c>
      <c r="K51" s="140" t="s">
        <v>96</v>
      </c>
      <c r="L51" s="428"/>
      <c r="M51" s="429"/>
    </row>
    <row r="52" spans="1:13" ht="13.5" thickBot="1">
      <c r="A52" s="786" t="s">
        <v>29</v>
      </c>
      <c r="B52" s="787"/>
      <c r="C52" s="147">
        <f>SUM(C38:C51)</f>
        <v>245</v>
      </c>
      <c r="D52" s="147">
        <f>SUM(D38:D51)</f>
        <v>1027</v>
      </c>
      <c r="E52" s="148">
        <f>SUM(E38:E51)</f>
        <v>17.116666666666664</v>
      </c>
      <c r="F52" s="188"/>
      <c r="H52" s="194"/>
      <c r="I52" s="195"/>
      <c r="J52" s="141"/>
      <c r="K52" s="142"/>
      <c r="L52" s="435"/>
      <c r="M52" s="436"/>
    </row>
    <row r="53" spans="1:13" ht="13.5" thickBot="1">
      <c r="A53" s="788"/>
      <c r="B53" s="789"/>
      <c r="C53" s="149">
        <f>C52/(24*60)</f>
        <v>0.1701388888888889</v>
      </c>
      <c r="D53" s="149">
        <f>D52/(24*60*G4)</f>
        <v>0.17829861111111112</v>
      </c>
      <c r="E53" s="150">
        <f>E52/(G4*24)</f>
        <v>0.17829861111111109</v>
      </c>
      <c r="F53" s="188"/>
    </row>
    <row r="54" spans="1:13">
      <c r="E54" s="196"/>
      <c r="F54" s="188"/>
    </row>
    <row r="55" spans="1:13">
      <c r="E55" s="196"/>
    </row>
    <row r="56" spans="1:13">
      <c r="A56" s="197" t="s">
        <v>100</v>
      </c>
      <c r="B56" s="198"/>
      <c r="C56" s="199"/>
      <c r="D56" s="199"/>
      <c r="E56" s="199"/>
      <c r="F56" s="200"/>
      <c r="G56" s="199"/>
      <c r="H56" s="201"/>
      <c r="I56" s="202" t="s">
        <v>101</v>
      </c>
      <c r="J56" s="203">
        <f>+D34+'3'!J56</f>
        <v>690</v>
      </c>
      <c r="K56" s="204">
        <f>J56/(J40+J56/1000)/1000</f>
        <v>4.8082283420671189E-3</v>
      </c>
    </row>
    <row r="57" spans="1:13">
      <c r="A57" s="179"/>
      <c r="I57" s="202" t="s">
        <v>102</v>
      </c>
      <c r="J57" s="203">
        <f>+E34+'3'!J57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Z61"/>
  <sheetViews>
    <sheetView view="pageBreakPreview" zoomScale="80" zoomScaleNormal="75" zoomScaleSheetLayoutView="80" workbookViewId="0">
      <selection activeCell="G24" sqref="G24:H27"/>
    </sheetView>
  </sheetViews>
  <sheetFormatPr defaultColWidth="9.140625" defaultRowHeight="12.75"/>
  <cols>
    <col min="1" max="1" width="8" style="152" customWidth="1"/>
    <col min="2" max="2" width="7" style="152" bestFit="1" customWidth="1"/>
    <col min="3" max="3" width="14.85546875" style="152" bestFit="1" customWidth="1"/>
    <col min="4" max="4" width="12.710937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3.7109375" style="152" bestFit="1" customWidth="1"/>
    <col min="12" max="12" width="8.28515625" style="152" customWidth="1"/>
    <col min="13" max="13" width="14.5703125" style="152" bestFit="1" customWidth="1"/>
    <col min="14" max="16384" width="9.140625" style="152"/>
  </cols>
  <sheetData>
    <row r="1" spans="1:26" ht="15.75">
      <c r="A1" s="151"/>
    </row>
    <row r="2" spans="1:26" ht="15.75">
      <c r="A2" s="151" t="s">
        <v>185</v>
      </c>
    </row>
    <row r="3" spans="1:26" ht="15">
      <c r="A3" s="153"/>
    </row>
    <row r="4" spans="1:26" ht="20.25">
      <c r="A4" s="154" t="s">
        <v>5</v>
      </c>
      <c r="B4" s="155"/>
      <c r="F4" s="156" t="s">
        <v>30</v>
      </c>
      <c r="G4" s="157">
        <v>3</v>
      </c>
      <c r="H4" s="157" t="str">
        <f>+'1'!H4</f>
        <v>.03.26</v>
      </c>
    </row>
    <row r="5" spans="1:26" ht="13.5" thickBot="1">
      <c r="C5" s="158"/>
      <c r="D5" s="158"/>
    </row>
    <row r="6" spans="1:26"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1000</v>
      </c>
      <c r="P6" s="152">
        <f>+O6-(O6*0.24)</f>
        <v>760</v>
      </c>
      <c r="Q6" s="152">
        <v>480</v>
      </c>
      <c r="R6" s="152">
        <f t="shared" ref="R6:R7" si="0">+O6*Q6</f>
        <v>480000</v>
      </c>
      <c r="S6" s="152">
        <f t="shared" ref="S6:S7" si="1">+P6*Q6</f>
        <v>364800</v>
      </c>
      <c r="U6" s="152" t="s">
        <v>414</v>
      </c>
      <c r="V6" s="152">
        <v>1000</v>
      </c>
      <c r="W6" s="152">
        <f>+V6-(V6*0.24)</f>
        <v>760</v>
      </c>
      <c r="X6" s="152">
        <v>480</v>
      </c>
      <c r="Y6" s="152">
        <f t="shared" ref="Y6:Y7" si="2">+V6*X6</f>
        <v>480000</v>
      </c>
      <c r="Z6" s="152">
        <f t="shared" ref="Z6:Z7" si="3">+W6*X6</f>
        <v>364800</v>
      </c>
    </row>
    <row r="7" spans="1:26" ht="13.5" customHeight="1" thickBot="1">
      <c r="A7" s="793" t="s">
        <v>430</v>
      </c>
      <c r="B7" s="218" t="s">
        <v>434</v>
      </c>
      <c r="C7" s="219">
        <v>14466</v>
      </c>
      <c r="D7" s="220"/>
      <c r="E7" s="221"/>
      <c r="F7" s="231"/>
      <c r="G7" s="232" t="s">
        <v>13</v>
      </c>
      <c r="H7" s="233" t="s">
        <v>391</v>
      </c>
      <c r="I7" s="796" t="s">
        <v>417</v>
      </c>
      <c r="J7" s="217" t="str">
        <f>+'2'!J7</f>
        <v>T 14 RC HW</v>
      </c>
      <c r="K7" s="241">
        <f>+C17+C25</f>
        <v>21042</v>
      </c>
      <c r="L7" s="245"/>
      <c r="M7" s="120">
        <f>+K7+'2'!M7+L7</f>
        <v>30352</v>
      </c>
      <c r="R7" s="152">
        <f t="shared" si="0"/>
        <v>0</v>
      </c>
      <c r="S7" s="152">
        <f t="shared" si="1"/>
        <v>0</v>
      </c>
      <c r="U7" s="152" t="s">
        <v>414</v>
      </c>
      <c r="V7" s="152">
        <v>1000</v>
      </c>
      <c r="W7" s="152">
        <v>770</v>
      </c>
      <c r="X7" s="152">
        <v>30</v>
      </c>
      <c r="Y7" s="152">
        <f t="shared" si="2"/>
        <v>30000</v>
      </c>
      <c r="Z7" s="152">
        <f t="shared" si="3"/>
        <v>23100</v>
      </c>
    </row>
    <row r="8" spans="1:26" ht="13.5" thickBot="1">
      <c r="A8" s="794"/>
      <c r="B8" s="218"/>
      <c r="C8" s="219"/>
      <c r="D8" s="220"/>
      <c r="E8" s="222"/>
      <c r="F8" s="234">
        <v>5</v>
      </c>
      <c r="G8" s="583" t="s">
        <v>13</v>
      </c>
      <c r="H8" s="233" t="s">
        <v>474</v>
      </c>
      <c r="I8" s="797"/>
      <c r="J8" s="217" t="str">
        <f>+'2'!J8</f>
        <v>T 15,5 RC HW</v>
      </c>
      <c r="K8" s="242">
        <f>+C7+C16</f>
        <v>19752</v>
      </c>
      <c r="L8" s="242"/>
      <c r="M8" s="120">
        <f>+K8+'2'!M8+L8</f>
        <v>74370</v>
      </c>
      <c r="V8" s="152">
        <v>1030</v>
      </c>
      <c r="W8" s="152">
        <v>793.1</v>
      </c>
      <c r="X8" s="152">
        <v>50</v>
      </c>
      <c r="Y8" s="152">
        <f t="shared" ref="Y8" si="4">+V8*X8</f>
        <v>51500</v>
      </c>
      <c r="Z8" s="152">
        <f t="shared" ref="Z8" si="5">+W8*X8</f>
        <v>39655</v>
      </c>
    </row>
    <row r="9" spans="1:26" ht="13.5" thickBot="1">
      <c r="A9" s="794"/>
      <c r="B9" s="218"/>
      <c r="C9" s="219"/>
      <c r="D9" s="220"/>
      <c r="E9" s="223"/>
      <c r="F9" s="231">
        <v>5</v>
      </c>
      <c r="G9" s="583" t="s">
        <v>13</v>
      </c>
      <c r="H9" s="236" t="s">
        <v>473</v>
      </c>
      <c r="I9" s="797"/>
      <c r="J9" s="217">
        <f>+'2'!J9</f>
        <v>0</v>
      </c>
      <c r="K9" s="242"/>
      <c r="L9" s="242"/>
      <c r="M9" s="120">
        <f>+K9+'2'!M9+L9</f>
        <v>0</v>
      </c>
    </row>
    <row r="10" spans="1:26" ht="26.25" thickBot="1">
      <c r="A10" s="794"/>
      <c r="B10" s="218"/>
      <c r="C10" s="219"/>
      <c r="D10" s="220"/>
      <c r="E10" s="222"/>
      <c r="F10" s="231">
        <v>10</v>
      </c>
      <c r="G10" s="240" t="s">
        <v>14</v>
      </c>
      <c r="H10" s="236" t="s">
        <v>466</v>
      </c>
      <c r="I10" s="797"/>
      <c r="J10" s="217">
        <f>+'2'!J10</f>
        <v>0</v>
      </c>
      <c r="K10" s="242"/>
      <c r="L10" s="242"/>
      <c r="M10" s="120">
        <f>+K10+'2'!M10+L10</f>
        <v>0</v>
      </c>
    </row>
    <row r="11" spans="1:26" ht="13.5" thickBot="1">
      <c r="A11" s="794"/>
      <c r="B11" s="218"/>
      <c r="C11" s="219"/>
      <c r="D11" s="220"/>
      <c r="E11" s="222"/>
      <c r="F11" s="231"/>
      <c r="G11" s="235"/>
      <c r="H11" s="236"/>
      <c r="I11" s="797"/>
      <c r="J11" s="217">
        <f>+'2'!J11</f>
        <v>0</v>
      </c>
      <c r="K11" s="242"/>
      <c r="L11" s="242"/>
      <c r="M11" s="120">
        <f>+K11+'2'!M11+L11</f>
        <v>0</v>
      </c>
    </row>
    <row r="12" spans="1:26" ht="13.5" thickBot="1">
      <c r="A12" s="794"/>
      <c r="B12" s="218"/>
      <c r="C12" s="219"/>
      <c r="D12" s="220"/>
      <c r="E12" s="222"/>
      <c r="F12" s="231"/>
      <c r="G12" s="235"/>
      <c r="H12" s="236"/>
      <c r="I12" s="797"/>
      <c r="J12" s="217">
        <f>+'2'!J12</f>
        <v>0</v>
      </c>
      <c r="K12" s="242"/>
      <c r="L12" s="242"/>
      <c r="M12" s="120">
        <f>+K12+'2'!M12+L12</f>
        <v>0</v>
      </c>
    </row>
    <row r="13" spans="1:26" ht="13.5" thickBot="1">
      <c r="A13" s="794"/>
      <c r="B13" s="218"/>
      <c r="C13" s="219"/>
      <c r="D13" s="219"/>
      <c r="E13" s="222"/>
      <c r="F13" s="231"/>
      <c r="G13" s="583"/>
      <c r="H13" s="236"/>
      <c r="I13" s="798"/>
      <c r="J13" s="217">
        <f>+'2'!J13</f>
        <v>0</v>
      </c>
      <c r="K13" s="242"/>
      <c r="L13" s="242"/>
      <c r="M13" s="120">
        <f>+K13+'2'!M13+L13</f>
        <v>0</v>
      </c>
      <c r="Q13" s="179">
        <f>SUM(Q6:Q12)</f>
        <v>480</v>
      </c>
      <c r="R13" s="179">
        <f>SUM(R6:R12)</f>
        <v>480000</v>
      </c>
      <c r="S13" s="179">
        <f>SUM(S6:S12)</f>
        <v>364800</v>
      </c>
      <c r="X13" s="179">
        <f>SUM(X6:X12)</f>
        <v>560</v>
      </c>
      <c r="Y13" s="179">
        <f>SUM(Y6:Y12)</f>
        <v>561500</v>
      </c>
      <c r="Z13" s="179">
        <f>SUM(Z6:Z12)</f>
        <v>427555</v>
      </c>
    </row>
    <row r="14" spans="1:26" ht="13.5" thickBot="1">
      <c r="A14" s="795"/>
      <c r="B14" s="168"/>
      <c r="C14" s="102">
        <f>SUM(C7:C13)</f>
        <v>14466</v>
      </c>
      <c r="D14" s="114">
        <f>SUM(D7:D13)</f>
        <v>0</v>
      </c>
      <c r="E14" s="115">
        <f>SUM(E5:E13)</f>
        <v>0</v>
      </c>
      <c r="F14" s="105">
        <f>SUM(F6:F13)</f>
        <v>20</v>
      </c>
      <c r="G14" s="162"/>
      <c r="H14" s="169"/>
      <c r="I14" s="170"/>
      <c r="J14" s="217">
        <f>+'2'!J14</f>
        <v>0</v>
      </c>
      <c r="K14" s="242"/>
      <c r="L14" s="242"/>
      <c r="M14" s="120">
        <f>+K14+'2'!M14+L14</f>
        <v>0</v>
      </c>
      <c r="Q14" s="152">
        <f>480-Q13</f>
        <v>0</v>
      </c>
      <c r="R14" s="179">
        <f>+R13/Q13</f>
        <v>1000</v>
      </c>
      <c r="S14" s="179">
        <f>+S13/Q13</f>
        <v>760</v>
      </c>
      <c r="X14" s="152">
        <f>480-X13</f>
        <v>-80</v>
      </c>
      <c r="Y14" s="179">
        <f>+Y13/X13</f>
        <v>1002.6785714285714</v>
      </c>
      <c r="Z14" s="179">
        <f>+Z13/X13</f>
        <v>763.49107142857144</v>
      </c>
    </row>
    <row r="15" spans="1:26" ht="13.5" customHeight="1" thickBot="1">
      <c r="A15" s="793" t="s">
        <v>431</v>
      </c>
      <c r="B15" s="168"/>
      <c r="C15" s="116">
        <f>C14/($C$23+$D$23+$E$23)</f>
        <v>1.0454578304545783</v>
      </c>
      <c r="D15" s="117">
        <f>D14/($C$23+$D$23+$E$23)</f>
        <v>0</v>
      </c>
      <c r="E15" s="118">
        <f>E14/($C$23+$D$23+$E$23)</f>
        <v>0</v>
      </c>
      <c r="F15" s="231"/>
      <c r="G15" s="232" t="s">
        <v>13</v>
      </c>
      <c r="H15" s="233" t="s">
        <v>391</v>
      </c>
      <c r="I15" s="796" t="s">
        <v>470</v>
      </c>
      <c r="J15" s="217">
        <f>+'2'!J15</f>
        <v>0</v>
      </c>
      <c r="K15" s="242"/>
      <c r="L15" s="242"/>
      <c r="M15" s="120">
        <f>+K15+'2'!M15+L15</f>
        <v>0</v>
      </c>
      <c r="P15" s="179"/>
      <c r="Q15" s="179"/>
      <c r="R15" s="179"/>
    </row>
    <row r="16" spans="1:26" ht="13.5" thickBot="1">
      <c r="A16" s="804"/>
      <c r="B16" s="218" t="s">
        <v>434</v>
      </c>
      <c r="C16" s="225">
        <v>5286</v>
      </c>
      <c r="D16" s="226"/>
      <c r="E16" s="227"/>
      <c r="F16" s="234">
        <v>5</v>
      </c>
      <c r="G16" s="583" t="s">
        <v>13</v>
      </c>
      <c r="H16" s="233" t="s">
        <v>452</v>
      </c>
      <c r="I16" s="797"/>
      <c r="J16" s="217">
        <f>+'2'!J16</f>
        <v>0</v>
      </c>
      <c r="K16" s="232"/>
      <c r="L16" s="232"/>
      <c r="M16" s="120">
        <f>+K16+'2'!M16+L16</f>
        <v>0</v>
      </c>
      <c r="N16" s="152" t="s">
        <v>414</v>
      </c>
      <c r="O16" s="152">
        <v>1000</v>
      </c>
      <c r="P16" s="152">
        <f>+O16-(O16*0.23)</f>
        <v>770</v>
      </c>
      <c r="Q16" s="152">
        <v>30</v>
      </c>
      <c r="R16" s="152">
        <f t="shared" ref="R16:R18" si="6">+O16*Q16</f>
        <v>30000</v>
      </c>
      <c r="S16" s="152">
        <f t="shared" ref="S16:S18" si="7">+P16*Q16</f>
        <v>23100</v>
      </c>
    </row>
    <row r="17" spans="1:26" ht="13.5" thickBot="1">
      <c r="A17" s="804"/>
      <c r="B17" s="218" t="s">
        <v>433</v>
      </c>
      <c r="C17" s="219">
        <v>8551</v>
      </c>
      <c r="D17" s="220"/>
      <c r="E17" s="228"/>
      <c r="F17" s="231">
        <v>7</v>
      </c>
      <c r="G17" s="583" t="s">
        <v>13</v>
      </c>
      <c r="H17" s="236" t="s">
        <v>421</v>
      </c>
      <c r="I17" s="797"/>
      <c r="J17" s="217">
        <f>+'2'!J17</f>
        <v>0</v>
      </c>
      <c r="K17" s="232"/>
      <c r="L17" s="232"/>
      <c r="M17" s="120">
        <f>+K17+'2'!M17+L17</f>
        <v>0</v>
      </c>
      <c r="O17" s="152">
        <v>1030</v>
      </c>
      <c r="P17" s="152">
        <f>+O17-(O17*0.23)</f>
        <v>793.1</v>
      </c>
      <c r="Q17" s="152">
        <f>60-30+20</f>
        <v>50</v>
      </c>
      <c r="R17" s="152">
        <f t="shared" si="6"/>
        <v>51500</v>
      </c>
      <c r="S17" s="152">
        <f t="shared" si="7"/>
        <v>39655</v>
      </c>
      <c r="U17" s="152" t="s">
        <v>413</v>
      </c>
      <c r="V17" s="152">
        <v>1000</v>
      </c>
      <c r="W17" s="152">
        <v>770</v>
      </c>
      <c r="X17" s="152">
        <v>400</v>
      </c>
      <c r="Y17" s="152">
        <f t="shared" ref="Y17:Y19" si="8">+V17*X17</f>
        <v>400000</v>
      </c>
      <c r="Z17" s="152">
        <f t="shared" ref="Z17:Z19" si="9">+W17*X17</f>
        <v>308000</v>
      </c>
    </row>
    <row r="18" spans="1:26" ht="26.25" thickBot="1">
      <c r="A18" s="804"/>
      <c r="B18" s="218"/>
      <c r="C18" s="219"/>
      <c r="D18" s="220"/>
      <c r="E18" s="228"/>
      <c r="F18" s="238"/>
      <c r="G18" s="240" t="s">
        <v>14</v>
      </c>
      <c r="H18" s="236" t="s">
        <v>467</v>
      </c>
      <c r="I18" s="797"/>
      <c r="J18" s="217">
        <f>+'2'!J18</f>
        <v>0</v>
      </c>
      <c r="K18" s="242"/>
      <c r="L18" s="242"/>
      <c r="M18" s="120">
        <f>+K18+'2'!M18+L18</f>
        <v>0</v>
      </c>
      <c r="N18" s="152" t="s">
        <v>413</v>
      </c>
      <c r="O18" s="152">
        <v>1000</v>
      </c>
      <c r="P18" s="152">
        <f>+O18-(O18*0.23)</f>
        <v>770</v>
      </c>
      <c r="Q18" s="152">
        <f>480-80</f>
        <v>400</v>
      </c>
      <c r="R18" s="152">
        <f t="shared" si="6"/>
        <v>400000</v>
      </c>
      <c r="S18" s="152">
        <f t="shared" si="7"/>
        <v>308000</v>
      </c>
      <c r="Y18" s="152">
        <f t="shared" si="8"/>
        <v>0</v>
      </c>
      <c r="Z18" s="152">
        <f t="shared" si="9"/>
        <v>0</v>
      </c>
    </row>
    <row r="19" spans="1:26" ht="106.5" customHeight="1" thickBot="1">
      <c r="A19" s="804"/>
      <c r="B19" s="218"/>
      <c r="C19" s="219"/>
      <c r="D19" s="220"/>
      <c r="E19" s="228"/>
      <c r="F19" s="231">
        <v>30</v>
      </c>
      <c r="G19" s="235" t="s">
        <v>81</v>
      </c>
      <c r="H19" s="236" t="s">
        <v>468</v>
      </c>
      <c r="I19" s="797"/>
      <c r="J19" s="217">
        <f>+'2'!J19</f>
        <v>0</v>
      </c>
      <c r="K19" s="242"/>
      <c r="L19" s="242"/>
      <c r="M19" s="120">
        <f>+K19+'2'!M19+L19</f>
        <v>0</v>
      </c>
      <c r="U19" s="152" t="s">
        <v>413</v>
      </c>
      <c r="V19" s="152">
        <v>1000</v>
      </c>
      <c r="W19" s="152">
        <v>780</v>
      </c>
      <c r="X19" s="152">
        <v>480</v>
      </c>
      <c r="Y19" s="152">
        <f t="shared" si="8"/>
        <v>480000</v>
      </c>
      <c r="Z19" s="152">
        <f t="shared" si="9"/>
        <v>374400</v>
      </c>
    </row>
    <row r="20" spans="1:26" ht="13.5" thickBot="1">
      <c r="A20" s="804"/>
      <c r="B20" s="218"/>
      <c r="C20" s="219"/>
      <c r="D20" s="220"/>
      <c r="E20" s="228"/>
      <c r="F20" s="231"/>
      <c r="G20" s="235"/>
      <c r="H20" s="236"/>
      <c r="I20" s="797"/>
      <c r="J20" s="217">
        <f>+'2'!J20</f>
        <v>0</v>
      </c>
      <c r="K20" s="243"/>
      <c r="L20" s="243"/>
      <c r="M20" s="120">
        <f>+K20+'2'!M20+L20</f>
        <v>0</v>
      </c>
    </row>
    <row r="21" spans="1:26" ht="13.5" thickBot="1">
      <c r="A21" s="804"/>
      <c r="B21" s="218"/>
      <c r="C21" s="219"/>
      <c r="D21" s="220"/>
      <c r="E21" s="228"/>
      <c r="F21" s="234"/>
      <c r="G21" s="235"/>
      <c r="H21" s="236"/>
      <c r="I21" s="797"/>
      <c r="J21" s="217">
        <f>+'2'!J21</f>
        <v>0</v>
      </c>
      <c r="K21" s="242"/>
      <c r="L21" s="242"/>
      <c r="M21" s="120">
        <f>+K21+'2'!M21+L21</f>
        <v>0</v>
      </c>
    </row>
    <row r="22" spans="1:26" ht="13.5" thickBot="1">
      <c r="A22" s="804"/>
      <c r="B22" s="218"/>
      <c r="C22" s="219"/>
      <c r="D22" s="220"/>
      <c r="E22" s="228"/>
      <c r="F22" s="239"/>
      <c r="G22" s="235"/>
      <c r="H22" s="236"/>
      <c r="I22" s="798"/>
      <c r="J22" s="217">
        <f>+'2'!J22</f>
        <v>0</v>
      </c>
      <c r="K22" s="242"/>
      <c r="L22" s="242"/>
      <c r="M22" s="120">
        <f>+K22+'2'!M22+L22</f>
        <v>0</v>
      </c>
    </row>
    <row r="23" spans="1:26" ht="13.5" thickBot="1">
      <c r="A23" s="805"/>
      <c r="B23" s="168"/>
      <c r="C23" s="103">
        <f>SUM(C16:C22)</f>
        <v>13837</v>
      </c>
      <c r="D23" s="114">
        <f>SUM(D16:D22)</f>
        <v>0</v>
      </c>
      <c r="E23" s="115">
        <f>SUM(E18:E22)</f>
        <v>0</v>
      </c>
      <c r="F23" s="105">
        <f>SUM(F15:F22)</f>
        <v>42</v>
      </c>
      <c r="G23" s="162"/>
      <c r="H23" s="169"/>
      <c r="I23" s="172"/>
      <c r="J23" s="217">
        <f>+'2'!J23</f>
        <v>0</v>
      </c>
      <c r="K23" s="242"/>
      <c r="L23" s="242"/>
      <c r="M23" s="120">
        <f>+K23+'2'!M23+L23</f>
        <v>0</v>
      </c>
      <c r="Q23" s="179">
        <f>SUM(Q16:Q22)</f>
        <v>480</v>
      </c>
      <c r="R23" s="179">
        <f>SUM(R16:R22)</f>
        <v>481500</v>
      </c>
      <c r="S23" s="179">
        <f>SUM(S16:S22)</f>
        <v>370755</v>
      </c>
    </row>
    <row r="24" spans="1:26" ht="13.5" customHeight="1" thickBot="1">
      <c r="A24" s="793" t="s">
        <v>477</v>
      </c>
      <c r="B24" s="173"/>
      <c r="C24" s="116">
        <f>C23/($C$23+$D$23+$E$23)</f>
        <v>1</v>
      </c>
      <c r="D24" s="117">
        <f>D23/($C$23+$D$23+$E$23)</f>
        <v>0</v>
      </c>
      <c r="E24" s="118">
        <f>E23/($C$23+$D$23+$E$23)</f>
        <v>0</v>
      </c>
      <c r="F24" s="231"/>
      <c r="G24" s="232" t="s">
        <v>13</v>
      </c>
      <c r="H24" s="233" t="s">
        <v>391</v>
      </c>
      <c r="I24" s="796" t="s">
        <v>469</v>
      </c>
      <c r="J24" s="217">
        <f>+'2'!J24</f>
        <v>0</v>
      </c>
      <c r="K24" s="242"/>
      <c r="L24" s="242"/>
      <c r="M24" s="120">
        <f>+K24+'2'!M24+L24</f>
        <v>0</v>
      </c>
      <c r="Q24" s="152">
        <f>480-Q23</f>
        <v>0</v>
      </c>
      <c r="R24" s="179">
        <f>+R23/Q23</f>
        <v>1003.125</v>
      </c>
      <c r="S24" s="179">
        <f>+S23/Q23</f>
        <v>772.40625</v>
      </c>
      <c r="X24" s="179">
        <f>SUM(X17:X23)</f>
        <v>880</v>
      </c>
      <c r="Y24" s="179">
        <f>SUM(Y17:Y23)</f>
        <v>880000</v>
      </c>
      <c r="Z24" s="179">
        <f>SUM(Z17:Z23)</f>
        <v>682400</v>
      </c>
    </row>
    <row r="25" spans="1:26" ht="13.5" thickBot="1">
      <c r="A25" s="804"/>
      <c r="B25" s="218" t="s">
        <v>433</v>
      </c>
      <c r="C25" s="229">
        <v>12491</v>
      </c>
      <c r="D25" s="220"/>
      <c r="E25" s="228"/>
      <c r="F25" s="234">
        <v>4</v>
      </c>
      <c r="G25" s="583" t="s">
        <v>13</v>
      </c>
      <c r="H25" s="233" t="s">
        <v>474</v>
      </c>
      <c r="I25" s="797"/>
      <c r="J25" s="217">
        <f>+'2'!J25</f>
        <v>0</v>
      </c>
      <c r="K25" s="242"/>
      <c r="L25" s="242"/>
      <c r="M25" s="120">
        <f>+K25+'2'!M25+L25</f>
        <v>0</v>
      </c>
      <c r="X25" s="152">
        <f>480-X24</f>
        <v>-400</v>
      </c>
      <c r="Y25" s="179">
        <f>+Y24/X24</f>
        <v>1000</v>
      </c>
      <c r="Z25" s="179">
        <f>+Z24/X24</f>
        <v>775.4545454545455</v>
      </c>
    </row>
    <row r="26" spans="1:26" ht="13.5" thickBot="1">
      <c r="A26" s="804"/>
      <c r="B26" s="218"/>
      <c r="C26" s="229"/>
      <c r="D26" s="220"/>
      <c r="E26" s="230"/>
      <c r="F26" s="231">
        <v>8</v>
      </c>
      <c r="G26" s="583" t="s">
        <v>13</v>
      </c>
      <c r="H26" s="236" t="s">
        <v>422</v>
      </c>
      <c r="I26" s="797"/>
      <c r="J26" s="217">
        <f>+'2'!J26</f>
        <v>0</v>
      </c>
      <c r="K26" s="242"/>
      <c r="L26" s="242"/>
      <c r="M26" s="120">
        <f>+K26+'2'!M26+L26</f>
        <v>0</v>
      </c>
      <c r="N26" s="152" t="s">
        <v>413</v>
      </c>
      <c r="O26" s="152">
        <v>1000</v>
      </c>
      <c r="P26" s="152">
        <f>+O26-(O26*0.22)</f>
        <v>780</v>
      </c>
      <c r="Q26" s="152">
        <v>480</v>
      </c>
      <c r="R26" s="152">
        <f t="shared" ref="R26:R27" si="10">+O26*Q26</f>
        <v>480000</v>
      </c>
      <c r="S26" s="152">
        <f t="shared" ref="S26:S27" si="11">+P26*Q26</f>
        <v>374400</v>
      </c>
    </row>
    <row r="27" spans="1:26" ht="26.25" thickBot="1">
      <c r="A27" s="804"/>
      <c r="B27" s="218"/>
      <c r="C27" s="219"/>
      <c r="D27" s="220"/>
      <c r="E27" s="228"/>
      <c r="F27" s="231">
        <v>8</v>
      </c>
      <c r="G27" s="240" t="s">
        <v>14</v>
      </c>
      <c r="H27" s="236" t="s">
        <v>464</v>
      </c>
      <c r="I27" s="797"/>
      <c r="J27" s="217">
        <f>+'2'!J27</f>
        <v>0</v>
      </c>
      <c r="K27" s="242"/>
      <c r="L27" s="242"/>
      <c r="M27" s="120">
        <f>+K27+'2'!M27+L27</f>
        <v>0</v>
      </c>
      <c r="R27" s="152">
        <f t="shared" si="10"/>
        <v>0</v>
      </c>
      <c r="S27" s="152">
        <f t="shared" si="11"/>
        <v>0</v>
      </c>
    </row>
    <row r="28" spans="1:26" ht="13.5" thickBot="1">
      <c r="A28" s="804"/>
      <c r="B28" s="218"/>
      <c r="C28" s="219"/>
      <c r="D28" s="220"/>
      <c r="E28" s="228"/>
      <c r="F28" s="234"/>
      <c r="G28" s="235"/>
      <c r="H28" s="236" t="s">
        <v>465</v>
      </c>
      <c r="I28" s="797"/>
      <c r="J28" s="217">
        <f>+'2'!J28</f>
        <v>0</v>
      </c>
      <c r="K28" s="242"/>
      <c r="L28" s="242"/>
      <c r="M28" s="120">
        <f>+K28+'2'!M28+L28</f>
        <v>0</v>
      </c>
    </row>
    <row r="29" spans="1:26" ht="13.5" thickBot="1">
      <c r="A29" s="804"/>
      <c r="B29" s="218"/>
      <c r="C29" s="219"/>
      <c r="D29" s="220"/>
      <c r="E29" s="228"/>
      <c r="F29" s="239"/>
      <c r="G29" s="235"/>
      <c r="H29" s="236"/>
      <c r="I29" s="797"/>
      <c r="J29" s="217">
        <f>+'2'!J29</f>
        <v>0</v>
      </c>
      <c r="K29" s="242"/>
      <c r="L29" s="242"/>
      <c r="M29" s="120">
        <f>+K29+'2'!M29+L29</f>
        <v>0</v>
      </c>
    </row>
    <row r="30" spans="1:26" ht="13.5" thickBot="1">
      <c r="A30" s="804"/>
      <c r="B30" s="218"/>
      <c r="C30" s="229"/>
      <c r="D30" s="220"/>
      <c r="E30" s="228"/>
      <c r="F30" s="239"/>
      <c r="G30" s="235"/>
      <c r="H30" s="236"/>
      <c r="I30" s="797"/>
      <c r="J30" s="217">
        <f>+'2'!J30</f>
        <v>0</v>
      </c>
      <c r="K30" s="242"/>
      <c r="L30" s="242"/>
      <c r="M30" s="120">
        <f>+K30+'2'!M30+L30</f>
        <v>0</v>
      </c>
    </row>
    <row r="31" spans="1:26" ht="13.5" thickBot="1">
      <c r="A31" s="804"/>
      <c r="B31" s="218"/>
      <c r="C31" s="229"/>
      <c r="D31" s="220"/>
      <c r="E31" s="228"/>
      <c r="F31" s="239"/>
      <c r="G31" s="240"/>
      <c r="H31" s="237"/>
      <c r="I31" s="798"/>
      <c r="J31" s="217">
        <f>+'2'!J31</f>
        <v>0</v>
      </c>
      <c r="K31" s="242"/>
      <c r="L31" s="242"/>
      <c r="M31" s="120">
        <f>+K31+'2'!M31+L31</f>
        <v>0</v>
      </c>
    </row>
    <row r="32" spans="1:26" ht="13.5" thickBot="1">
      <c r="A32" s="805"/>
      <c r="B32" s="168"/>
      <c r="C32" s="102">
        <f>SUM(C25:C31)</f>
        <v>12491</v>
      </c>
      <c r="D32" s="103">
        <f>SUM(D25:D31)</f>
        <v>0</v>
      </c>
      <c r="E32" s="104">
        <f>SUM(E25:E31)</f>
        <v>0</v>
      </c>
      <c r="F32" s="105">
        <f>SUM(F24:F31)</f>
        <v>20</v>
      </c>
      <c r="G32" s="174"/>
      <c r="H32" s="175"/>
      <c r="I32" s="172"/>
      <c r="J32" s="217">
        <f>+'2'!J32</f>
        <v>0</v>
      </c>
      <c r="K32" s="244"/>
      <c r="L32" s="246"/>
      <c r="M32" s="120">
        <f>+K32+'2'!M32+L32</f>
        <v>0</v>
      </c>
    </row>
    <row r="33" spans="1:19" ht="13.5" thickBot="1">
      <c r="A33" s="176"/>
      <c r="B33" s="177"/>
      <c r="C33" s="106">
        <f>C32/($C$32+$D$32+$E$32)</f>
        <v>1</v>
      </c>
      <c r="D33" s="107">
        <f>D32/($C$32+$D$32+$E$32)</f>
        <v>0</v>
      </c>
      <c r="E33" s="108">
        <f>E32/($C$32+$D$32+$E$32)</f>
        <v>0</v>
      </c>
      <c r="F33" s="109"/>
      <c r="G33" s="178"/>
      <c r="H33" s="179"/>
      <c r="I33" s="180"/>
      <c r="J33" s="124"/>
      <c r="K33" s="125"/>
      <c r="L33" s="216"/>
      <c r="M33" s="122"/>
      <c r="Q33" s="179">
        <f>SUM(Q26:Q32)</f>
        <v>480</v>
      </c>
      <c r="R33" s="179">
        <f>SUM(R26:R32)</f>
        <v>480000</v>
      </c>
      <c r="S33" s="179">
        <f>SUM(S26:S32)</f>
        <v>374400</v>
      </c>
    </row>
    <row r="34" spans="1:19" ht="13.5" thickBot="1">
      <c r="A34" s="801" t="s">
        <v>70</v>
      </c>
      <c r="B34" s="802"/>
      <c r="C34" s="110">
        <f>C14+C23+C32</f>
        <v>40794</v>
      </c>
      <c r="D34" s="110">
        <f>D14+D23+D32</f>
        <v>0</v>
      </c>
      <c r="E34" s="110">
        <f>E14+E23+E32</f>
        <v>0</v>
      </c>
      <c r="F34" s="111">
        <f>F14+F23+F32</f>
        <v>82</v>
      </c>
      <c r="H34" s="181"/>
      <c r="I34" s="181"/>
      <c r="J34" s="126" t="s">
        <v>29</v>
      </c>
      <c r="K34" s="127">
        <f>SUM(K7:K32)</f>
        <v>40794</v>
      </c>
      <c r="L34" s="215">
        <f>SUM(L7:L32)</f>
        <v>0</v>
      </c>
      <c r="M34" s="123">
        <f>SUM(M7:M32)</f>
        <v>104722</v>
      </c>
      <c r="Q34" s="152">
        <f>480-Q33</f>
        <v>0</v>
      </c>
      <c r="R34" s="179">
        <f>+R33/Q33</f>
        <v>1000</v>
      </c>
      <c r="S34" s="179">
        <f>+S33/Q33</f>
        <v>780</v>
      </c>
    </row>
    <row r="35" spans="1:19" ht="13.5" thickBot="1">
      <c r="A35" s="182"/>
      <c r="B35" s="183"/>
      <c r="C35" s="107">
        <f>C34/($C$34+$D$34+$E$34)</f>
        <v>1</v>
      </c>
      <c r="D35" s="107">
        <f>D34/($C$34+$D$34+$E$34)</f>
        <v>0</v>
      </c>
      <c r="E35" s="112">
        <f>E34/($C$34+$D$34+$E$34)</f>
        <v>0</v>
      </c>
      <c r="K35" s="158"/>
      <c r="L35" s="792" t="s">
        <v>187</v>
      </c>
      <c r="M35" s="792"/>
    </row>
    <row r="36" spans="1:19" ht="13.5" thickBot="1">
      <c r="A36" s="181"/>
      <c r="B36" s="181"/>
      <c r="C36" s="158"/>
      <c r="D36" s="158"/>
      <c r="E36" s="158"/>
      <c r="G36" s="158"/>
      <c r="H36" s="184"/>
      <c r="I36" s="165" t="s">
        <v>41</v>
      </c>
      <c r="J36" s="165" t="s">
        <v>42</v>
      </c>
      <c r="K36" s="185"/>
      <c r="L36" s="165" t="s">
        <v>41</v>
      </c>
      <c r="M36" s="165" t="s">
        <v>42</v>
      </c>
      <c r="N36" s="152" t="s">
        <v>414</v>
      </c>
      <c r="O36" s="152">
        <v>1002.6785714285714</v>
      </c>
      <c r="P36" s="152">
        <v>763.49107142857144</v>
      </c>
      <c r="Q36" s="152">
        <v>560</v>
      </c>
    </row>
    <row r="37" spans="1:19" ht="17.45" customHeight="1" thickBot="1">
      <c r="A37" s="790" t="s">
        <v>71</v>
      </c>
      <c r="B37" s="791"/>
      <c r="C37" s="165" t="s">
        <v>72</v>
      </c>
      <c r="D37" s="186" t="s">
        <v>73</v>
      </c>
      <c r="E37" s="187" t="s">
        <v>74</v>
      </c>
      <c r="F37" s="365"/>
      <c r="G37" s="367"/>
      <c r="H37" s="189" t="s">
        <v>75</v>
      </c>
      <c r="I37" s="247">
        <f>(15.5*560+14*880)/1440*G42*2.75*1440/1000000</f>
        <v>44.513820312500009</v>
      </c>
      <c r="J37" s="128">
        <f>+I37+'2'!J37</f>
        <v>119.50646904662997</v>
      </c>
      <c r="K37" s="129" t="s">
        <v>76</v>
      </c>
      <c r="L37" s="426"/>
      <c r="M37" s="427"/>
      <c r="N37" s="548" t="s">
        <v>413</v>
      </c>
      <c r="O37" s="152">
        <v>1000</v>
      </c>
      <c r="P37" s="152">
        <v>775.4545454545455</v>
      </c>
      <c r="Q37" s="152">
        <v>880</v>
      </c>
    </row>
    <row r="38" spans="1:19" ht="17.45" customHeight="1">
      <c r="A38" s="786" t="s">
        <v>13</v>
      </c>
      <c r="B38" s="787"/>
      <c r="C38" s="167">
        <f>SUMIF($G$7:$G$31,"Process",$F$7:$F$31)</f>
        <v>34</v>
      </c>
      <c r="D38" s="121">
        <f>+C38+'2'!D38</f>
        <v>594</v>
      </c>
      <c r="E38" s="146">
        <f t="shared" ref="E38:E51" si="12">D38/60</f>
        <v>9.9</v>
      </c>
      <c r="F38" s="365">
        <v>1000</v>
      </c>
      <c r="G38" s="365">
        <v>760</v>
      </c>
      <c r="H38" s="190" t="s">
        <v>77</v>
      </c>
      <c r="I38" s="547">
        <f>13.31+14.173+16.447</f>
        <v>43.93</v>
      </c>
      <c r="J38" s="130">
        <f>+I38+'2'!J38</f>
        <v>108.32429999999999</v>
      </c>
      <c r="K38" s="131" t="s">
        <v>76</v>
      </c>
      <c r="L38" s="428"/>
      <c r="M38" s="429"/>
    </row>
    <row r="39" spans="1:19" ht="17.45" customHeight="1">
      <c r="A39" s="782" t="s">
        <v>14</v>
      </c>
      <c r="B39" s="783"/>
      <c r="C39" s="167">
        <f>SUMIF($G$7:$G$31,"Cleaning",$F$7:$F$31)</f>
        <v>18</v>
      </c>
      <c r="D39" s="121">
        <f>+C39+'2'!D39</f>
        <v>38</v>
      </c>
      <c r="E39" s="146">
        <f t="shared" si="12"/>
        <v>0.6333333333333333</v>
      </c>
      <c r="F39" s="365">
        <v>1003.125</v>
      </c>
      <c r="G39" s="365">
        <v>772.40625</v>
      </c>
      <c r="H39" s="190" t="s">
        <v>78</v>
      </c>
      <c r="I39" s="145"/>
      <c r="J39" s="132">
        <f>J37/G4</f>
        <v>39.835489682209989</v>
      </c>
      <c r="K39" s="133" t="s">
        <v>76</v>
      </c>
      <c r="L39" s="428"/>
      <c r="M39" s="429"/>
    </row>
    <row r="40" spans="1:19" ht="17.45" customHeight="1">
      <c r="A40" s="782" t="s">
        <v>79</v>
      </c>
      <c r="B40" s="783"/>
      <c r="C40" s="167">
        <f>SUMIF($G$7:$G$31,"Mechanical",$F$7:$F$31)</f>
        <v>0</v>
      </c>
      <c r="D40" s="121">
        <f>+C40+'2'!D40</f>
        <v>120</v>
      </c>
      <c r="E40" s="146">
        <f t="shared" si="12"/>
        <v>2</v>
      </c>
      <c r="F40" s="365">
        <v>1000</v>
      </c>
      <c r="G40" s="365">
        <v>780</v>
      </c>
      <c r="H40" s="190" t="s">
        <v>80</v>
      </c>
      <c r="I40" s="121">
        <f>(K34+L34)/1000</f>
        <v>40.793999999999997</v>
      </c>
      <c r="J40" s="134">
        <f>+I40+'2'!J40</f>
        <v>104.72200000000001</v>
      </c>
      <c r="K40" s="133" t="s">
        <v>76</v>
      </c>
      <c r="L40" s="428"/>
      <c r="M40" s="429"/>
    </row>
    <row r="41" spans="1:19" ht="17.45" customHeight="1">
      <c r="A41" s="782" t="s">
        <v>81</v>
      </c>
      <c r="B41" s="783"/>
      <c r="C41" s="167">
        <f>SUMIF($G$7:$G$31,"Electrical",$F$7:$F$31)</f>
        <v>30</v>
      </c>
      <c r="D41" s="121">
        <f>+C41+'2'!D41</f>
        <v>30</v>
      </c>
      <c r="E41" s="146">
        <f t="shared" si="12"/>
        <v>0.5</v>
      </c>
      <c r="F41" s="365"/>
      <c r="G41" s="365"/>
      <c r="H41" s="190" t="s">
        <v>82</v>
      </c>
      <c r="I41" s="145"/>
      <c r="J41" s="132">
        <f>J40/G4</f>
        <v>34.907333333333334</v>
      </c>
      <c r="K41" s="133" t="s">
        <v>76</v>
      </c>
      <c r="L41" s="428"/>
      <c r="M41" s="429"/>
    </row>
    <row r="42" spans="1:19" ht="17.45" customHeight="1">
      <c r="A42" s="782" t="s">
        <v>17</v>
      </c>
      <c r="B42" s="783"/>
      <c r="C42" s="167">
        <f>SUMIF($G$7:$G$31,"Instrument",$F$7:$F$31)</f>
        <v>0</v>
      </c>
      <c r="D42" s="121">
        <f>+C42+'2'!D42</f>
        <v>0</v>
      </c>
      <c r="E42" s="146">
        <f t="shared" si="12"/>
        <v>0</v>
      </c>
      <c r="F42" s="365">
        <f>+(480*F38+480*F39+480*F40)/1440</f>
        <v>1001.0416666666666</v>
      </c>
      <c r="G42" s="365">
        <f>+(480*G38+480*G39+480*G40)/1440</f>
        <v>770.80208333333337</v>
      </c>
      <c r="H42" s="190" t="s">
        <v>83</v>
      </c>
      <c r="I42" s="249" t="s">
        <v>472</v>
      </c>
      <c r="J42" s="135"/>
      <c r="K42" s="133" t="s">
        <v>84</v>
      </c>
      <c r="L42" s="428"/>
      <c r="M42" s="429"/>
    </row>
    <row r="43" spans="1:19" ht="17.45" customHeight="1">
      <c r="A43" s="782" t="s">
        <v>202</v>
      </c>
      <c r="B43" s="783"/>
      <c r="C43" s="167">
        <f>SUMIF($G$7:$G$31,"Change Grade",$F$7:$F$31)</f>
        <v>0</v>
      </c>
      <c r="D43" s="121">
        <f>+C43+'2'!D43</f>
        <v>0</v>
      </c>
      <c r="E43" s="146">
        <f t="shared" si="12"/>
        <v>0</v>
      </c>
      <c r="F43" s="365"/>
      <c r="G43" s="366"/>
      <c r="H43" s="191" t="s">
        <v>86</v>
      </c>
      <c r="I43" s="121">
        <f>+Report1!AH11</f>
        <v>62</v>
      </c>
      <c r="J43" s="136">
        <f>+I43+'2'!J43</f>
        <v>171.5</v>
      </c>
      <c r="K43" s="133" t="s">
        <v>76</v>
      </c>
      <c r="L43" s="430">
        <f>+Report1!AN11</f>
        <v>0</v>
      </c>
      <c r="M43" s="431">
        <f>+L43+'2'!M43</f>
        <v>0</v>
      </c>
    </row>
    <row r="44" spans="1:19" ht="17.45" customHeight="1">
      <c r="A44" s="782" t="s">
        <v>18</v>
      </c>
      <c r="B44" s="783"/>
      <c r="C44" s="167">
        <f>SUMIF($G$7:$G$31,"PLN",$F$7:$F$31)</f>
        <v>0</v>
      </c>
      <c r="D44" s="121">
        <f>+C44+'2'!D44</f>
        <v>0</v>
      </c>
      <c r="E44" s="146">
        <f t="shared" si="12"/>
        <v>0</v>
      </c>
      <c r="F44" s="365"/>
      <c r="G44" s="366"/>
      <c r="H44" s="191" t="s">
        <v>87</v>
      </c>
      <c r="I44" s="121">
        <f>I43/I38</f>
        <v>1.4113362167083998</v>
      </c>
      <c r="J44" s="137">
        <f>J43/J38</f>
        <v>1.5832089383453205</v>
      </c>
      <c r="K44" s="133" t="s">
        <v>76</v>
      </c>
      <c r="L44" s="432">
        <f>+L43/I38</f>
        <v>0</v>
      </c>
      <c r="M44" s="433">
        <f>+M43/J38</f>
        <v>0</v>
      </c>
    </row>
    <row r="45" spans="1:19" ht="17.45" customHeight="1">
      <c r="A45" s="782" t="s">
        <v>19</v>
      </c>
      <c r="B45" s="783"/>
      <c r="C45" s="167">
        <f>SUMIF($G$7:$G$31,"Boiler",$F$7:$F$31)</f>
        <v>0</v>
      </c>
      <c r="D45" s="121">
        <f>+C45+'2'!D45</f>
        <v>0</v>
      </c>
      <c r="E45" s="146">
        <f t="shared" si="12"/>
        <v>0</v>
      </c>
      <c r="F45" s="365"/>
      <c r="G45" s="368"/>
      <c r="H45" s="191" t="s">
        <v>88</v>
      </c>
      <c r="I45" s="121">
        <f>I43/I40</f>
        <v>1.5198313477472178</v>
      </c>
      <c r="J45" s="137">
        <f>J43/J40</f>
        <v>1.6376692576535969</v>
      </c>
      <c r="K45" s="133" t="s">
        <v>76</v>
      </c>
      <c r="L45" s="432">
        <f>+L43/I40</f>
        <v>0</v>
      </c>
      <c r="M45" s="433">
        <f>+M43/J40</f>
        <v>0</v>
      </c>
    </row>
    <row r="46" spans="1:19" ht="17.45" customHeight="1">
      <c r="A46" s="782" t="s">
        <v>89</v>
      </c>
      <c r="B46" s="783"/>
      <c r="C46" s="167">
        <f>SUMIF($G$7:$G$31,"Gas",$F$7:$F$31)</f>
        <v>0</v>
      </c>
      <c r="D46" s="121">
        <f>+C46+'2'!D46</f>
        <v>0</v>
      </c>
      <c r="E46" s="146">
        <f t="shared" si="12"/>
        <v>0</v>
      </c>
      <c r="F46" s="365"/>
      <c r="G46" s="366"/>
      <c r="H46" s="191" t="s">
        <v>90</v>
      </c>
      <c r="I46" s="143">
        <f>+SUMIF(Listrik!P10,"&gt;0")</f>
        <v>39136.980000000025</v>
      </c>
      <c r="J46" s="138">
        <f>+I46+'2'!J46</f>
        <v>104389.57999999999</v>
      </c>
      <c r="K46" s="133" t="s">
        <v>91</v>
      </c>
      <c r="L46" s="432">
        <f>+Listrik!AF10</f>
        <v>0</v>
      </c>
      <c r="M46" s="434">
        <f>+L46+'2'!M46</f>
        <v>0</v>
      </c>
    </row>
    <row r="47" spans="1:19" ht="17.45" customHeight="1">
      <c r="A47" s="782" t="s">
        <v>92</v>
      </c>
      <c r="B47" s="783"/>
      <c r="C47" s="167">
        <f>SUMIF($G$7:$G$31,"Gas",$F$7:$F$31)</f>
        <v>0</v>
      </c>
      <c r="D47" s="121">
        <f>+C47+'2'!D47</f>
        <v>0</v>
      </c>
      <c r="E47" s="146">
        <f t="shared" si="12"/>
        <v>0</v>
      </c>
      <c r="F47" s="365"/>
      <c r="G47" s="366"/>
      <c r="H47" s="191" t="s">
        <v>93</v>
      </c>
      <c r="I47" s="121">
        <f>I46/I38</f>
        <v>890.89414978374748</v>
      </c>
      <c r="J47" s="138">
        <f>J46/J38</f>
        <v>963.67647886946872</v>
      </c>
      <c r="K47" s="133" t="s">
        <v>25</v>
      </c>
      <c r="L47" s="428">
        <f>+L46/I38</f>
        <v>0</v>
      </c>
      <c r="M47" s="433">
        <f>+M46/J38</f>
        <v>0</v>
      </c>
    </row>
    <row r="48" spans="1:19" ht="17.45" customHeight="1">
      <c r="A48" s="782" t="s">
        <v>15</v>
      </c>
      <c r="B48" s="783"/>
      <c r="C48" s="167">
        <f>SUMIF($G$7:$G$31,"Start Up",$F$7:$F$31)</f>
        <v>0</v>
      </c>
      <c r="D48" s="121">
        <f>+C48+'2'!D48</f>
        <v>0</v>
      </c>
      <c r="E48" s="146">
        <f t="shared" si="12"/>
        <v>0</v>
      </c>
      <c r="F48" s="365"/>
      <c r="G48" s="366"/>
      <c r="H48" s="191" t="s">
        <v>94</v>
      </c>
      <c r="I48" s="121">
        <f>I46/I40</f>
        <v>959.3807912928379</v>
      </c>
      <c r="J48" s="138">
        <f>J46/J40</f>
        <v>996.82569087679747</v>
      </c>
      <c r="K48" s="133" t="s">
        <v>25</v>
      </c>
      <c r="L48" s="432">
        <f>+L46/I38</f>
        <v>0</v>
      </c>
      <c r="M48" s="433">
        <f>+M46/J40</f>
        <v>0</v>
      </c>
    </row>
    <row r="49" spans="1:13" ht="17.45" customHeight="1">
      <c r="A49" s="782" t="s">
        <v>21</v>
      </c>
      <c r="B49" s="783"/>
      <c r="C49" s="167">
        <f>SUMIF($G$7:$G$31,"Others",$F$7:$F$31)</f>
        <v>0</v>
      </c>
      <c r="D49" s="121">
        <f>+C49+'2'!D49</f>
        <v>0</v>
      </c>
      <c r="E49" s="146">
        <f t="shared" si="12"/>
        <v>0</v>
      </c>
      <c r="F49" s="188"/>
      <c r="H49" s="191" t="s">
        <v>182</v>
      </c>
      <c r="I49" s="121">
        <f>+Report1!AB11</f>
        <v>4290.7663327672753</v>
      </c>
      <c r="J49" s="138">
        <f>+I49+'2'!J49</f>
        <v>7601.823055015504</v>
      </c>
      <c r="K49" s="133" t="s">
        <v>96</v>
      </c>
      <c r="L49" s="428"/>
      <c r="M49" s="429"/>
    </row>
    <row r="50" spans="1:13" ht="17.45" customHeight="1">
      <c r="A50" s="782" t="s">
        <v>20</v>
      </c>
      <c r="B50" s="783"/>
      <c r="C50" s="167">
        <f>SUMIF($G$7:$G$31,"Steam",$F$7:$F$31)</f>
        <v>0</v>
      </c>
      <c r="D50" s="121">
        <f>+C50+'2'!D50</f>
        <v>0</v>
      </c>
      <c r="E50" s="146">
        <f t="shared" si="12"/>
        <v>0</v>
      </c>
      <c r="F50" s="188"/>
      <c r="H50" s="191" t="s">
        <v>97</v>
      </c>
      <c r="I50" s="143">
        <f>I49/I38</f>
        <v>97.672805207540989</v>
      </c>
      <c r="J50" s="136">
        <f>J49/J38</f>
        <v>70.176525996618523</v>
      </c>
      <c r="K50" s="133" t="s">
        <v>96</v>
      </c>
      <c r="L50" s="428"/>
      <c r="M50" s="429"/>
    </row>
    <row r="51" spans="1:13" ht="17.45" customHeight="1" thickBot="1">
      <c r="A51" s="784" t="s">
        <v>98</v>
      </c>
      <c r="B51" s="785"/>
      <c r="C51" s="167">
        <f>SUMIF($G$7:$G$31,"Planned shut",$F$7:$F$31)</f>
        <v>0</v>
      </c>
      <c r="D51" s="121">
        <f>+C51+'2'!D51</f>
        <v>0</v>
      </c>
      <c r="E51" s="146">
        <f t="shared" si="12"/>
        <v>0</v>
      </c>
      <c r="F51" s="188"/>
      <c r="H51" s="193" t="s">
        <v>99</v>
      </c>
      <c r="I51" s="144">
        <f>I49/I40</f>
        <v>105.18130932900122</v>
      </c>
      <c r="J51" s="139">
        <f>J49/J40</f>
        <v>72.590506818199643</v>
      </c>
      <c r="K51" s="140" t="s">
        <v>96</v>
      </c>
      <c r="L51" s="428"/>
      <c r="M51" s="429"/>
    </row>
    <row r="52" spans="1:13" ht="13.5" thickBot="1">
      <c r="A52" s="786" t="s">
        <v>29</v>
      </c>
      <c r="B52" s="787"/>
      <c r="C52" s="147">
        <f>SUM(C38:C51)</f>
        <v>82</v>
      </c>
      <c r="D52" s="147">
        <f>SUM(D38:D51)</f>
        <v>782</v>
      </c>
      <c r="E52" s="148">
        <f>SUM(E38:E51)</f>
        <v>13.033333333333333</v>
      </c>
      <c r="F52" s="188"/>
      <c r="H52" s="194"/>
      <c r="I52" s="195"/>
      <c r="J52" s="141"/>
      <c r="K52" s="142"/>
      <c r="L52" s="435"/>
      <c r="M52" s="436"/>
    </row>
    <row r="53" spans="1:13" ht="13.5" thickBot="1">
      <c r="A53" s="788"/>
      <c r="B53" s="789"/>
      <c r="C53" s="149">
        <f>C52/(24*60)</f>
        <v>5.6944444444444443E-2</v>
      </c>
      <c r="D53" s="149">
        <f>D52/(24*60*G4)</f>
        <v>0.18101851851851852</v>
      </c>
      <c r="E53" s="150">
        <f>E52/(G4*24)</f>
        <v>0.18101851851851852</v>
      </c>
      <c r="F53" s="188"/>
    </row>
    <row r="54" spans="1:13">
      <c r="E54" s="196"/>
      <c r="F54" s="188"/>
    </row>
    <row r="55" spans="1:13">
      <c r="E55" s="196"/>
    </row>
    <row r="56" spans="1:13">
      <c r="A56" s="197" t="s">
        <v>100</v>
      </c>
      <c r="B56" s="198"/>
      <c r="C56" s="199"/>
      <c r="D56" s="199"/>
      <c r="E56" s="199"/>
      <c r="F56" s="200"/>
      <c r="G56" s="199"/>
      <c r="H56" s="201"/>
      <c r="I56" s="202" t="s">
        <v>101</v>
      </c>
      <c r="J56" s="203">
        <f>+D34+'2'!J56</f>
        <v>690</v>
      </c>
      <c r="K56" s="204">
        <f>J56/(J40+J56/1000)/1000</f>
        <v>6.5457443175350053E-3</v>
      </c>
    </row>
    <row r="57" spans="1:13">
      <c r="A57" s="179"/>
      <c r="I57" s="202" t="s">
        <v>102</v>
      </c>
      <c r="J57" s="203">
        <f>+E34+'2'!J57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1" type="noConversion"/>
  <printOptions horizontalCentered="1"/>
  <pageMargins left="0.17" right="0.16" top="0.17" bottom="0.16" header="0" footer="0"/>
  <pageSetup paperSize="9" scale="55" firstPageNumber="4294963191" orientation="landscape"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S61"/>
  <sheetViews>
    <sheetView view="pageBreakPreview" topLeftCell="A7" zoomScale="80" zoomScaleNormal="75" zoomScaleSheetLayoutView="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5703125" style="152" bestFit="1" customWidth="1"/>
    <col min="5" max="5" width="13.85546875" style="152" bestFit="1" customWidth="1"/>
    <col min="6" max="6" width="14" style="113" bestFit="1" customWidth="1"/>
    <col min="7" max="7" width="11.42578125" style="152" bestFit="1" customWidth="1"/>
    <col min="8" max="8" width="64.85546875" style="152" customWidth="1"/>
    <col min="9" max="9" width="14.7109375" style="152" bestFit="1" customWidth="1"/>
    <col min="10" max="10" width="20.140625" style="152" bestFit="1" customWidth="1"/>
    <col min="11" max="11" width="13.7109375" style="152" bestFit="1" customWidth="1"/>
    <col min="12" max="12" width="11.5703125" style="152" customWidth="1"/>
    <col min="13" max="13" width="14.42578125" style="152" bestFit="1" customWidth="1"/>
    <col min="14" max="16384" width="9.140625" style="152"/>
  </cols>
  <sheetData>
    <row r="1" spans="1:19" ht="15.75">
      <c r="A1" s="151"/>
    </row>
    <row r="2" spans="1:19" ht="15.75">
      <c r="A2" s="151" t="s">
        <v>185</v>
      </c>
    </row>
    <row r="3" spans="1:19" ht="15">
      <c r="A3" s="153"/>
    </row>
    <row r="4" spans="1:19" ht="20.25">
      <c r="A4" s="154" t="s">
        <v>5</v>
      </c>
      <c r="B4" s="155"/>
      <c r="F4" s="156" t="s">
        <v>30</v>
      </c>
      <c r="G4" s="157">
        <v>2</v>
      </c>
      <c r="H4" s="157" t="str">
        <f>+'1'!H4</f>
        <v>.03.26</v>
      </c>
    </row>
    <row r="5" spans="1:19" ht="13.5" thickBot="1">
      <c r="C5" s="158"/>
      <c r="D5" s="158"/>
    </row>
    <row r="6" spans="1:19"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414</v>
      </c>
      <c r="O6" s="152">
        <v>1000</v>
      </c>
      <c r="P6" s="152">
        <f>+O6-(O6*0.24)</f>
        <v>760</v>
      </c>
      <c r="Q6" s="152">
        <f>60*3+21</f>
        <v>201</v>
      </c>
      <c r="R6" s="152">
        <f t="shared" ref="R6:R7" si="0">+O6*Q6</f>
        <v>201000</v>
      </c>
      <c r="S6" s="152">
        <f t="shared" ref="S6:S7" si="1">+P6*Q6</f>
        <v>152760</v>
      </c>
    </row>
    <row r="7" spans="1:19" ht="13.5" customHeight="1" thickBot="1">
      <c r="A7" s="793" t="s">
        <v>430</v>
      </c>
      <c r="B7" s="218" t="s">
        <v>434</v>
      </c>
      <c r="C7" s="219">
        <v>10798</v>
      </c>
      <c r="D7" s="220"/>
      <c r="E7" s="221"/>
      <c r="F7" s="231">
        <v>2</v>
      </c>
      <c r="G7" s="232" t="s">
        <v>13</v>
      </c>
      <c r="H7" s="233" t="s">
        <v>453</v>
      </c>
      <c r="I7" s="796" t="s">
        <v>417</v>
      </c>
      <c r="J7" s="217" t="str">
        <f>+'1'!J7</f>
        <v>T 14 RC HW</v>
      </c>
      <c r="K7" s="241"/>
      <c r="L7" s="245"/>
      <c r="M7" s="120">
        <f>+K7+'1'!M7+L7</f>
        <v>9310</v>
      </c>
      <c r="O7" s="152">
        <v>1000</v>
      </c>
      <c r="P7" s="152">
        <f>+O7-(O7*0.24)</f>
        <v>760</v>
      </c>
      <c r="Q7" s="152">
        <f>60-15+120</f>
        <v>165</v>
      </c>
      <c r="R7" s="152">
        <f t="shared" si="0"/>
        <v>165000</v>
      </c>
      <c r="S7" s="152">
        <f t="shared" si="1"/>
        <v>125400</v>
      </c>
    </row>
    <row r="8" spans="1:19" ht="13.5" thickBot="1">
      <c r="A8" s="794"/>
      <c r="B8" s="218"/>
      <c r="C8" s="219"/>
      <c r="D8" s="220"/>
      <c r="E8" s="222"/>
      <c r="F8" s="234">
        <v>5</v>
      </c>
      <c r="G8" s="583" t="s">
        <v>13</v>
      </c>
      <c r="H8" s="233" t="s">
        <v>452</v>
      </c>
      <c r="I8" s="797"/>
      <c r="J8" s="217" t="str">
        <f>+'1'!J8</f>
        <v>T 15,5 RC HW</v>
      </c>
      <c r="K8" s="242">
        <f>+C34</f>
        <v>28408</v>
      </c>
      <c r="L8" s="242"/>
      <c r="M8" s="120">
        <f>+K8+'1'!M8+L8</f>
        <v>54618</v>
      </c>
    </row>
    <row r="9" spans="1:19" ht="13.5" thickBot="1">
      <c r="A9" s="794"/>
      <c r="B9" s="218"/>
      <c r="C9" s="219"/>
      <c r="D9" s="220"/>
      <c r="E9" s="223"/>
      <c r="F9" s="231">
        <v>3</v>
      </c>
      <c r="G9" s="583" t="s">
        <v>13</v>
      </c>
      <c r="H9" s="236" t="s">
        <v>422</v>
      </c>
      <c r="I9" s="797"/>
      <c r="J9" s="217">
        <f>+'1'!J9</f>
        <v>0</v>
      </c>
      <c r="K9" s="242"/>
      <c r="L9" s="242"/>
      <c r="M9" s="120">
        <f>+K9+'1'!M9+L9</f>
        <v>0</v>
      </c>
    </row>
    <row r="10" spans="1:19" ht="26.25" thickBot="1">
      <c r="A10" s="794"/>
      <c r="B10" s="218"/>
      <c r="C10" s="219"/>
      <c r="D10" s="220"/>
      <c r="E10" s="222"/>
      <c r="F10" s="231">
        <v>10</v>
      </c>
      <c r="G10" s="240" t="s">
        <v>14</v>
      </c>
      <c r="H10" s="236" t="s">
        <v>448</v>
      </c>
      <c r="I10" s="797"/>
      <c r="J10" s="217">
        <f>+'1'!J10</f>
        <v>0</v>
      </c>
      <c r="K10" s="242"/>
      <c r="L10" s="242"/>
      <c r="M10" s="120">
        <f>+K10+'1'!M10+L10</f>
        <v>0</v>
      </c>
    </row>
    <row r="11" spans="1:19" ht="115.5" thickBot="1">
      <c r="A11" s="794"/>
      <c r="B11" s="218"/>
      <c r="C11" s="219"/>
      <c r="D11" s="220"/>
      <c r="E11" s="222"/>
      <c r="F11" s="231">
        <f>60-21+60+15</f>
        <v>114</v>
      </c>
      <c r="G11" s="583" t="s">
        <v>13</v>
      </c>
      <c r="H11" s="236" t="s">
        <v>449</v>
      </c>
      <c r="I11" s="797"/>
      <c r="J11" s="217">
        <f>+'1'!J11</f>
        <v>0</v>
      </c>
      <c r="K11" s="242"/>
      <c r="L11" s="242"/>
      <c r="M11" s="120">
        <f>+K11+'1'!M11+L11</f>
        <v>0</v>
      </c>
    </row>
    <row r="12" spans="1:19" ht="13.5" thickBot="1">
      <c r="A12" s="794"/>
      <c r="B12" s="218"/>
      <c r="C12" s="219"/>
      <c r="D12" s="220"/>
      <c r="E12" s="222"/>
      <c r="F12" s="231"/>
      <c r="G12" s="235"/>
      <c r="H12" s="236"/>
      <c r="I12" s="797"/>
      <c r="J12" s="217">
        <f>+'1'!J12</f>
        <v>0</v>
      </c>
      <c r="K12" s="242"/>
      <c r="L12" s="242"/>
      <c r="M12" s="120">
        <f>+K12+'1'!M12+L12</f>
        <v>0</v>
      </c>
    </row>
    <row r="13" spans="1:19" ht="13.5" thickBot="1">
      <c r="A13" s="794"/>
      <c r="B13" s="218"/>
      <c r="C13" s="219"/>
      <c r="D13" s="219"/>
      <c r="E13" s="222"/>
      <c r="F13" s="231"/>
      <c r="G13" s="583"/>
      <c r="H13" s="236"/>
      <c r="I13" s="798"/>
      <c r="J13" s="217">
        <f>+'1'!J13</f>
        <v>0</v>
      </c>
      <c r="K13" s="242"/>
      <c r="L13" s="242"/>
      <c r="M13" s="120">
        <f>+K13+'1'!M13+L13</f>
        <v>0</v>
      </c>
      <c r="Q13" s="179">
        <f>SUM(Q6:Q12)</f>
        <v>366</v>
      </c>
      <c r="R13" s="179">
        <f>SUM(R6:R12)</f>
        <v>366000</v>
      </c>
      <c r="S13" s="179">
        <f>SUM(S6:S12)</f>
        <v>278160</v>
      </c>
    </row>
    <row r="14" spans="1:19" ht="13.5" thickBot="1">
      <c r="A14" s="795"/>
      <c r="B14" s="168"/>
      <c r="C14" s="102">
        <f>SUM(C7:C13)</f>
        <v>10798</v>
      </c>
      <c r="D14" s="114">
        <f>SUM(D7:D13)</f>
        <v>0</v>
      </c>
      <c r="E14" s="115">
        <f>SUM(E5:E13)</f>
        <v>0</v>
      </c>
      <c r="F14" s="105">
        <f>SUM(F6:F13)</f>
        <v>134</v>
      </c>
      <c r="G14" s="162"/>
      <c r="H14" s="169"/>
      <c r="I14" s="170"/>
      <c r="J14" s="217">
        <f>+'1'!J14</f>
        <v>0</v>
      </c>
      <c r="K14" s="242"/>
      <c r="L14" s="242"/>
      <c r="M14" s="120">
        <f>+K14+'1'!M14+L14</f>
        <v>0</v>
      </c>
      <c r="Q14" s="152">
        <f>480-Q13</f>
        <v>114</v>
      </c>
      <c r="R14" s="179">
        <f>+R13/Q13</f>
        <v>1000</v>
      </c>
      <c r="S14" s="179">
        <f>+S13/Q13</f>
        <v>760</v>
      </c>
    </row>
    <row r="15" spans="1:19" ht="13.5" customHeight="1" thickBot="1">
      <c r="A15" s="793" t="s">
        <v>431</v>
      </c>
      <c r="B15" s="168"/>
      <c r="C15" s="116">
        <f>C14/($C$23+$D$23+$E$23)</f>
        <v>3.197512585134735</v>
      </c>
      <c r="D15" s="117">
        <f>D14/($C$23+$D$23+$E$23)</f>
        <v>0</v>
      </c>
      <c r="E15" s="118">
        <f>E14/($C$23+$D$23+$E$23)</f>
        <v>0</v>
      </c>
      <c r="F15" s="231"/>
      <c r="G15" s="232" t="s">
        <v>13</v>
      </c>
      <c r="H15" s="233" t="s">
        <v>391</v>
      </c>
      <c r="I15" s="796" t="s">
        <v>417</v>
      </c>
      <c r="J15" s="217">
        <f>+'1'!J15</f>
        <v>0</v>
      </c>
      <c r="K15" s="242"/>
      <c r="L15" s="242"/>
      <c r="M15" s="120">
        <f>+K15+'1'!M15+L15</f>
        <v>0</v>
      </c>
      <c r="N15" s="152" t="s">
        <v>414</v>
      </c>
      <c r="O15" s="152">
        <v>1000</v>
      </c>
      <c r="P15" s="152">
        <f>+O15-(O15*0.24)</f>
        <v>760</v>
      </c>
      <c r="Q15" s="152">
        <f>60-15+60</f>
        <v>105</v>
      </c>
      <c r="R15" s="152">
        <f t="shared" ref="R15:R16" si="2">+O15*Q15</f>
        <v>105000</v>
      </c>
      <c r="S15" s="152">
        <f t="shared" ref="S15:S16" si="3">+P15*Q15</f>
        <v>79800</v>
      </c>
    </row>
    <row r="16" spans="1:19" ht="13.5" thickBot="1">
      <c r="A16" s="804"/>
      <c r="B16" s="218" t="s">
        <v>434</v>
      </c>
      <c r="C16" s="225">
        <v>3377</v>
      </c>
      <c r="D16" s="226"/>
      <c r="E16" s="227"/>
      <c r="F16" s="234">
        <v>3</v>
      </c>
      <c r="G16" s="583" t="s">
        <v>13</v>
      </c>
      <c r="H16" s="233" t="s">
        <v>455</v>
      </c>
      <c r="I16" s="797"/>
      <c r="J16" s="217">
        <f>+'1'!J16</f>
        <v>0</v>
      </c>
      <c r="K16" s="232"/>
      <c r="L16" s="232"/>
      <c r="M16" s="120">
        <f>+K16+'1'!M16+L16</f>
        <v>0</v>
      </c>
      <c r="R16" s="152">
        <f t="shared" si="2"/>
        <v>0</v>
      </c>
      <c r="S16" s="152">
        <f t="shared" si="3"/>
        <v>0</v>
      </c>
    </row>
    <row r="17" spans="1:19" ht="13.5" thickBot="1">
      <c r="A17" s="804"/>
      <c r="B17" s="218"/>
      <c r="C17" s="219"/>
      <c r="D17" s="220"/>
      <c r="E17" s="228"/>
      <c r="F17" s="231">
        <v>7</v>
      </c>
      <c r="G17" s="583" t="s">
        <v>13</v>
      </c>
      <c r="H17" s="236" t="s">
        <v>454</v>
      </c>
      <c r="I17" s="797"/>
      <c r="J17" s="217">
        <f>+'1'!J17</f>
        <v>0</v>
      </c>
      <c r="K17" s="232"/>
      <c r="L17" s="232"/>
      <c r="M17" s="120">
        <f>+K17+'1'!M17+L17</f>
        <v>0</v>
      </c>
    </row>
    <row r="18" spans="1:19" ht="26.25" thickBot="1">
      <c r="A18" s="804"/>
      <c r="B18" s="218"/>
      <c r="C18" s="219"/>
      <c r="D18" s="220"/>
      <c r="E18" s="228"/>
      <c r="F18" s="238"/>
      <c r="G18" s="240" t="s">
        <v>14</v>
      </c>
      <c r="H18" s="236" t="s">
        <v>450</v>
      </c>
      <c r="I18" s="797"/>
      <c r="J18" s="217">
        <f>+'1'!J18</f>
        <v>0</v>
      </c>
      <c r="K18" s="242"/>
      <c r="L18" s="242"/>
      <c r="M18" s="120">
        <f>+K18+'1'!M18+L18</f>
        <v>0</v>
      </c>
    </row>
    <row r="19" spans="1:19" ht="135.75" customHeight="1" thickBot="1">
      <c r="A19" s="804"/>
      <c r="B19" s="218"/>
      <c r="C19" s="219"/>
      <c r="D19" s="220"/>
      <c r="E19" s="228"/>
      <c r="F19" s="231">
        <f>60*4+15</f>
        <v>255</v>
      </c>
      <c r="G19" s="583" t="s">
        <v>13</v>
      </c>
      <c r="H19" s="236" t="s">
        <v>447</v>
      </c>
      <c r="I19" s="797"/>
      <c r="J19" s="217">
        <f>+'1'!J19</f>
        <v>0</v>
      </c>
      <c r="K19" s="242"/>
      <c r="L19" s="242"/>
      <c r="M19" s="120">
        <f>+K19+'1'!M19+L19</f>
        <v>0</v>
      </c>
    </row>
    <row r="20" spans="1:19" ht="13.5" thickBot="1">
      <c r="A20" s="804"/>
      <c r="B20" s="218"/>
      <c r="C20" s="219"/>
      <c r="D20" s="220"/>
      <c r="E20" s="228"/>
      <c r="F20" s="231">
        <f>60-15+60+15</f>
        <v>120</v>
      </c>
      <c r="G20" s="235" t="s">
        <v>79</v>
      </c>
      <c r="H20" s="236"/>
      <c r="I20" s="797"/>
      <c r="J20" s="217">
        <f>+'1'!J20</f>
        <v>0</v>
      </c>
      <c r="K20" s="243"/>
      <c r="L20" s="243"/>
      <c r="M20" s="120">
        <f>+K20+'1'!M20+L20</f>
        <v>0</v>
      </c>
    </row>
    <row r="21" spans="1:19" ht="13.5" thickBot="1">
      <c r="A21" s="804"/>
      <c r="B21" s="218"/>
      <c r="C21" s="219"/>
      <c r="D21" s="220"/>
      <c r="E21" s="228"/>
      <c r="F21" s="234"/>
      <c r="G21" s="235"/>
      <c r="H21" s="236"/>
      <c r="I21" s="797"/>
      <c r="J21" s="217">
        <f>+'1'!J21</f>
        <v>0</v>
      </c>
      <c r="K21" s="242"/>
      <c r="L21" s="242"/>
      <c r="M21" s="120">
        <f>+K21+'1'!M21+L21</f>
        <v>0</v>
      </c>
    </row>
    <row r="22" spans="1:19" ht="13.5" thickBot="1">
      <c r="A22" s="804"/>
      <c r="B22" s="218"/>
      <c r="C22" s="219"/>
      <c r="D22" s="220"/>
      <c r="E22" s="228"/>
      <c r="F22" s="239"/>
      <c r="G22" s="235"/>
      <c r="H22" s="236"/>
      <c r="I22" s="798"/>
      <c r="J22" s="217">
        <f>+'1'!J22</f>
        <v>0</v>
      </c>
      <c r="K22" s="242"/>
      <c r="L22" s="242"/>
      <c r="M22" s="120">
        <f>+K22+'1'!M22+L22</f>
        <v>0</v>
      </c>
      <c r="Q22" s="179">
        <f>SUM(Q15:Q21)</f>
        <v>105</v>
      </c>
      <c r="R22" s="179">
        <f>SUM(R15:R21)</f>
        <v>105000</v>
      </c>
      <c r="S22" s="179">
        <f>SUM(S15:S21)</f>
        <v>79800</v>
      </c>
    </row>
    <row r="23" spans="1:19" ht="13.5" thickBot="1">
      <c r="A23" s="805"/>
      <c r="B23" s="168"/>
      <c r="C23" s="103">
        <f>SUM(C16:C22)</f>
        <v>3377</v>
      </c>
      <c r="D23" s="114">
        <f>SUM(D16:D22)</f>
        <v>0</v>
      </c>
      <c r="E23" s="115">
        <f>SUM(E18:E22)</f>
        <v>0</v>
      </c>
      <c r="F23" s="105">
        <f>SUM(F15:F22)</f>
        <v>385</v>
      </c>
      <c r="G23" s="162"/>
      <c r="H23" s="169"/>
      <c r="I23" s="172"/>
      <c r="J23" s="217">
        <f>+'1'!J23</f>
        <v>0</v>
      </c>
      <c r="K23" s="242"/>
      <c r="L23" s="242"/>
      <c r="M23" s="120">
        <f>+K23+'1'!M23+L23</f>
        <v>0</v>
      </c>
      <c r="Q23" s="152">
        <f>480-Q22</f>
        <v>375</v>
      </c>
      <c r="R23" s="179">
        <f>+R22/Q22</f>
        <v>1000</v>
      </c>
      <c r="S23" s="179">
        <f>+S22/Q22</f>
        <v>760</v>
      </c>
    </row>
    <row r="24" spans="1:19" ht="13.5" customHeight="1" thickBot="1">
      <c r="A24" s="793" t="s">
        <v>432</v>
      </c>
      <c r="B24" s="173"/>
      <c r="C24" s="116">
        <f>C23/($C$23+$D$23+$E$23)</f>
        <v>1</v>
      </c>
      <c r="D24" s="117">
        <f>D23/($C$23+$D$23+$E$23)</f>
        <v>0</v>
      </c>
      <c r="E24" s="118">
        <f>E23/($C$23+$D$23+$E$23)</f>
        <v>0</v>
      </c>
      <c r="F24" s="231"/>
      <c r="G24" s="232" t="s">
        <v>13</v>
      </c>
      <c r="H24" s="233" t="s">
        <v>391</v>
      </c>
      <c r="I24" s="796" t="s">
        <v>417</v>
      </c>
      <c r="J24" s="217">
        <f>+'1'!J24</f>
        <v>0</v>
      </c>
      <c r="K24" s="242"/>
      <c r="L24" s="242"/>
      <c r="M24" s="120">
        <f>+K24+'1'!M24+L24</f>
        <v>0</v>
      </c>
    </row>
    <row r="25" spans="1:19" ht="13.5" customHeight="1" thickBot="1">
      <c r="A25" s="804"/>
      <c r="B25" s="218" t="s">
        <v>434</v>
      </c>
      <c r="C25" s="229">
        <v>14233</v>
      </c>
      <c r="D25" s="220"/>
      <c r="E25" s="228"/>
      <c r="F25" s="234">
        <v>7</v>
      </c>
      <c r="G25" s="583" t="s">
        <v>13</v>
      </c>
      <c r="H25" s="233" t="s">
        <v>457</v>
      </c>
      <c r="I25" s="797"/>
      <c r="J25" s="217">
        <f>+'1'!J25</f>
        <v>0</v>
      </c>
      <c r="K25" s="242"/>
      <c r="L25" s="242"/>
      <c r="M25" s="120">
        <f>+K25+'1'!M25+L25</f>
        <v>0</v>
      </c>
      <c r="N25" s="152" t="s">
        <v>414</v>
      </c>
      <c r="O25" s="152">
        <v>1000</v>
      </c>
      <c r="P25" s="152">
        <f>+O25-(O25*0.24)</f>
        <v>760</v>
      </c>
      <c r="Q25" s="152">
        <v>480</v>
      </c>
      <c r="R25" s="152">
        <f t="shared" ref="R25:R26" si="4">+O25*Q25</f>
        <v>480000</v>
      </c>
      <c r="S25" s="152">
        <f t="shared" ref="S25:S26" si="5">+P25*Q25</f>
        <v>364800</v>
      </c>
    </row>
    <row r="26" spans="1:19" ht="13.5" customHeight="1" thickBot="1">
      <c r="A26" s="804"/>
      <c r="B26" s="218"/>
      <c r="C26" s="229"/>
      <c r="D26" s="220"/>
      <c r="E26" s="230"/>
      <c r="F26" s="231">
        <v>7</v>
      </c>
      <c r="G26" s="583" t="s">
        <v>13</v>
      </c>
      <c r="H26" s="236" t="s">
        <v>456</v>
      </c>
      <c r="I26" s="797"/>
      <c r="J26" s="217">
        <f>+'1'!J26</f>
        <v>0</v>
      </c>
      <c r="K26" s="242"/>
      <c r="L26" s="242"/>
      <c r="M26" s="120">
        <f>+K26+'1'!M26+L26</f>
        <v>0</v>
      </c>
      <c r="R26" s="152">
        <f t="shared" si="4"/>
        <v>0</v>
      </c>
      <c r="S26" s="152">
        <f t="shared" si="5"/>
        <v>0</v>
      </c>
    </row>
    <row r="27" spans="1:19" ht="24" customHeight="1" thickBot="1">
      <c r="A27" s="804"/>
      <c r="B27" s="218"/>
      <c r="C27" s="219"/>
      <c r="D27" s="220"/>
      <c r="E27" s="228"/>
      <c r="F27" s="231"/>
      <c r="G27" s="240" t="s">
        <v>14</v>
      </c>
      <c r="H27" s="236" t="s">
        <v>451</v>
      </c>
      <c r="I27" s="797"/>
      <c r="J27" s="217">
        <f>+'1'!J27</f>
        <v>0</v>
      </c>
      <c r="K27" s="242"/>
      <c r="L27" s="242"/>
      <c r="M27" s="120">
        <f>+K27+'1'!M27+L27</f>
        <v>0</v>
      </c>
    </row>
    <row r="28" spans="1:19" ht="13.5" customHeight="1" thickBot="1">
      <c r="A28" s="804"/>
      <c r="B28" s="218"/>
      <c r="C28" s="219"/>
      <c r="D28" s="220"/>
      <c r="E28" s="228"/>
      <c r="F28" s="234"/>
      <c r="G28" s="235"/>
      <c r="H28" s="236"/>
      <c r="I28" s="797"/>
      <c r="J28" s="217">
        <f>+'1'!J28</f>
        <v>0</v>
      </c>
      <c r="K28" s="242"/>
      <c r="L28" s="242"/>
      <c r="M28" s="120">
        <f>+K28+'1'!M28+L28</f>
        <v>0</v>
      </c>
    </row>
    <row r="29" spans="1:19" ht="13.5" customHeight="1" thickBot="1">
      <c r="A29" s="804"/>
      <c r="B29" s="218"/>
      <c r="C29" s="219"/>
      <c r="D29" s="220"/>
      <c r="E29" s="228"/>
      <c r="F29" s="239"/>
      <c r="G29" s="235"/>
      <c r="H29" s="236"/>
      <c r="I29" s="797"/>
      <c r="J29" s="217">
        <f>+'1'!J29</f>
        <v>0</v>
      </c>
      <c r="K29" s="242"/>
      <c r="L29" s="242"/>
      <c r="M29" s="120">
        <f>+K29+'1'!M29+L29</f>
        <v>0</v>
      </c>
    </row>
    <row r="30" spans="1:19" ht="13.5" customHeight="1" thickBot="1">
      <c r="A30" s="804"/>
      <c r="B30" s="218"/>
      <c r="C30" s="229"/>
      <c r="D30" s="220"/>
      <c r="E30" s="228"/>
      <c r="F30" s="239"/>
      <c r="G30" s="235"/>
      <c r="H30" s="236"/>
      <c r="I30" s="797"/>
      <c r="J30" s="217">
        <f>+'1'!J30</f>
        <v>0</v>
      </c>
      <c r="K30" s="242"/>
      <c r="L30" s="242"/>
      <c r="M30" s="120">
        <f>+K30+'1'!M30+L30</f>
        <v>0</v>
      </c>
    </row>
    <row r="31" spans="1:19" ht="13.5" customHeight="1" thickBot="1">
      <c r="A31" s="804"/>
      <c r="B31" s="218"/>
      <c r="C31" s="229"/>
      <c r="D31" s="220"/>
      <c r="E31" s="228"/>
      <c r="F31" s="239"/>
      <c r="G31" s="240"/>
      <c r="H31" s="237"/>
      <c r="I31" s="798"/>
      <c r="J31" s="217">
        <f>+'1'!J31</f>
        <v>0</v>
      </c>
      <c r="K31" s="242"/>
      <c r="L31" s="242"/>
      <c r="M31" s="120">
        <f>+K31+'1'!M31+L31</f>
        <v>0</v>
      </c>
    </row>
    <row r="32" spans="1:19" ht="13.5" customHeight="1" thickBot="1">
      <c r="A32" s="805"/>
      <c r="B32" s="168"/>
      <c r="C32" s="102">
        <f>SUM(C25:C31)</f>
        <v>14233</v>
      </c>
      <c r="D32" s="103">
        <f>SUM(D25:D31)</f>
        <v>0</v>
      </c>
      <c r="E32" s="104">
        <f>SUM(E25:E31)</f>
        <v>0</v>
      </c>
      <c r="F32" s="105">
        <f>SUM(F24:F31)</f>
        <v>14</v>
      </c>
      <c r="G32" s="174"/>
      <c r="H32" s="175"/>
      <c r="I32" s="172"/>
      <c r="J32" s="217">
        <f>+'1'!J32</f>
        <v>0</v>
      </c>
      <c r="K32" s="244"/>
      <c r="L32" s="246"/>
      <c r="M32" s="120">
        <f>+K32+'1'!M32+L32</f>
        <v>0</v>
      </c>
      <c r="Q32" s="179">
        <f>SUM(Q25:Q31)</f>
        <v>480</v>
      </c>
      <c r="R32" s="179">
        <f>SUM(R25:R31)</f>
        <v>480000</v>
      </c>
      <c r="S32" s="179">
        <f>SUM(S25:S31)</f>
        <v>364800</v>
      </c>
    </row>
    <row r="33" spans="1:19" ht="13.5" thickBot="1">
      <c r="A33" s="176"/>
      <c r="B33" s="177"/>
      <c r="C33" s="106">
        <f>C32/($C$32+$D$32+$E$32)</f>
        <v>1</v>
      </c>
      <c r="D33" s="107">
        <f>D32/($C$32+$D$32+$E$32)</f>
        <v>0</v>
      </c>
      <c r="E33" s="108">
        <f>E32/($C$32+$D$32+$E$32)</f>
        <v>0</v>
      </c>
      <c r="F33" s="109"/>
      <c r="G33" s="178"/>
      <c r="H33" s="179"/>
      <c r="I33" s="180"/>
      <c r="J33" s="124"/>
      <c r="K33" s="125"/>
      <c r="L33" s="216"/>
      <c r="M33" s="122"/>
      <c r="Q33" s="152">
        <f>480-Q32</f>
        <v>0</v>
      </c>
      <c r="R33" s="179">
        <f>+R32/Q32</f>
        <v>1000</v>
      </c>
      <c r="S33" s="179">
        <f>+S32/Q32</f>
        <v>760</v>
      </c>
    </row>
    <row r="34" spans="1:19" ht="13.5" thickBot="1">
      <c r="A34" s="801" t="s">
        <v>70</v>
      </c>
      <c r="B34" s="802"/>
      <c r="C34" s="110">
        <f>C14+C23+C32</f>
        <v>28408</v>
      </c>
      <c r="D34" s="110">
        <f>D14+D23+D32</f>
        <v>0</v>
      </c>
      <c r="E34" s="110">
        <f>E14+E23+E32</f>
        <v>0</v>
      </c>
      <c r="F34" s="111">
        <f>F14+F23+F32</f>
        <v>533</v>
      </c>
      <c r="H34" s="181">
        <f>44+369+120</f>
        <v>533</v>
      </c>
      <c r="I34" s="181"/>
      <c r="J34" s="126" t="s">
        <v>29</v>
      </c>
      <c r="K34" s="127">
        <f>SUM(K7:K32)</f>
        <v>28408</v>
      </c>
      <c r="L34" s="215">
        <f>SUM(L7:L32)</f>
        <v>0</v>
      </c>
      <c r="M34" s="123">
        <f>SUM(M7:M32)</f>
        <v>63928</v>
      </c>
      <c r="N34" s="158"/>
    </row>
    <row r="35" spans="1:19" ht="13.5" thickBot="1">
      <c r="A35" s="182"/>
      <c r="B35" s="183"/>
      <c r="C35" s="107">
        <f>C34/($C$34+$D$34+$E$34)</f>
        <v>1</v>
      </c>
      <c r="D35" s="107">
        <f>D34/($C$34+$D$34+$E$34)</f>
        <v>0</v>
      </c>
      <c r="E35" s="112">
        <f>E34/($C$34+$D$34+$E$34)</f>
        <v>0</v>
      </c>
      <c r="H35" s="152">
        <f ca="1">+H35:H37</f>
        <v>0</v>
      </c>
      <c r="K35" s="158"/>
      <c r="L35" s="792" t="s">
        <v>187</v>
      </c>
      <c r="M35" s="792"/>
    </row>
    <row r="36" spans="1:19" ht="13.5" thickBot="1">
      <c r="A36" s="181"/>
      <c r="B36" s="181"/>
      <c r="C36" s="158"/>
      <c r="D36" s="158"/>
      <c r="E36" s="158"/>
      <c r="G36" s="158"/>
      <c r="H36" s="184"/>
      <c r="I36" s="165" t="s">
        <v>41</v>
      </c>
      <c r="J36" s="165" t="s">
        <v>42</v>
      </c>
      <c r="K36" s="185"/>
      <c r="L36" s="165" t="s">
        <v>41</v>
      </c>
      <c r="M36" s="165" t="s">
        <v>42</v>
      </c>
    </row>
    <row r="37" spans="1:19" ht="17.45" customHeight="1" thickBot="1">
      <c r="A37" s="790" t="s">
        <v>71</v>
      </c>
      <c r="B37" s="791"/>
      <c r="C37" s="165" t="s">
        <v>72</v>
      </c>
      <c r="D37" s="186" t="s">
        <v>73</v>
      </c>
      <c r="E37" s="187" t="s">
        <v>74</v>
      </c>
      <c r="F37" s="365"/>
      <c r="G37" s="367"/>
      <c r="H37" s="189" t="s">
        <v>75</v>
      </c>
      <c r="I37" s="247">
        <f>(15.5*951)/951*G42*2.75*951/1000000</f>
        <v>30.807645000000001</v>
      </c>
      <c r="J37" s="128">
        <f>+I37+'1'!J37</f>
        <v>74.992648734129958</v>
      </c>
      <c r="K37" s="129" t="s">
        <v>76</v>
      </c>
      <c r="L37" s="426"/>
      <c r="M37" s="427"/>
      <c r="N37" s="152">
        <v>366</v>
      </c>
    </row>
    <row r="38" spans="1:19" ht="17.45" customHeight="1">
      <c r="A38" s="786" t="s">
        <v>13</v>
      </c>
      <c r="B38" s="787"/>
      <c r="C38" s="167">
        <f>SUMIF($G$7:$G$31,"Process",$F$7:$F$31)</f>
        <v>403</v>
      </c>
      <c r="D38" s="121">
        <f>+C38+'1'!D38</f>
        <v>560</v>
      </c>
      <c r="E38" s="146">
        <f t="shared" ref="E38:E51" si="6">D38/60</f>
        <v>9.3333333333333339</v>
      </c>
      <c r="F38" s="365">
        <v>1000</v>
      </c>
      <c r="G38" s="365">
        <v>760</v>
      </c>
      <c r="H38" s="190" t="s">
        <v>77</v>
      </c>
      <c r="I38" s="547">
        <f>10.219+0.3133+14.349</f>
        <v>24.8813</v>
      </c>
      <c r="J38" s="130">
        <f>+I38+'1'!J38</f>
        <v>64.394300000000001</v>
      </c>
      <c r="K38" s="131" t="s">
        <v>76</v>
      </c>
      <c r="L38" s="428"/>
      <c r="M38" s="429"/>
      <c r="N38" s="152">
        <v>105</v>
      </c>
    </row>
    <row r="39" spans="1:19" ht="17.45" customHeight="1">
      <c r="A39" s="782" t="s">
        <v>14</v>
      </c>
      <c r="B39" s="783"/>
      <c r="C39" s="167">
        <f>SUMIF($G$7:$G$31,"Cleaning",$F$7:$F$31)</f>
        <v>10</v>
      </c>
      <c r="D39" s="121">
        <f>+C39+'1'!D39</f>
        <v>20</v>
      </c>
      <c r="E39" s="146">
        <f t="shared" si="6"/>
        <v>0.33333333333333331</v>
      </c>
      <c r="F39" s="365">
        <v>1000</v>
      </c>
      <c r="G39" s="365">
        <v>760</v>
      </c>
      <c r="H39" s="190" t="s">
        <v>78</v>
      </c>
      <c r="I39" s="145"/>
      <c r="J39" s="132">
        <f>J37/G4</f>
        <v>37.496324367064979</v>
      </c>
      <c r="K39" s="133" t="s">
        <v>76</v>
      </c>
      <c r="L39" s="428"/>
      <c r="M39" s="429"/>
      <c r="N39" s="152">
        <v>480</v>
      </c>
    </row>
    <row r="40" spans="1:19" ht="17.45" customHeight="1">
      <c r="A40" s="782" t="s">
        <v>79</v>
      </c>
      <c r="B40" s="783"/>
      <c r="C40" s="167">
        <f>SUMIF($G$7:$G$31,"Mechanical",$F$7:$F$31)</f>
        <v>120</v>
      </c>
      <c r="D40" s="121">
        <f>+C40+'1'!D40</f>
        <v>120</v>
      </c>
      <c r="E40" s="146">
        <f t="shared" si="6"/>
        <v>2</v>
      </c>
      <c r="F40" s="365">
        <v>1000</v>
      </c>
      <c r="G40" s="365">
        <v>760</v>
      </c>
      <c r="H40" s="190" t="s">
        <v>80</v>
      </c>
      <c r="I40" s="121">
        <f>(K34+L34)/1000</f>
        <v>28.408000000000001</v>
      </c>
      <c r="J40" s="134">
        <f>+I40+'1'!J40</f>
        <v>63.928000000000004</v>
      </c>
      <c r="K40" s="133" t="s">
        <v>76</v>
      </c>
      <c r="L40" s="428"/>
      <c r="M40" s="429"/>
      <c r="N40" s="152">
        <f>SUM(N37:N39)</f>
        <v>951</v>
      </c>
    </row>
    <row r="41" spans="1:19" ht="17.45" customHeight="1">
      <c r="A41" s="782" t="s">
        <v>81</v>
      </c>
      <c r="B41" s="783"/>
      <c r="C41" s="167">
        <f>SUMIF($G$7:$G$31,"Electrical",$F$7:$F$31)</f>
        <v>0</v>
      </c>
      <c r="D41" s="121">
        <f>+C41+'1'!D41</f>
        <v>0</v>
      </c>
      <c r="E41" s="146">
        <f t="shared" si="6"/>
        <v>0</v>
      </c>
      <c r="F41" s="365"/>
      <c r="G41" s="365"/>
      <c r="H41" s="190" t="s">
        <v>82</v>
      </c>
      <c r="I41" s="145"/>
      <c r="J41" s="132">
        <f>J40/G4</f>
        <v>31.964000000000002</v>
      </c>
      <c r="K41" s="133" t="s">
        <v>76</v>
      </c>
      <c r="L41" s="428"/>
      <c r="M41" s="429"/>
    </row>
    <row r="42" spans="1:19" ht="17.45" customHeight="1">
      <c r="A42" s="782" t="s">
        <v>17</v>
      </c>
      <c r="B42" s="783"/>
      <c r="C42" s="167">
        <f>SUMIF($G$7:$G$31,"Instrument",$F$7:$F$31)</f>
        <v>0</v>
      </c>
      <c r="D42" s="121">
        <f>+C42+'1'!D42</f>
        <v>0</v>
      </c>
      <c r="E42" s="146">
        <f t="shared" si="6"/>
        <v>0</v>
      </c>
      <c r="F42" s="365">
        <f>+(366*F38+105*F39+480*F40)/951</f>
        <v>1000</v>
      </c>
      <c r="G42" s="365">
        <f>+(366*G38+105*G39+480*G40)/951</f>
        <v>760</v>
      </c>
      <c r="H42" s="190" t="s">
        <v>83</v>
      </c>
      <c r="I42" s="249" t="s">
        <v>417</v>
      </c>
      <c r="J42" s="135"/>
      <c r="K42" s="133" t="s">
        <v>84</v>
      </c>
      <c r="L42" s="428"/>
      <c r="M42" s="429"/>
    </row>
    <row r="43" spans="1:19" ht="17.45" customHeight="1">
      <c r="A43" s="782" t="s">
        <v>85</v>
      </c>
      <c r="B43" s="783"/>
      <c r="C43" s="167">
        <f>SUMIF($G$7:$G$31,"Water",$F$7:$F$31)</f>
        <v>0</v>
      </c>
      <c r="D43" s="121">
        <f>+C43+'1'!D43</f>
        <v>0</v>
      </c>
      <c r="E43" s="146">
        <f t="shared" si="6"/>
        <v>0</v>
      </c>
      <c r="F43" s="365"/>
      <c r="G43" s="366"/>
      <c r="H43" s="191" t="s">
        <v>86</v>
      </c>
      <c r="I43" s="121">
        <f>+Report1!AH10</f>
        <v>50.5</v>
      </c>
      <c r="J43" s="136">
        <f>+I43+'1'!J43</f>
        <v>109.5</v>
      </c>
      <c r="K43" s="133" t="s">
        <v>76</v>
      </c>
      <c r="L43" s="430">
        <f>+Report1!AN10</f>
        <v>0</v>
      </c>
      <c r="M43" s="431">
        <f>+L43+'1'!M43</f>
        <v>0</v>
      </c>
    </row>
    <row r="44" spans="1:19" ht="17.45" customHeight="1">
      <c r="A44" s="782" t="s">
        <v>18</v>
      </c>
      <c r="B44" s="783"/>
      <c r="C44" s="167">
        <f>SUMIF($G$7:$G$31,"PLN",$F$7:$F$31)</f>
        <v>0</v>
      </c>
      <c r="D44" s="121">
        <f>+C44+'1'!D44</f>
        <v>0</v>
      </c>
      <c r="E44" s="146">
        <f t="shared" si="6"/>
        <v>0</v>
      </c>
      <c r="F44" s="365"/>
      <c r="G44" s="366"/>
      <c r="H44" s="191" t="s">
        <v>87</v>
      </c>
      <c r="I44" s="121">
        <f>I43/I38</f>
        <v>2.0296367151234058</v>
      </c>
      <c r="J44" s="137">
        <f>J43/J38</f>
        <v>1.7004610656533263</v>
      </c>
      <c r="K44" s="133" t="s">
        <v>76</v>
      </c>
      <c r="L44" s="432">
        <f>+L43/I38</f>
        <v>0</v>
      </c>
      <c r="M44" s="433">
        <f>+M43/J38</f>
        <v>0</v>
      </c>
    </row>
    <row r="45" spans="1:19" ht="17.45" customHeight="1">
      <c r="A45" s="782" t="s">
        <v>19</v>
      </c>
      <c r="B45" s="783"/>
      <c r="C45" s="167">
        <f>SUMIF($G$7:$G$31,"Boiler",$F$7:$F$31)</f>
        <v>0</v>
      </c>
      <c r="D45" s="121">
        <f>+C45+'1'!D45</f>
        <v>0</v>
      </c>
      <c r="E45" s="146">
        <f t="shared" si="6"/>
        <v>0</v>
      </c>
      <c r="F45" s="365"/>
      <c r="G45" s="368"/>
      <c r="H45" s="191" t="s">
        <v>88</v>
      </c>
      <c r="I45" s="121">
        <f>I43/I40</f>
        <v>1.7776682624612785</v>
      </c>
      <c r="J45" s="137">
        <f>J43/J40</f>
        <v>1.712864472531598</v>
      </c>
      <c r="K45" s="133" t="s">
        <v>76</v>
      </c>
      <c r="L45" s="432">
        <f>+L43/I40</f>
        <v>0</v>
      </c>
      <c r="M45" s="433">
        <f>+M43/J40</f>
        <v>0</v>
      </c>
    </row>
    <row r="46" spans="1:19" ht="17.45" customHeight="1">
      <c r="A46" s="782" t="s">
        <v>89</v>
      </c>
      <c r="B46" s="783"/>
      <c r="C46" s="167">
        <f>SUMIF($G$7:$G$31,"Gas",$F$7:$F$31)</f>
        <v>0</v>
      </c>
      <c r="D46" s="121">
        <f>+C46+'1'!D46</f>
        <v>0</v>
      </c>
      <c r="E46" s="146">
        <f t="shared" si="6"/>
        <v>0</v>
      </c>
      <c r="F46" s="365"/>
      <c r="G46" s="366"/>
      <c r="H46" s="191" t="s">
        <v>90</v>
      </c>
      <c r="I46" s="143">
        <f>+SUMIF(Listrik!P9,"&gt;0")</f>
        <v>28571.699999999975</v>
      </c>
      <c r="J46" s="138">
        <f>+I46+'1'!J46</f>
        <v>65252.599999999955</v>
      </c>
      <c r="K46" s="133" t="s">
        <v>91</v>
      </c>
      <c r="L46" s="432">
        <f>+Listrik!AF9</f>
        <v>0</v>
      </c>
      <c r="M46" s="434">
        <f>+L46+'1'!M46</f>
        <v>0</v>
      </c>
    </row>
    <row r="47" spans="1:19" ht="17.45" customHeight="1">
      <c r="A47" s="782" t="s">
        <v>92</v>
      </c>
      <c r="B47" s="783"/>
      <c r="C47" s="167">
        <f>SUMIF($G$7:$G$31,"Gas",$F$7:$F$31)</f>
        <v>0</v>
      </c>
      <c r="D47" s="121">
        <f>+C47+'1'!D47</f>
        <v>0</v>
      </c>
      <c r="E47" s="146">
        <f t="shared" si="6"/>
        <v>0</v>
      </c>
      <c r="F47" s="365"/>
      <c r="G47" s="366"/>
      <c r="H47" s="191" t="s">
        <v>93</v>
      </c>
      <c r="I47" s="121">
        <f>I46/I38</f>
        <v>1148.3202244255717</v>
      </c>
      <c r="J47" s="138">
        <f>J46/J38</f>
        <v>1013.3288194762573</v>
      </c>
      <c r="K47" s="133" t="s">
        <v>25</v>
      </c>
      <c r="L47" s="428">
        <f>+L46/I38</f>
        <v>0</v>
      </c>
      <c r="M47" s="433">
        <f>+M46/J38</f>
        <v>0</v>
      </c>
    </row>
    <row r="48" spans="1:19" ht="17.45" customHeight="1">
      <c r="A48" s="782" t="s">
        <v>15</v>
      </c>
      <c r="B48" s="783"/>
      <c r="C48" s="167">
        <f>SUMIF($G$7:$G$31,"Start Up",$F$7:$F$31)</f>
        <v>0</v>
      </c>
      <c r="D48" s="121">
        <f>+C48+'1'!D48</f>
        <v>0</v>
      </c>
      <c r="E48" s="146">
        <f t="shared" si="6"/>
        <v>0</v>
      </c>
      <c r="F48" s="365"/>
      <c r="G48" s="366"/>
      <c r="H48" s="191" t="s">
        <v>94</v>
      </c>
      <c r="I48" s="121">
        <f>I46/I40</f>
        <v>1005.7624612785122</v>
      </c>
      <c r="J48" s="138">
        <f>J46/J40</f>
        <v>1020.7201852083587</v>
      </c>
      <c r="K48" s="133" t="s">
        <v>25</v>
      </c>
      <c r="L48" s="432">
        <f>+L46/I38</f>
        <v>0</v>
      </c>
      <c r="M48" s="433">
        <f>+M46/J40</f>
        <v>0</v>
      </c>
    </row>
    <row r="49" spans="1:13" ht="17.45" customHeight="1">
      <c r="A49" s="782" t="s">
        <v>21</v>
      </c>
      <c r="B49" s="783"/>
      <c r="C49" s="167">
        <f>SUMIF($G$7:$G$31,"Others",$F$7:$F$31)</f>
        <v>0</v>
      </c>
      <c r="D49" s="121">
        <f>+C49+'1'!D49</f>
        <v>0</v>
      </c>
      <c r="E49" s="146">
        <f t="shared" si="6"/>
        <v>0</v>
      </c>
      <c r="F49" s="188"/>
      <c r="H49" s="191" t="s">
        <v>182</v>
      </c>
      <c r="I49" s="121">
        <f>+Report1!AB10</f>
        <v>3311.0567222482282</v>
      </c>
      <c r="J49" s="138">
        <f>+I49+'1'!J49</f>
        <v>3311.0567222482282</v>
      </c>
      <c r="K49" s="133" t="s">
        <v>96</v>
      </c>
      <c r="L49" s="428"/>
      <c r="M49" s="429"/>
    </row>
    <row r="50" spans="1:13" ht="17.45" customHeight="1">
      <c r="A50" s="782" t="s">
        <v>20</v>
      </c>
      <c r="B50" s="783"/>
      <c r="C50" s="167">
        <f>SUMIF($G$7:$G$31,"Steam",$F$7:$F$31)</f>
        <v>0</v>
      </c>
      <c r="D50" s="121">
        <f>+C50+'1'!D50</f>
        <v>0</v>
      </c>
      <c r="E50" s="146">
        <f t="shared" si="6"/>
        <v>0</v>
      </c>
      <c r="F50" s="188"/>
      <c r="H50" s="191" t="s">
        <v>97</v>
      </c>
      <c r="I50" s="143">
        <f>I49/I38</f>
        <v>133.07410473923099</v>
      </c>
      <c r="J50" s="136">
        <f>J49/J38</f>
        <v>51.418475272628605</v>
      </c>
      <c r="K50" s="133" t="s">
        <v>96</v>
      </c>
      <c r="L50" s="428"/>
      <c r="M50" s="429"/>
    </row>
    <row r="51" spans="1:13" ht="17.45" customHeight="1" thickBot="1">
      <c r="A51" s="784" t="s">
        <v>98</v>
      </c>
      <c r="B51" s="785"/>
      <c r="C51" s="167">
        <f>SUMIF($G$7:$G$31,"Planned shut",$F$7:$F$31)</f>
        <v>0</v>
      </c>
      <c r="D51" s="121">
        <f>+C51+'1'!D51</f>
        <v>0</v>
      </c>
      <c r="E51" s="146">
        <f t="shared" si="6"/>
        <v>0</v>
      </c>
      <c r="F51" s="188"/>
      <c r="H51" s="193" t="s">
        <v>99</v>
      </c>
      <c r="I51" s="144">
        <f>I49/I40</f>
        <v>116.55367228415334</v>
      </c>
      <c r="J51" s="139">
        <f>J49/J40</f>
        <v>51.793529005259479</v>
      </c>
      <c r="K51" s="140" t="s">
        <v>96</v>
      </c>
      <c r="L51" s="428"/>
      <c r="M51" s="429"/>
    </row>
    <row r="52" spans="1:13" ht="13.5" thickBot="1">
      <c r="A52" s="786" t="s">
        <v>29</v>
      </c>
      <c r="B52" s="787"/>
      <c r="C52" s="147">
        <f>SUM(C38:C51)</f>
        <v>533</v>
      </c>
      <c r="D52" s="147">
        <f>SUM(D38:D51)</f>
        <v>700</v>
      </c>
      <c r="E52" s="148">
        <f>SUM(E38:E51)</f>
        <v>11.666666666666668</v>
      </c>
      <c r="F52" s="188"/>
      <c r="H52" s="194"/>
      <c r="I52" s="195"/>
      <c r="J52" s="141"/>
      <c r="K52" s="142"/>
      <c r="L52" s="435"/>
      <c r="M52" s="436"/>
    </row>
    <row r="53" spans="1:13" ht="13.5" thickBot="1">
      <c r="A53" s="788"/>
      <c r="B53" s="789"/>
      <c r="C53" s="149">
        <f>C52/(24*60)</f>
        <v>0.37013888888888891</v>
      </c>
      <c r="D53" s="149">
        <f>D52/(24*60*G4)</f>
        <v>0.24305555555555555</v>
      </c>
      <c r="E53" s="150">
        <f>E52/(G4*24)</f>
        <v>0.24305555555555558</v>
      </c>
      <c r="F53" s="188"/>
    </row>
    <row r="54" spans="1:13">
      <c r="E54" s="196"/>
      <c r="F54" s="188"/>
    </row>
    <row r="55" spans="1:13">
      <c r="E55" s="196"/>
    </row>
    <row r="56" spans="1:13">
      <c r="A56" s="197" t="s">
        <v>100</v>
      </c>
      <c r="B56" s="198"/>
      <c r="C56" s="199"/>
      <c r="D56" s="199"/>
      <c r="E56" s="199"/>
      <c r="F56" s="200"/>
      <c r="G56" s="199"/>
      <c r="H56" s="201"/>
      <c r="I56" s="202" t="s">
        <v>101</v>
      </c>
      <c r="J56" s="203">
        <f>+D34+'1'!J56</f>
        <v>690</v>
      </c>
      <c r="K56" s="204">
        <f>J56/(J40+J56/1000)/1000</f>
        <v>1.0678139218174501E-2</v>
      </c>
    </row>
    <row r="57" spans="1:13">
      <c r="A57" s="179"/>
      <c r="I57" s="202" t="s">
        <v>102</v>
      </c>
      <c r="J57" s="203">
        <f>+E34+'1'!J57</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I7:I13"/>
    <mergeCell ref="I15:I22"/>
    <mergeCell ref="A7:A14"/>
    <mergeCell ref="A15:A23"/>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1" type="noConversion"/>
  <printOptions horizontalCentered="1"/>
  <pageMargins left="0.17" right="0.16" top="0.17" bottom="0.16" header="0" footer="0"/>
  <pageSetup paperSize="9" scale="62" firstPageNumber="4294963191" orientation="landscape"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Y61"/>
  <sheetViews>
    <sheetView view="pageBreakPreview" zoomScale="80" zoomScaleNormal="75" zoomScaleSheetLayoutView="80" workbookViewId="0">
      <selection activeCell="A7" sqref="A7:A32"/>
    </sheetView>
  </sheetViews>
  <sheetFormatPr defaultColWidth="9.140625" defaultRowHeight="12.75"/>
  <cols>
    <col min="1" max="1" width="8" style="152" customWidth="1"/>
    <col min="2" max="2" width="7" style="152" bestFit="1" customWidth="1"/>
    <col min="3" max="3" width="14.85546875" style="152" bestFit="1" customWidth="1"/>
    <col min="4" max="4" width="12.7109375" style="152" bestFit="1" customWidth="1"/>
    <col min="5" max="5" width="13.85546875" style="152" bestFit="1" customWidth="1"/>
    <col min="6" max="6" width="12.140625" style="113" bestFit="1" customWidth="1"/>
    <col min="7" max="7" width="11.42578125" style="152" bestFit="1" customWidth="1"/>
    <col min="8" max="8" width="64.85546875" style="152" customWidth="1"/>
    <col min="9" max="9" width="14.7109375" style="152" bestFit="1" customWidth="1"/>
    <col min="10" max="10" width="18.7109375" style="152" bestFit="1" customWidth="1"/>
    <col min="11" max="11" width="14" style="152" bestFit="1" customWidth="1"/>
    <col min="12" max="12" width="8.28515625" style="152" customWidth="1"/>
    <col min="13" max="13" width="14.42578125" style="152" bestFit="1" customWidth="1"/>
    <col min="14" max="14" width="9.140625" style="152" bestFit="1"/>
    <col min="15" max="16384" width="9.140625" style="152"/>
  </cols>
  <sheetData>
    <row r="1" spans="1:25" ht="15.75">
      <c r="A1" s="151"/>
    </row>
    <row r="2" spans="1:25" ht="15.75">
      <c r="A2" s="151" t="s">
        <v>185</v>
      </c>
    </row>
    <row r="3" spans="1:25" ht="15">
      <c r="A3" s="153"/>
    </row>
    <row r="4" spans="1:25" ht="20.25">
      <c r="A4" s="154" t="s">
        <v>5</v>
      </c>
      <c r="B4" s="155"/>
      <c r="F4" s="156" t="s">
        <v>30</v>
      </c>
      <c r="G4" s="157">
        <v>1</v>
      </c>
      <c r="H4" s="157" t="s">
        <v>406</v>
      </c>
    </row>
    <row r="5" spans="1:25" ht="13.5" thickBot="1">
      <c r="C5" s="158"/>
      <c r="D5" s="158"/>
    </row>
    <row r="6" spans="1:25" ht="26.25" thickBot="1">
      <c r="A6" s="159" t="s">
        <v>60</v>
      </c>
      <c r="B6" s="160" t="s">
        <v>10</v>
      </c>
      <c r="C6" s="160" t="s">
        <v>61</v>
      </c>
      <c r="D6" s="160" t="s">
        <v>62</v>
      </c>
      <c r="E6" s="161" t="s">
        <v>63</v>
      </c>
      <c r="F6" s="105" t="s">
        <v>64</v>
      </c>
      <c r="G6" s="160" t="s">
        <v>65</v>
      </c>
      <c r="H6" s="162" t="s">
        <v>66</v>
      </c>
      <c r="I6" s="163" t="s">
        <v>67</v>
      </c>
      <c r="J6" s="164" t="s">
        <v>10</v>
      </c>
      <c r="K6" s="165" t="s">
        <v>68</v>
      </c>
      <c r="L6" s="213" t="s">
        <v>155</v>
      </c>
      <c r="M6" s="166" t="s">
        <v>69</v>
      </c>
      <c r="N6" s="152" t="s">
        <v>413</v>
      </c>
      <c r="O6" s="152">
        <v>1120</v>
      </c>
      <c r="P6" s="152">
        <f>+O6-(O6*0.24)</f>
        <v>851.2</v>
      </c>
      <c r="Q6" s="152">
        <f>60*3+20</f>
        <v>200</v>
      </c>
      <c r="R6" s="152">
        <f t="shared" ref="R6:R7" si="0">+O6*Q6</f>
        <v>224000</v>
      </c>
      <c r="S6" s="152">
        <f t="shared" ref="S6:S7" si="1">+P6*Q6</f>
        <v>170240</v>
      </c>
      <c r="T6" s="152" t="s">
        <v>414</v>
      </c>
      <c r="U6" s="152">
        <v>1050</v>
      </c>
      <c r="V6" s="152">
        <v>798</v>
      </c>
      <c r="W6" s="152">
        <v>160</v>
      </c>
      <c r="X6" s="152">
        <f t="shared" ref="X6:X7" si="2">+U6*W6</f>
        <v>168000</v>
      </c>
      <c r="Y6" s="152">
        <f t="shared" ref="Y6:Y7" si="3">+V6*W6</f>
        <v>127680</v>
      </c>
    </row>
    <row r="7" spans="1:25" ht="13.5" customHeight="1" thickBot="1">
      <c r="A7" s="793" t="s">
        <v>430</v>
      </c>
      <c r="B7" s="218" t="s">
        <v>433</v>
      </c>
      <c r="C7" s="219">
        <v>6413</v>
      </c>
      <c r="D7" s="220"/>
      <c r="E7" s="221"/>
      <c r="F7" s="231"/>
      <c r="G7" s="232" t="s">
        <v>13</v>
      </c>
      <c r="H7" s="233" t="s">
        <v>391</v>
      </c>
      <c r="I7" s="796" t="s">
        <v>415</v>
      </c>
      <c r="J7" s="253" t="s">
        <v>433</v>
      </c>
      <c r="K7" s="241">
        <f>+C7+C17</f>
        <v>9310</v>
      </c>
      <c r="L7" s="245"/>
      <c r="M7" s="120">
        <f>+K7+L7</f>
        <v>9310</v>
      </c>
      <c r="N7" s="152" t="s">
        <v>414</v>
      </c>
      <c r="O7" s="152">
        <v>1050</v>
      </c>
      <c r="P7" s="152">
        <f>+O7-(O7*0.24)</f>
        <v>798</v>
      </c>
      <c r="Q7" s="152">
        <f>60-20+120</f>
        <v>160</v>
      </c>
      <c r="R7" s="152">
        <f t="shared" si="0"/>
        <v>168000</v>
      </c>
      <c r="S7" s="152">
        <f t="shared" si="1"/>
        <v>127680</v>
      </c>
      <c r="T7" s="152" t="s">
        <v>414</v>
      </c>
      <c r="U7" s="152">
        <v>1050</v>
      </c>
      <c r="V7" s="152">
        <v>798</v>
      </c>
      <c r="W7" s="152">
        <v>480</v>
      </c>
      <c r="X7" s="152">
        <f t="shared" si="2"/>
        <v>504000</v>
      </c>
      <c r="Y7" s="152">
        <f t="shared" si="3"/>
        <v>383040</v>
      </c>
    </row>
    <row r="8" spans="1:25" ht="13.5" thickBot="1">
      <c r="A8" s="794"/>
      <c r="B8" s="218" t="s">
        <v>434</v>
      </c>
      <c r="C8" s="219"/>
      <c r="D8" s="220"/>
      <c r="E8" s="222"/>
      <c r="F8" s="234">
        <v>4</v>
      </c>
      <c r="G8" s="583" t="s">
        <v>13</v>
      </c>
      <c r="H8" s="233" t="s">
        <v>420</v>
      </c>
      <c r="I8" s="797"/>
      <c r="J8" s="254" t="s">
        <v>434</v>
      </c>
      <c r="K8" s="242">
        <f>+C16+C25</f>
        <v>26210</v>
      </c>
      <c r="L8" s="242"/>
      <c r="M8" s="120">
        <f t="shared" ref="M8:M32" si="4">+K8+L8</f>
        <v>26210</v>
      </c>
      <c r="T8" s="152" t="s">
        <v>414</v>
      </c>
      <c r="U8" s="152">
        <v>1000</v>
      </c>
      <c r="V8" s="152">
        <v>760</v>
      </c>
      <c r="W8" s="152">
        <v>480</v>
      </c>
      <c r="X8" s="152">
        <f t="shared" ref="X8" si="5">+U8*W8</f>
        <v>480000</v>
      </c>
      <c r="Y8" s="152">
        <f t="shared" ref="Y8" si="6">+V8*W8</f>
        <v>364800</v>
      </c>
    </row>
    <row r="9" spans="1:25" ht="13.5" thickBot="1">
      <c r="A9" s="794"/>
      <c r="B9" s="218"/>
      <c r="C9" s="219"/>
      <c r="D9" s="220"/>
      <c r="E9" s="223"/>
      <c r="F9" s="231">
        <v>3</v>
      </c>
      <c r="G9" s="583" t="s">
        <v>13</v>
      </c>
      <c r="H9" s="236" t="s">
        <v>419</v>
      </c>
      <c r="I9" s="797"/>
      <c r="J9" s="254"/>
      <c r="K9" s="242"/>
      <c r="L9" s="242"/>
      <c r="M9" s="120">
        <f t="shared" si="4"/>
        <v>0</v>
      </c>
    </row>
    <row r="10" spans="1:25" ht="26.25" thickBot="1">
      <c r="A10" s="794"/>
      <c r="B10" s="218"/>
      <c r="C10" s="219"/>
      <c r="D10" s="220"/>
      <c r="E10" s="222"/>
      <c r="F10" s="231">
        <v>10</v>
      </c>
      <c r="G10" s="240" t="s">
        <v>14</v>
      </c>
      <c r="H10" s="236" t="s">
        <v>407</v>
      </c>
      <c r="I10" s="797"/>
      <c r="J10" s="253"/>
      <c r="K10" s="242"/>
      <c r="L10" s="242"/>
      <c r="M10" s="120">
        <f t="shared" si="4"/>
        <v>0</v>
      </c>
    </row>
    <row r="11" spans="1:25" ht="115.5" thickBot="1">
      <c r="A11" s="794"/>
      <c r="B11" s="218"/>
      <c r="C11" s="219"/>
      <c r="D11" s="220"/>
      <c r="E11" s="222"/>
      <c r="F11" s="231">
        <f>60-20+60+20</f>
        <v>120</v>
      </c>
      <c r="G11" s="232" t="s">
        <v>13</v>
      </c>
      <c r="H11" s="236" t="s">
        <v>408</v>
      </c>
      <c r="I11" s="797"/>
      <c r="J11" s="253"/>
      <c r="K11" s="242"/>
      <c r="L11" s="242"/>
      <c r="M11" s="120">
        <f t="shared" si="4"/>
        <v>0</v>
      </c>
    </row>
    <row r="12" spans="1:25" ht="13.5" thickBot="1">
      <c r="A12" s="794"/>
      <c r="B12" s="218"/>
      <c r="C12" s="219"/>
      <c r="D12" s="220"/>
      <c r="E12" s="222"/>
      <c r="F12" s="231"/>
      <c r="G12" s="235"/>
      <c r="H12" s="236"/>
      <c r="I12" s="797"/>
      <c r="J12" s="253"/>
      <c r="K12" s="242"/>
      <c r="L12" s="242"/>
      <c r="M12" s="120">
        <f t="shared" si="4"/>
        <v>0</v>
      </c>
    </row>
    <row r="13" spans="1:25" ht="13.5" thickBot="1">
      <c r="A13" s="794"/>
      <c r="B13" s="218"/>
      <c r="C13" s="219"/>
      <c r="D13" s="219"/>
      <c r="E13" s="222"/>
      <c r="F13" s="231"/>
      <c r="G13" s="235"/>
      <c r="H13" s="236"/>
      <c r="I13" s="798"/>
      <c r="J13" s="253"/>
      <c r="K13" s="242"/>
      <c r="L13" s="242"/>
      <c r="M13" s="120">
        <f t="shared" si="4"/>
        <v>0</v>
      </c>
      <c r="Q13" s="179">
        <f>SUM(Q5:Q12)</f>
        <v>360</v>
      </c>
      <c r="R13" s="179">
        <f>SUM(R5:R12)</f>
        <v>392000</v>
      </c>
      <c r="S13" s="179">
        <f>SUM(S5:S12)</f>
        <v>297920</v>
      </c>
      <c r="W13" s="179">
        <f>SUM(W5:W12)</f>
        <v>1120</v>
      </c>
      <c r="X13" s="179">
        <f>SUM(X5:X12)</f>
        <v>1152000</v>
      </c>
      <c r="Y13" s="179">
        <f>SUM(Y5:Y12)</f>
        <v>875520</v>
      </c>
    </row>
    <row r="14" spans="1:25" ht="13.5" thickBot="1">
      <c r="A14" s="795"/>
      <c r="B14" s="168" t="s">
        <v>3</v>
      </c>
      <c r="C14" s="102">
        <f>SUM(C7:C13)</f>
        <v>6413</v>
      </c>
      <c r="D14" s="114">
        <f>SUM(D7:D13)</f>
        <v>0</v>
      </c>
      <c r="E14" s="115">
        <f>SUM(E5:E13)</f>
        <v>0</v>
      </c>
      <c r="F14" s="105">
        <f>SUM(F6:F13)</f>
        <v>137</v>
      </c>
      <c r="G14" s="162"/>
      <c r="H14" s="169"/>
      <c r="I14" s="170"/>
      <c r="J14" s="253"/>
      <c r="K14" s="242"/>
      <c r="L14" s="242"/>
      <c r="M14" s="120">
        <f t="shared" si="4"/>
        <v>0</v>
      </c>
      <c r="Q14" s="152">
        <f>480-Q13</f>
        <v>120</v>
      </c>
      <c r="R14" s="179">
        <f>+R13/Q13</f>
        <v>1088.8888888888889</v>
      </c>
      <c r="S14" s="179">
        <f>+S13/Q13</f>
        <v>827.55555555555554</v>
      </c>
      <c r="W14" s="152">
        <f>480-W13</f>
        <v>-640</v>
      </c>
      <c r="X14" s="179">
        <f>+X13/W13</f>
        <v>1028.5714285714287</v>
      </c>
      <c r="Y14" s="179">
        <f>+Y13/W13</f>
        <v>781.71428571428567</v>
      </c>
    </row>
    <row r="15" spans="1:25" ht="13.5" customHeight="1" thickBot="1">
      <c r="A15" s="793" t="s">
        <v>431</v>
      </c>
      <c r="B15" s="168"/>
      <c r="C15" s="116">
        <f>C14/($C$23+$D$23+$E$23)</f>
        <v>0.39122742801366522</v>
      </c>
      <c r="D15" s="117">
        <f>D14/($C$23+$D$23+$E$23)</f>
        <v>0</v>
      </c>
      <c r="E15" s="118">
        <f>E14/($C$23+$D$23+$E$23)</f>
        <v>0</v>
      </c>
      <c r="F15" s="231"/>
      <c r="G15" s="232" t="s">
        <v>13</v>
      </c>
      <c r="H15" s="233" t="s">
        <v>391</v>
      </c>
      <c r="I15" s="796" t="s">
        <v>416</v>
      </c>
      <c r="J15" s="253"/>
      <c r="K15" s="242"/>
      <c r="L15" s="242"/>
      <c r="M15" s="120">
        <f t="shared" si="4"/>
        <v>0</v>
      </c>
      <c r="N15" s="152" t="s">
        <v>414</v>
      </c>
      <c r="O15" s="152">
        <v>1050</v>
      </c>
      <c r="P15" s="152">
        <f>+O15-(O15*0.24)</f>
        <v>798</v>
      </c>
      <c r="Q15" s="152">
        <v>480</v>
      </c>
      <c r="R15" s="152">
        <f t="shared" ref="R15" si="7">+O15*Q15</f>
        <v>504000</v>
      </c>
      <c r="S15" s="152">
        <f t="shared" ref="S15" si="8">+P15*Q15</f>
        <v>383040</v>
      </c>
    </row>
    <row r="16" spans="1:25" ht="13.5" thickBot="1">
      <c r="A16" s="804"/>
      <c r="B16" s="218" t="s">
        <v>434</v>
      </c>
      <c r="C16" s="225">
        <v>12805</v>
      </c>
      <c r="D16" s="226"/>
      <c r="E16" s="227"/>
      <c r="F16" s="234">
        <v>8</v>
      </c>
      <c r="G16" s="583" t="s">
        <v>13</v>
      </c>
      <c r="H16" s="233" t="s">
        <v>399</v>
      </c>
      <c r="I16" s="797"/>
      <c r="J16" s="253"/>
      <c r="K16" s="232"/>
      <c r="L16" s="232"/>
      <c r="M16" s="120">
        <f t="shared" si="4"/>
        <v>0</v>
      </c>
    </row>
    <row r="17" spans="1:19" ht="13.5" thickBot="1">
      <c r="A17" s="804"/>
      <c r="B17" s="218" t="s">
        <v>433</v>
      </c>
      <c r="C17" s="219">
        <v>2897</v>
      </c>
      <c r="D17" s="220">
        <v>690</v>
      </c>
      <c r="E17" s="228"/>
      <c r="F17" s="231">
        <v>10</v>
      </c>
      <c r="G17" s="583" t="s">
        <v>13</v>
      </c>
      <c r="H17" s="236" t="s">
        <v>421</v>
      </c>
      <c r="I17" s="797"/>
      <c r="J17" s="253"/>
      <c r="K17" s="232"/>
      <c r="L17" s="232"/>
      <c r="M17" s="120">
        <f t="shared" si="4"/>
        <v>0</v>
      </c>
    </row>
    <row r="18" spans="1:19" ht="26.25" thickBot="1">
      <c r="A18" s="804"/>
      <c r="B18" s="218"/>
      <c r="C18" s="219"/>
      <c r="D18" s="220"/>
      <c r="E18" s="228"/>
      <c r="F18" s="231"/>
      <c r="G18" s="240" t="s">
        <v>14</v>
      </c>
      <c r="H18" s="236" t="s">
        <v>409</v>
      </c>
      <c r="I18" s="797"/>
      <c r="J18" s="253"/>
      <c r="K18" s="242"/>
      <c r="L18" s="242"/>
      <c r="M18" s="120">
        <f t="shared" si="4"/>
        <v>0</v>
      </c>
    </row>
    <row r="19" spans="1:19" ht="26.25" thickBot="1">
      <c r="A19" s="804"/>
      <c r="B19" s="218"/>
      <c r="C19" s="219"/>
      <c r="D19" s="220"/>
      <c r="E19" s="228"/>
      <c r="F19" s="238"/>
      <c r="G19" s="235"/>
      <c r="H19" s="236" t="s">
        <v>410</v>
      </c>
      <c r="I19" s="797"/>
      <c r="J19" s="253"/>
      <c r="K19" s="242"/>
      <c r="L19" s="242"/>
      <c r="M19" s="120">
        <f t="shared" si="4"/>
        <v>0</v>
      </c>
    </row>
    <row r="20" spans="1:19" ht="13.5" thickBot="1">
      <c r="A20" s="804"/>
      <c r="B20" s="218"/>
      <c r="C20" s="219"/>
      <c r="D20" s="220"/>
      <c r="E20" s="228"/>
      <c r="F20" s="231"/>
      <c r="G20" s="235"/>
      <c r="H20" s="236"/>
      <c r="I20" s="797"/>
      <c r="J20" s="253"/>
      <c r="K20" s="243"/>
      <c r="L20" s="243"/>
      <c r="M20" s="120">
        <f t="shared" si="4"/>
        <v>0</v>
      </c>
    </row>
    <row r="21" spans="1:19" ht="13.5" thickBot="1">
      <c r="A21" s="804"/>
      <c r="B21" s="218"/>
      <c r="C21" s="219"/>
      <c r="D21" s="220"/>
      <c r="E21" s="228"/>
      <c r="F21" s="234"/>
      <c r="G21" s="235"/>
      <c r="H21" s="236"/>
      <c r="I21" s="797"/>
      <c r="J21" s="253"/>
      <c r="K21" s="242"/>
      <c r="L21" s="242"/>
      <c r="M21" s="120">
        <f t="shared" si="4"/>
        <v>0</v>
      </c>
    </row>
    <row r="22" spans="1:19" ht="13.5" thickBot="1">
      <c r="A22" s="804"/>
      <c r="B22" s="218"/>
      <c r="C22" s="219"/>
      <c r="D22" s="220"/>
      <c r="E22" s="228"/>
      <c r="F22" s="239"/>
      <c r="G22" s="235"/>
      <c r="H22" s="236"/>
      <c r="I22" s="798"/>
      <c r="J22" s="253"/>
      <c r="K22" s="242"/>
      <c r="L22" s="242"/>
      <c r="M22" s="120">
        <f t="shared" si="4"/>
        <v>0</v>
      </c>
      <c r="Q22" s="179">
        <f>SUM(Q15:Q21)</f>
        <v>480</v>
      </c>
      <c r="R22" s="179">
        <f>SUM(R15:R21)</f>
        <v>504000</v>
      </c>
      <c r="S22" s="179">
        <f>SUM(S15:S21)</f>
        <v>383040</v>
      </c>
    </row>
    <row r="23" spans="1:19" ht="13.5" thickBot="1">
      <c r="A23" s="805"/>
      <c r="B23" s="168" t="s">
        <v>3</v>
      </c>
      <c r="C23" s="103">
        <f>SUM(C16:C22)</f>
        <v>15702</v>
      </c>
      <c r="D23" s="114">
        <f>SUM(D16:D22)</f>
        <v>690</v>
      </c>
      <c r="E23" s="115">
        <f>SUM(E18:E22)</f>
        <v>0</v>
      </c>
      <c r="F23" s="105">
        <f>SUM(F15:F22)</f>
        <v>18</v>
      </c>
      <c r="G23" s="162"/>
      <c r="H23" s="169"/>
      <c r="I23" s="172"/>
      <c r="J23" s="253"/>
      <c r="K23" s="242"/>
      <c r="L23" s="242"/>
      <c r="M23" s="120">
        <f t="shared" si="4"/>
        <v>0</v>
      </c>
      <c r="Q23" s="152">
        <f>480-Q22</f>
        <v>0</v>
      </c>
      <c r="R23" s="179">
        <f>+R22/Q22</f>
        <v>1050</v>
      </c>
      <c r="S23" s="179">
        <f>+S22/Q22</f>
        <v>798</v>
      </c>
    </row>
    <row r="24" spans="1:19" ht="13.5" customHeight="1" thickBot="1">
      <c r="A24" s="793" t="s">
        <v>432</v>
      </c>
      <c r="B24" s="173"/>
      <c r="C24" s="116">
        <f>C23/($C$23+$D$23+$E$23)</f>
        <v>0.9579062957540263</v>
      </c>
      <c r="D24" s="117">
        <f>D23/($C$23+$D$23+$E$23)</f>
        <v>4.2093704245973647E-2</v>
      </c>
      <c r="E24" s="118">
        <f>E23/($C$23+$D$23+$E$23)</f>
        <v>0</v>
      </c>
      <c r="F24" s="231"/>
      <c r="G24" s="232" t="s">
        <v>13</v>
      </c>
      <c r="H24" s="233" t="s">
        <v>391</v>
      </c>
      <c r="I24" s="796" t="s">
        <v>417</v>
      </c>
      <c r="J24" s="253"/>
      <c r="K24" s="242"/>
      <c r="L24" s="242"/>
      <c r="M24" s="120">
        <f t="shared" si="4"/>
        <v>0</v>
      </c>
      <c r="N24" s="152" t="s">
        <v>414</v>
      </c>
      <c r="O24" s="152">
        <v>1000</v>
      </c>
      <c r="P24" s="152">
        <f>+O24-(O24*0.24)</f>
        <v>760</v>
      </c>
      <c r="Q24" s="152">
        <v>480</v>
      </c>
      <c r="R24" s="152">
        <f t="shared" ref="R24" si="9">+O24*Q24</f>
        <v>480000</v>
      </c>
      <c r="S24" s="152">
        <f t="shared" ref="S24" si="10">+P24*Q24</f>
        <v>364800</v>
      </c>
    </row>
    <row r="25" spans="1:19" ht="13.5" thickBot="1">
      <c r="A25" s="804"/>
      <c r="B25" s="218" t="s">
        <v>434</v>
      </c>
      <c r="C25" s="229">
        <v>13405</v>
      </c>
      <c r="D25" s="220"/>
      <c r="E25" s="228"/>
      <c r="F25" s="234">
        <v>6</v>
      </c>
      <c r="G25" s="583" t="s">
        <v>13</v>
      </c>
      <c r="H25" s="233" t="s">
        <v>399</v>
      </c>
      <c r="I25" s="797"/>
      <c r="J25" s="253"/>
      <c r="K25" s="242"/>
      <c r="L25" s="242"/>
      <c r="M25" s="120">
        <f t="shared" si="4"/>
        <v>0</v>
      </c>
    </row>
    <row r="26" spans="1:19" ht="13.5" thickBot="1">
      <c r="A26" s="804"/>
      <c r="B26" s="218"/>
      <c r="C26" s="229"/>
      <c r="D26" s="220"/>
      <c r="E26" s="230"/>
      <c r="F26" s="231">
        <v>6</v>
      </c>
      <c r="G26" s="583" t="s">
        <v>13</v>
      </c>
      <c r="H26" s="236" t="s">
        <v>422</v>
      </c>
      <c r="I26" s="797"/>
      <c r="J26" s="253"/>
      <c r="K26" s="242"/>
      <c r="L26" s="242"/>
      <c r="M26" s="120">
        <f t="shared" si="4"/>
        <v>0</v>
      </c>
    </row>
    <row r="27" spans="1:19" ht="26.25" thickBot="1">
      <c r="A27" s="804"/>
      <c r="B27" s="218"/>
      <c r="C27" s="219"/>
      <c r="D27" s="220"/>
      <c r="E27" s="228"/>
      <c r="F27" s="231"/>
      <c r="G27" s="240" t="s">
        <v>14</v>
      </c>
      <c r="H27" s="236" t="s">
        <v>411</v>
      </c>
      <c r="I27" s="797"/>
      <c r="J27" s="253"/>
      <c r="K27" s="242"/>
      <c r="L27" s="242"/>
      <c r="M27" s="120">
        <f t="shared" si="4"/>
        <v>0</v>
      </c>
    </row>
    <row r="28" spans="1:19" ht="13.5" thickBot="1">
      <c r="A28" s="804"/>
      <c r="B28" s="218"/>
      <c r="C28" s="219"/>
      <c r="D28" s="220"/>
      <c r="E28" s="228"/>
      <c r="F28" s="234"/>
      <c r="G28" s="235"/>
      <c r="H28" s="236" t="s">
        <v>412</v>
      </c>
      <c r="I28" s="797"/>
      <c r="J28" s="253"/>
      <c r="K28" s="242"/>
      <c r="L28" s="242"/>
      <c r="M28" s="120">
        <f t="shared" si="4"/>
        <v>0</v>
      </c>
    </row>
    <row r="29" spans="1:19" ht="13.5" thickBot="1">
      <c r="A29" s="804"/>
      <c r="B29" s="218"/>
      <c r="C29" s="219"/>
      <c r="D29" s="220"/>
      <c r="E29" s="228"/>
      <c r="F29" s="239"/>
      <c r="G29" s="235"/>
      <c r="H29" s="236"/>
      <c r="I29" s="797"/>
      <c r="J29" s="253"/>
      <c r="K29" s="242"/>
      <c r="L29" s="242"/>
      <c r="M29" s="120">
        <f t="shared" si="4"/>
        <v>0</v>
      </c>
    </row>
    <row r="30" spans="1:19" ht="13.5" thickBot="1">
      <c r="A30" s="804"/>
      <c r="B30" s="218"/>
      <c r="C30" s="229"/>
      <c r="D30" s="220"/>
      <c r="E30" s="228"/>
      <c r="F30" s="239"/>
      <c r="G30" s="235"/>
      <c r="H30" s="236"/>
      <c r="I30" s="797"/>
      <c r="J30" s="253"/>
      <c r="K30" s="242"/>
      <c r="L30" s="242"/>
      <c r="M30" s="120">
        <f t="shared" si="4"/>
        <v>0</v>
      </c>
    </row>
    <row r="31" spans="1:19" ht="13.5" thickBot="1">
      <c r="A31" s="804"/>
      <c r="B31" s="218"/>
      <c r="C31" s="229"/>
      <c r="D31" s="220"/>
      <c r="E31" s="228"/>
      <c r="F31" s="239"/>
      <c r="G31" s="240"/>
      <c r="H31" s="237"/>
      <c r="I31" s="798"/>
      <c r="J31" s="253"/>
      <c r="K31" s="242"/>
      <c r="L31" s="242"/>
      <c r="M31" s="120">
        <f t="shared" si="4"/>
        <v>0</v>
      </c>
      <c r="Q31" s="179">
        <f>SUM(Q24:Q30)</f>
        <v>480</v>
      </c>
      <c r="R31" s="179">
        <f>SUM(R24:R30)</f>
        <v>480000</v>
      </c>
      <c r="S31" s="179">
        <f>SUM(S24:S30)</f>
        <v>364800</v>
      </c>
    </row>
    <row r="32" spans="1:19" ht="13.5" thickBot="1">
      <c r="A32" s="805"/>
      <c r="B32" s="168" t="s">
        <v>3</v>
      </c>
      <c r="C32" s="102">
        <f>SUM(C25:C31)</f>
        <v>13405</v>
      </c>
      <c r="D32" s="103">
        <f>SUM(D25:D31)</f>
        <v>0</v>
      </c>
      <c r="E32" s="104">
        <f>SUM(E25:E31)</f>
        <v>0</v>
      </c>
      <c r="F32" s="105">
        <f>SUM(F24:F31)</f>
        <v>12</v>
      </c>
      <c r="G32" s="174"/>
      <c r="H32" s="175"/>
      <c r="I32" s="172"/>
      <c r="J32" s="255"/>
      <c r="K32" s="244"/>
      <c r="L32" s="246"/>
      <c r="M32" s="120">
        <f t="shared" si="4"/>
        <v>0</v>
      </c>
      <c r="Q32" s="152">
        <f>480-Q31</f>
        <v>0</v>
      </c>
      <c r="R32" s="179">
        <f>+R31/Q31</f>
        <v>1000</v>
      </c>
      <c r="S32" s="179">
        <f>+S31/Q31</f>
        <v>760</v>
      </c>
    </row>
    <row r="33" spans="1:17" ht="13.5" thickBot="1">
      <c r="A33" s="176"/>
      <c r="B33" s="177"/>
      <c r="C33" s="106">
        <f>C32/($C$32+$D$32+$E$32)</f>
        <v>1</v>
      </c>
      <c r="D33" s="107">
        <f>D32/($C$32+$D$32+$E$32)</f>
        <v>0</v>
      </c>
      <c r="E33" s="108">
        <f>E32/($C$32+$D$32+$E$32)</f>
        <v>0</v>
      </c>
      <c r="F33" s="109"/>
      <c r="G33" s="178"/>
      <c r="H33" s="179"/>
      <c r="I33" s="180"/>
      <c r="J33" s="124"/>
      <c r="K33" s="125"/>
      <c r="L33" s="216"/>
      <c r="M33" s="122"/>
      <c r="N33" s="152" t="s">
        <v>413</v>
      </c>
      <c r="O33" s="152">
        <v>1120</v>
      </c>
      <c r="P33" s="152">
        <v>851.2</v>
      </c>
      <c r="Q33" s="152">
        <v>200</v>
      </c>
    </row>
    <row r="34" spans="1:17" ht="13.5" thickBot="1">
      <c r="A34" s="801" t="s">
        <v>70</v>
      </c>
      <c r="B34" s="802"/>
      <c r="C34" s="110">
        <f>C14+C23+C32</f>
        <v>35520</v>
      </c>
      <c r="D34" s="110">
        <f>D14+D23+D32</f>
        <v>690</v>
      </c>
      <c r="E34" s="110">
        <f>E14+E23+E32</f>
        <v>0</v>
      </c>
      <c r="F34" s="111">
        <f>F14+F23+F32</f>
        <v>167</v>
      </c>
      <c r="H34" s="181"/>
      <c r="I34" s="181"/>
      <c r="J34" s="126" t="s">
        <v>29</v>
      </c>
      <c r="K34" s="127">
        <f>SUM(K7:K32)</f>
        <v>35520</v>
      </c>
      <c r="L34" s="215">
        <f>SUM(L7:L32)</f>
        <v>0</v>
      </c>
      <c r="M34" s="123">
        <f>SUM(M7:M32)</f>
        <v>35520</v>
      </c>
      <c r="N34" s="158" t="s">
        <v>414</v>
      </c>
      <c r="O34" s="152">
        <v>1028.5714285714287</v>
      </c>
      <c r="P34" s="152">
        <v>781.71428571428567</v>
      </c>
      <c r="Q34" s="152">
        <v>1120</v>
      </c>
    </row>
    <row r="35" spans="1:17" ht="13.5" thickBot="1">
      <c r="A35" s="182"/>
      <c r="B35" s="183"/>
      <c r="C35" s="107">
        <f>C34/($C$34+$D$34+$E$34)</f>
        <v>0.98094449047224519</v>
      </c>
      <c r="D35" s="107">
        <f>D34/($C$34+$D$34+$E$34)</f>
        <v>1.9055509527754765E-2</v>
      </c>
      <c r="E35" s="112">
        <f>E34/($C$34+$D$34+$E$34)</f>
        <v>0</v>
      </c>
      <c r="K35" s="158"/>
      <c r="L35" s="792" t="s">
        <v>187</v>
      </c>
      <c r="M35" s="792"/>
      <c r="O35" s="152">
        <v>360</v>
      </c>
      <c r="Q35" s="152">
        <f>+Q33+Q34</f>
        <v>1320</v>
      </c>
    </row>
    <row r="36" spans="1:17" ht="13.5" thickBot="1">
      <c r="A36" s="181"/>
      <c r="B36" s="181"/>
      <c r="C36" s="158"/>
      <c r="D36" s="158"/>
      <c r="E36" s="158"/>
      <c r="G36" s="158"/>
      <c r="H36" s="184"/>
      <c r="I36" s="165" t="s">
        <v>41</v>
      </c>
      <c r="J36" s="165" t="s">
        <v>42</v>
      </c>
      <c r="K36" s="185"/>
      <c r="L36" s="165" t="s">
        <v>41</v>
      </c>
      <c r="M36" s="165" t="s">
        <v>42</v>
      </c>
      <c r="O36" s="152">
        <v>480</v>
      </c>
    </row>
    <row r="37" spans="1:17" ht="17.45" customHeight="1" thickBot="1">
      <c r="A37" s="790" t="s">
        <v>71</v>
      </c>
      <c r="B37" s="791"/>
      <c r="C37" s="165" t="s">
        <v>72</v>
      </c>
      <c r="D37" s="186" t="s">
        <v>73</v>
      </c>
      <c r="E37" s="187" t="s">
        <v>74</v>
      </c>
      <c r="F37" s="188"/>
      <c r="G37" s="158"/>
      <c r="H37" s="189" t="s">
        <v>75</v>
      </c>
      <c r="I37" s="247">
        <f>(14*200+1120*15.5)/1320*G42*2.75*1320/1000000</f>
        <v>44.185003734129957</v>
      </c>
      <c r="J37" s="128">
        <f>I37</f>
        <v>44.185003734129957</v>
      </c>
      <c r="K37" s="129" t="s">
        <v>76</v>
      </c>
      <c r="L37" s="426"/>
      <c r="M37" s="427"/>
      <c r="O37" s="152">
        <v>480</v>
      </c>
    </row>
    <row r="38" spans="1:17" ht="17.45" customHeight="1">
      <c r="A38" s="786" t="s">
        <v>13</v>
      </c>
      <c r="B38" s="787"/>
      <c r="C38" s="167">
        <f>SUMIF($G$7:$G$31,"Process",$F$7:$F$31)</f>
        <v>157</v>
      </c>
      <c r="D38" s="121">
        <f>C38</f>
        <v>157</v>
      </c>
      <c r="E38" s="146">
        <f t="shared" ref="E38:E51" si="11">D38/60</f>
        <v>2.6166666666666667</v>
      </c>
      <c r="F38" s="188">
        <v>1088.8888888888889</v>
      </c>
      <c r="G38" s="188">
        <v>827.55555555555554</v>
      </c>
      <c r="H38" s="190" t="s">
        <v>77</v>
      </c>
      <c r="I38" s="547">
        <f>7.077+4.323+13.785+14.328</f>
        <v>39.513000000000005</v>
      </c>
      <c r="J38" s="130">
        <f>I38</f>
        <v>39.513000000000005</v>
      </c>
      <c r="K38" s="131" t="s">
        <v>76</v>
      </c>
      <c r="L38" s="428"/>
      <c r="M38" s="429"/>
      <c r="N38" s="548"/>
      <c r="O38" s="152">
        <f>SUM(O35:O37)</f>
        <v>1320</v>
      </c>
    </row>
    <row r="39" spans="1:17" ht="17.45" customHeight="1">
      <c r="A39" s="782" t="s">
        <v>14</v>
      </c>
      <c r="B39" s="783"/>
      <c r="C39" s="167">
        <f>SUMIF($G$7:$G$31,"Cleaning",$F$7:$F$31)</f>
        <v>10</v>
      </c>
      <c r="D39" s="121">
        <f>C39</f>
        <v>10</v>
      </c>
      <c r="E39" s="146">
        <f t="shared" si="11"/>
        <v>0.16666666666666666</v>
      </c>
      <c r="F39" s="188">
        <v>1050</v>
      </c>
      <c r="G39" s="188">
        <v>798</v>
      </c>
      <c r="H39" s="190" t="s">
        <v>78</v>
      </c>
      <c r="I39" s="145"/>
      <c r="J39" s="132">
        <f>J37/G4</f>
        <v>44.185003734129957</v>
      </c>
      <c r="K39" s="133" t="s">
        <v>76</v>
      </c>
      <c r="L39" s="428"/>
      <c r="M39" s="429"/>
    </row>
    <row r="40" spans="1:17" ht="17.45" customHeight="1">
      <c r="A40" s="782" t="s">
        <v>79</v>
      </c>
      <c r="B40" s="783"/>
      <c r="C40" s="167">
        <f>SUMIF($G$7:$G$31,"Mechanical",$F$7:$F$31)</f>
        <v>0</v>
      </c>
      <c r="D40" s="121">
        <f t="shared" ref="D40:D51" si="12">C40</f>
        <v>0</v>
      </c>
      <c r="E40" s="146">
        <f t="shared" si="11"/>
        <v>0</v>
      </c>
      <c r="F40" s="188">
        <v>1000</v>
      </c>
      <c r="G40" s="188">
        <v>760</v>
      </c>
      <c r="H40" s="190" t="s">
        <v>80</v>
      </c>
      <c r="I40" s="121">
        <f>(K34+L34)/1000</f>
        <v>35.520000000000003</v>
      </c>
      <c r="J40" s="134">
        <f>M34/1000</f>
        <v>35.520000000000003</v>
      </c>
      <c r="K40" s="133" t="s">
        <v>76</v>
      </c>
      <c r="L40" s="428"/>
      <c r="M40" s="429"/>
    </row>
    <row r="41" spans="1:17" ht="17.45" customHeight="1">
      <c r="A41" s="782" t="s">
        <v>81</v>
      </c>
      <c r="B41" s="783"/>
      <c r="C41" s="167">
        <f>SUMIF($G$7:$G$31,"Electrical",$F$7:$F$31)</f>
        <v>0</v>
      </c>
      <c r="D41" s="121">
        <f t="shared" si="12"/>
        <v>0</v>
      </c>
      <c r="E41" s="146">
        <f t="shared" si="11"/>
        <v>0</v>
      </c>
      <c r="F41" s="188"/>
      <c r="G41" s="188"/>
      <c r="H41" s="190" t="s">
        <v>82</v>
      </c>
      <c r="I41" s="145"/>
      <c r="J41" s="132">
        <f>J40/G4</f>
        <v>35.520000000000003</v>
      </c>
      <c r="K41" s="133" t="s">
        <v>76</v>
      </c>
      <c r="L41" s="428"/>
      <c r="M41" s="429"/>
    </row>
    <row r="42" spans="1:17" ht="17.45" customHeight="1">
      <c r="A42" s="782" t="s">
        <v>17</v>
      </c>
      <c r="B42" s="783"/>
      <c r="C42" s="167">
        <f>SUMIF($G$7:$G$31,"Instrument",$F$7:$F$31)</f>
        <v>0</v>
      </c>
      <c r="D42" s="121">
        <f t="shared" si="12"/>
        <v>0</v>
      </c>
      <c r="E42" s="146">
        <f t="shared" si="11"/>
        <v>0</v>
      </c>
      <c r="F42" s="188">
        <f>+(480*F38+450*F39+409*F40)/1339</f>
        <v>1048.6681603186457</v>
      </c>
      <c r="G42" s="188">
        <f>+(480*G38+450*G39+409*G40)/1339</f>
        <v>796.98780184217082</v>
      </c>
      <c r="H42" s="190" t="s">
        <v>83</v>
      </c>
      <c r="I42" s="249" t="s">
        <v>418</v>
      </c>
      <c r="J42" s="135"/>
      <c r="K42" s="133" t="s">
        <v>84</v>
      </c>
      <c r="L42" s="428"/>
      <c r="M42" s="429"/>
    </row>
    <row r="43" spans="1:17" ht="17.45" customHeight="1">
      <c r="A43" s="782" t="s">
        <v>202</v>
      </c>
      <c r="B43" s="783"/>
      <c r="C43" s="167">
        <f>SUMIF($G$7:$G$31,"Change Grade",$F$7:$F$31)</f>
        <v>0</v>
      </c>
      <c r="D43" s="121">
        <f t="shared" si="12"/>
        <v>0</v>
      </c>
      <c r="E43" s="146">
        <f t="shared" si="11"/>
        <v>0</v>
      </c>
      <c r="F43" s="188"/>
      <c r="H43" s="191" t="s">
        <v>86</v>
      </c>
      <c r="I43" s="121">
        <f>+Report1!AH9</f>
        <v>59</v>
      </c>
      <c r="J43" s="136">
        <f>I43</f>
        <v>59</v>
      </c>
      <c r="K43" s="133" t="s">
        <v>76</v>
      </c>
      <c r="L43" s="430">
        <f>+Report1!AN9</f>
        <v>0</v>
      </c>
      <c r="M43" s="431">
        <f>+L43</f>
        <v>0</v>
      </c>
    </row>
    <row r="44" spans="1:17" ht="17.45" customHeight="1">
      <c r="A44" s="782" t="s">
        <v>18</v>
      </c>
      <c r="B44" s="783"/>
      <c r="C44" s="167">
        <f>SUMIF($G$7:$G$31,"PLN",$F$7:$F$31)</f>
        <v>0</v>
      </c>
      <c r="D44" s="121">
        <f>C44</f>
        <v>0</v>
      </c>
      <c r="E44" s="146">
        <f t="shared" si="11"/>
        <v>0</v>
      </c>
      <c r="F44" s="188"/>
      <c r="H44" s="191" t="s">
        <v>87</v>
      </c>
      <c r="I44" s="121">
        <f>I43/I38</f>
        <v>1.4931794599245816</v>
      </c>
      <c r="J44" s="137">
        <f>J43/J38</f>
        <v>1.4931794599245816</v>
      </c>
      <c r="K44" s="133" t="s">
        <v>76</v>
      </c>
      <c r="L44" s="432">
        <f>+L43/I38</f>
        <v>0</v>
      </c>
      <c r="M44" s="433">
        <f>+M43/J38</f>
        <v>0</v>
      </c>
    </row>
    <row r="45" spans="1:17" ht="17.45" customHeight="1">
      <c r="A45" s="782" t="s">
        <v>19</v>
      </c>
      <c r="B45" s="783"/>
      <c r="C45" s="167">
        <f>SUMIF($G$7:$G$31,"Boiler",$F$7:$F$31)</f>
        <v>0</v>
      </c>
      <c r="D45" s="121">
        <f t="shared" si="12"/>
        <v>0</v>
      </c>
      <c r="E45" s="146">
        <f t="shared" si="11"/>
        <v>0</v>
      </c>
      <c r="F45" s="188"/>
      <c r="G45" s="179"/>
      <c r="H45" s="191" t="s">
        <v>88</v>
      </c>
      <c r="I45" s="121">
        <f>I43/I40</f>
        <v>1.6610360360360359</v>
      </c>
      <c r="J45" s="137">
        <f>J43/J40</f>
        <v>1.6610360360360359</v>
      </c>
      <c r="K45" s="133" t="s">
        <v>76</v>
      </c>
      <c r="L45" s="432">
        <f>+L43/I40</f>
        <v>0</v>
      </c>
      <c r="M45" s="433">
        <f>+M43/J40</f>
        <v>0</v>
      </c>
    </row>
    <row r="46" spans="1:17" ht="17.45" customHeight="1">
      <c r="A46" s="782" t="s">
        <v>89</v>
      </c>
      <c r="B46" s="783"/>
      <c r="C46" s="167">
        <f>SUMIF($G$7:$G$31,"Gas",$F$7:$F$31)</f>
        <v>0</v>
      </c>
      <c r="D46" s="121">
        <f t="shared" si="12"/>
        <v>0</v>
      </c>
      <c r="E46" s="146">
        <f t="shared" si="11"/>
        <v>0</v>
      </c>
      <c r="F46" s="188"/>
      <c r="H46" s="191" t="s">
        <v>90</v>
      </c>
      <c r="I46" s="143">
        <f>+SUMIF(Listrik!P8,"&gt;0")</f>
        <v>36680.89999999998</v>
      </c>
      <c r="J46" s="138">
        <f>I46</f>
        <v>36680.89999999998</v>
      </c>
      <c r="K46" s="133" t="s">
        <v>91</v>
      </c>
      <c r="L46" s="432">
        <f>+Listrik!AF8</f>
        <v>0</v>
      </c>
      <c r="M46" s="434">
        <f>+L46</f>
        <v>0</v>
      </c>
    </row>
    <row r="47" spans="1:17" ht="17.45" customHeight="1">
      <c r="A47" s="782" t="s">
        <v>92</v>
      </c>
      <c r="B47" s="783"/>
      <c r="C47" s="167">
        <f>SUMIF($G$7:$G$31,"Gas",$F$7:$F$31)</f>
        <v>0</v>
      </c>
      <c r="D47" s="121">
        <f t="shared" si="12"/>
        <v>0</v>
      </c>
      <c r="E47" s="146">
        <f t="shared" si="11"/>
        <v>0</v>
      </c>
      <c r="F47" s="188"/>
      <c r="H47" s="191" t="s">
        <v>93</v>
      </c>
      <c r="I47" s="121">
        <f>I46/I38</f>
        <v>928.32485511097548</v>
      </c>
      <c r="J47" s="138">
        <f>J46/J38</f>
        <v>928.32485511097548</v>
      </c>
      <c r="K47" s="133" t="s">
        <v>25</v>
      </c>
      <c r="L47" s="432">
        <f>+L46/I38</f>
        <v>0</v>
      </c>
      <c r="M47" s="433">
        <f>+M46/J38</f>
        <v>0</v>
      </c>
    </row>
    <row r="48" spans="1:17" ht="17.45" customHeight="1">
      <c r="A48" s="782" t="s">
        <v>15</v>
      </c>
      <c r="B48" s="783"/>
      <c r="C48" s="167">
        <f>SUMIF($G$7:$G$31,"Start Up",$F$7:$F$31)</f>
        <v>0</v>
      </c>
      <c r="D48" s="121">
        <f t="shared" si="12"/>
        <v>0</v>
      </c>
      <c r="E48" s="146">
        <f t="shared" si="11"/>
        <v>0</v>
      </c>
      <c r="F48" s="188"/>
      <c r="H48" s="191" t="s">
        <v>94</v>
      </c>
      <c r="I48" s="121">
        <f>I46/I40</f>
        <v>1032.6829954954949</v>
      </c>
      <c r="J48" s="138">
        <f>J46/J40</f>
        <v>1032.6829954954949</v>
      </c>
      <c r="K48" s="133" t="s">
        <v>25</v>
      </c>
      <c r="L48" s="432">
        <f>+L46/I38</f>
        <v>0</v>
      </c>
      <c r="M48" s="433">
        <f>+M46/J40</f>
        <v>0</v>
      </c>
    </row>
    <row r="49" spans="1:13" ht="17.45" customHeight="1">
      <c r="A49" s="782" t="s">
        <v>21</v>
      </c>
      <c r="B49" s="783"/>
      <c r="C49" s="167">
        <f>SUMIF($G$7:$G$31,"Others",$F$7:$F$31)</f>
        <v>0</v>
      </c>
      <c r="D49" s="121">
        <f t="shared" si="12"/>
        <v>0</v>
      </c>
      <c r="E49" s="146">
        <f t="shared" si="11"/>
        <v>0</v>
      </c>
      <c r="F49" s="188"/>
      <c r="H49" s="191" t="s">
        <v>182</v>
      </c>
      <c r="I49" s="121"/>
      <c r="J49" s="138">
        <f>I49</f>
        <v>0</v>
      </c>
      <c r="K49" s="133" t="s">
        <v>96</v>
      </c>
      <c r="L49" s="428"/>
      <c r="M49" s="429"/>
    </row>
    <row r="50" spans="1:13" ht="17.45" customHeight="1">
      <c r="A50" s="782" t="s">
        <v>20</v>
      </c>
      <c r="B50" s="783"/>
      <c r="C50" s="167">
        <f>SUMIF($G$7:$G$31,"Steam",$F$7:$F$31)</f>
        <v>0</v>
      </c>
      <c r="D50" s="121">
        <f t="shared" si="12"/>
        <v>0</v>
      </c>
      <c r="E50" s="146">
        <f t="shared" si="11"/>
        <v>0</v>
      </c>
      <c r="F50" s="188"/>
      <c r="H50" s="191" t="s">
        <v>97</v>
      </c>
      <c r="I50" s="143">
        <f>I49/I38</f>
        <v>0</v>
      </c>
      <c r="J50" s="136">
        <f>J49/J38</f>
        <v>0</v>
      </c>
      <c r="K50" s="133" t="s">
        <v>96</v>
      </c>
      <c r="L50" s="428"/>
      <c r="M50" s="429"/>
    </row>
    <row r="51" spans="1:13" ht="17.45" customHeight="1" thickBot="1">
      <c r="A51" s="784" t="s">
        <v>98</v>
      </c>
      <c r="B51" s="785"/>
      <c r="C51" s="167">
        <f>SUMIF($G$7:$G$31,"Planned shut",$F$7:$F$31)</f>
        <v>0</v>
      </c>
      <c r="D51" s="121">
        <f t="shared" si="12"/>
        <v>0</v>
      </c>
      <c r="E51" s="146">
        <f t="shared" si="11"/>
        <v>0</v>
      </c>
      <c r="F51" s="188"/>
      <c r="H51" s="193" t="s">
        <v>99</v>
      </c>
      <c r="I51" s="144">
        <f>I49/I40</f>
        <v>0</v>
      </c>
      <c r="J51" s="139">
        <f>J49/J40</f>
        <v>0</v>
      </c>
      <c r="K51" s="140" t="s">
        <v>96</v>
      </c>
      <c r="L51" s="428"/>
      <c r="M51" s="429"/>
    </row>
    <row r="52" spans="1:13" ht="13.5" thickBot="1">
      <c r="A52" s="786" t="s">
        <v>29</v>
      </c>
      <c r="B52" s="787"/>
      <c r="C52" s="147">
        <f>SUM(C38:C51)</f>
        <v>167</v>
      </c>
      <c r="D52" s="147">
        <f>SUM(D38:D51)</f>
        <v>167</v>
      </c>
      <c r="E52" s="148">
        <f>SUM(E38:E51)</f>
        <v>2.7833333333333332</v>
      </c>
      <c r="F52" s="188"/>
      <c r="H52" s="194"/>
      <c r="I52" s="195"/>
      <c r="J52" s="141"/>
      <c r="K52" s="142"/>
      <c r="L52" s="435"/>
      <c r="M52" s="436"/>
    </row>
    <row r="53" spans="1:13" ht="13.5" thickBot="1">
      <c r="A53" s="788"/>
      <c r="B53" s="789"/>
      <c r="C53" s="149">
        <f>C52/(24*60)</f>
        <v>0.11597222222222223</v>
      </c>
      <c r="D53" s="149">
        <f>D52/(24*60*G4)</f>
        <v>0.11597222222222223</v>
      </c>
      <c r="E53" s="150">
        <f>E52/(G4*24)</f>
        <v>0.11597222222222221</v>
      </c>
      <c r="F53" s="188"/>
    </row>
    <row r="54" spans="1:13">
      <c r="E54" s="196"/>
      <c r="F54" s="188"/>
    </row>
    <row r="55" spans="1:13">
      <c r="E55" s="196"/>
    </row>
    <row r="56" spans="1:13">
      <c r="A56" s="197" t="s">
        <v>100</v>
      </c>
      <c r="B56" s="198"/>
      <c r="C56" s="199"/>
      <c r="D56" s="199"/>
      <c r="E56" s="199"/>
      <c r="F56" s="200"/>
      <c r="G56" s="199"/>
      <c r="H56" s="201"/>
      <c r="I56" s="202" t="s">
        <v>101</v>
      </c>
      <c r="J56" s="203">
        <f>D34</f>
        <v>690</v>
      </c>
      <c r="K56" s="204">
        <f>J56/(J40+J56/1000)/1000</f>
        <v>1.9055509527754765E-2</v>
      </c>
    </row>
    <row r="57" spans="1:13">
      <c r="A57" s="179"/>
      <c r="I57" s="202" t="s">
        <v>102</v>
      </c>
      <c r="J57" s="203">
        <f>+E34</f>
        <v>0</v>
      </c>
      <c r="K57" s="204">
        <f>J57/(J40+J57/1000)/1000</f>
        <v>0</v>
      </c>
    </row>
    <row r="58" spans="1:13">
      <c r="A58" s="205"/>
      <c r="B58" s="206"/>
      <c r="F58" s="188"/>
      <c r="H58" s="207"/>
    </row>
    <row r="59" spans="1:13">
      <c r="A59" s="208"/>
      <c r="B59" s="179"/>
      <c r="C59" s="179"/>
      <c r="D59" s="179"/>
      <c r="E59" s="179"/>
      <c r="F59" s="192"/>
      <c r="G59" s="179"/>
      <c r="H59" s="207"/>
    </row>
    <row r="60" spans="1:13">
      <c r="H60" s="207"/>
    </row>
    <row r="61" spans="1:13">
      <c r="A61" s="209"/>
      <c r="B61" s="210"/>
      <c r="C61" s="210"/>
      <c r="D61" s="210"/>
      <c r="E61" s="210"/>
      <c r="F61" s="211"/>
      <c r="G61" s="210"/>
      <c r="H61" s="212"/>
    </row>
  </sheetData>
  <mergeCells count="25">
    <mergeCell ref="A52:B52"/>
    <mergeCell ref="A53:B53"/>
    <mergeCell ref="A42:B42"/>
    <mergeCell ref="A43:B43"/>
    <mergeCell ref="A44:B44"/>
    <mergeCell ref="A45:B45"/>
    <mergeCell ref="A46:B46"/>
    <mergeCell ref="A47:B47"/>
    <mergeCell ref="A50:B50"/>
    <mergeCell ref="A51:B51"/>
    <mergeCell ref="A7:A14"/>
    <mergeCell ref="I7:I13"/>
    <mergeCell ref="A15:A23"/>
    <mergeCell ref="I15:I22"/>
    <mergeCell ref="A34:B34"/>
    <mergeCell ref="A24:A32"/>
    <mergeCell ref="I24:I31"/>
    <mergeCell ref="L35:M35"/>
    <mergeCell ref="A48:B48"/>
    <mergeCell ref="A49:B49"/>
    <mergeCell ref="A40:B40"/>
    <mergeCell ref="A41:B41"/>
    <mergeCell ref="A38:B38"/>
    <mergeCell ref="A39:B39"/>
    <mergeCell ref="A37:B37"/>
  </mergeCells>
  <phoneticPr fontId="31" type="noConversion"/>
  <printOptions horizontalCentered="1"/>
  <pageMargins left="0.15625" right="0.15625" top="0.17" bottom="0.16" header="0" footer="0"/>
  <pageSetup paperSize="9" scale="6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44</vt:i4>
      </vt:variant>
      <vt:variant>
        <vt:lpstr>Named Ranges</vt:lpstr>
      </vt:variant>
      <vt:variant>
        <vt:i4>36</vt:i4>
      </vt:variant>
    </vt:vector>
  </HeadingPairs>
  <TitlesOfParts>
    <vt:vector size="80" baseType="lpstr">
      <vt:lpstr>eff all value</vt:lpstr>
      <vt:lpstr>eff all value (2)</vt: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2026-04-15T08:22:23Z</cp:lastPrinted>
  <dcterms:created xsi:type="dcterms:W3CDTF">2007-07-30T03:52:39Z</dcterms:created>
  <dcterms:modified xsi:type="dcterms:W3CDTF">2026-04-17T03:46:04Z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